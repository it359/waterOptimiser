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achi\N1_Dashboard_v2\dashboard\backend\"/>
    </mc:Choice>
  </mc:AlternateContent>
  <xr:revisionPtr revIDLastSave="0" documentId="13_ncr:1_{CED0FD7F-B07C-4512-821F-ABB381F8217B}" xr6:coauthVersionLast="47" xr6:coauthVersionMax="47" xr10:uidLastSave="{00000000-0000-0000-0000-000000000000}"/>
  <bookViews>
    <workbookView xWindow="-96" yWindow="-96" windowWidth="17472" windowHeight="10272" activeTab="1" xr2:uid="{00000000-000D-0000-FFFF-FFFF00000000}"/>
  </bookViews>
  <sheets>
    <sheet name="N1" sheetId="1" r:id="rId1"/>
    <sheet name="N2" sheetId="2" r:id="rId2"/>
    <sheet name="N3" sheetId="3" r:id="rId3"/>
    <sheet name="P2" sheetId="4" r:id="rId4"/>
    <sheet name="A2" sheetId="5" r:id="rId5"/>
    <sheet name="A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haFHqJqAbFtsr5I5tMXzEvBhnwwcRWz8SJV0qFrDlU="/>
    </ext>
  </extLst>
</workbook>
</file>

<file path=xl/calcChain.xml><?xml version="1.0" encoding="utf-8"?>
<calcChain xmlns="http://schemas.openxmlformats.org/spreadsheetml/2006/main">
  <c r="K2" i="2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" i="4"/>
  <c r="L25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" i="4"/>
  <c r="L2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" i="4"/>
  <c r="K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AS251" i="5"/>
  <c r="AS250" i="5"/>
  <c r="AS249" i="5"/>
  <c r="AS248" i="5"/>
  <c r="AS247" i="5"/>
  <c r="AS246" i="5"/>
  <c r="AS245" i="5"/>
  <c r="AS244" i="5"/>
  <c r="AS243" i="5"/>
  <c r="AS242" i="5"/>
  <c r="AS241" i="5"/>
  <c r="AS240" i="5"/>
  <c r="AS239" i="5"/>
  <c r="AS238" i="5"/>
  <c r="AS237" i="5"/>
  <c r="AS236" i="5"/>
  <c r="AS235" i="5"/>
  <c r="AS234" i="5"/>
  <c r="AS233" i="5"/>
  <c r="AS232" i="5"/>
  <c r="AS231" i="5"/>
  <c r="AS230" i="5"/>
  <c r="AS229" i="5"/>
  <c r="AS228" i="5"/>
  <c r="AS227" i="5"/>
  <c r="AS226" i="5"/>
  <c r="AS225" i="5"/>
  <c r="AS224" i="5"/>
  <c r="AS223" i="5"/>
  <c r="AS222" i="5"/>
  <c r="AS221" i="5"/>
  <c r="AS220" i="5"/>
  <c r="AS219" i="5"/>
  <c r="AS218" i="5"/>
  <c r="AS217" i="5"/>
  <c r="AS216" i="5"/>
  <c r="AS215" i="5"/>
  <c r="AS214" i="5"/>
  <c r="AS213" i="5"/>
  <c r="AS212" i="5"/>
  <c r="AS211" i="5"/>
  <c r="AS210" i="5"/>
  <c r="AS209" i="5"/>
  <c r="AS208" i="5"/>
  <c r="AS207" i="5"/>
  <c r="AS206" i="5"/>
  <c r="AS205" i="5"/>
  <c r="AS204" i="5"/>
  <c r="AS203" i="5"/>
  <c r="AS202" i="5"/>
  <c r="AS201" i="5"/>
  <c r="AS200" i="5"/>
  <c r="AS199" i="5"/>
  <c r="AS198" i="5"/>
  <c r="AS197" i="5"/>
  <c r="AS196" i="5"/>
  <c r="AS195" i="5"/>
  <c r="AS194" i="5"/>
  <c r="AS193" i="5"/>
  <c r="AS192" i="5"/>
  <c r="AS191" i="5"/>
  <c r="AS190" i="5"/>
  <c r="AS189" i="5"/>
  <c r="AS188" i="5"/>
  <c r="AS187" i="5"/>
  <c r="AS186" i="5"/>
  <c r="AS185" i="5"/>
  <c r="AS184" i="5"/>
  <c r="AS183" i="5"/>
  <c r="AS182" i="5"/>
  <c r="AS181" i="5"/>
  <c r="AS180" i="5"/>
  <c r="AS179" i="5"/>
  <c r="AS178" i="5"/>
  <c r="AS177" i="5"/>
  <c r="AS176" i="5"/>
  <c r="AS175" i="5"/>
  <c r="AS174" i="5"/>
  <c r="AS173" i="5"/>
  <c r="AS172" i="5"/>
  <c r="AS171" i="5"/>
  <c r="AS170" i="5"/>
  <c r="AS169" i="5"/>
  <c r="AS168" i="5"/>
  <c r="AS167" i="5"/>
  <c r="AS166" i="5"/>
  <c r="AS165" i="5"/>
  <c r="AS164" i="5"/>
  <c r="AS163" i="5"/>
  <c r="AS162" i="5"/>
  <c r="AS161" i="5"/>
  <c r="AS160" i="5"/>
  <c r="AS159" i="5"/>
  <c r="AS158" i="5"/>
  <c r="AS157" i="5"/>
  <c r="AS156" i="5"/>
  <c r="AS155" i="5"/>
  <c r="AS154" i="5"/>
  <c r="AS153" i="5"/>
  <c r="AS152" i="5"/>
  <c r="AS151" i="5"/>
  <c r="AS150" i="5"/>
  <c r="AS149" i="5"/>
  <c r="AS148" i="5"/>
  <c r="AS147" i="5"/>
  <c r="AS146" i="5"/>
  <c r="AS145" i="5"/>
  <c r="AS144" i="5"/>
  <c r="AS143" i="5"/>
  <c r="AS142" i="5"/>
  <c r="AS141" i="5"/>
  <c r="AS140" i="5"/>
  <c r="AS139" i="5"/>
  <c r="AS138" i="5"/>
  <c r="AS137" i="5"/>
  <c r="AS136" i="5"/>
  <c r="AS135" i="5"/>
  <c r="AS134" i="5"/>
  <c r="AS133" i="5"/>
  <c r="AS132" i="5"/>
  <c r="AS131" i="5"/>
  <c r="AS130" i="5"/>
  <c r="AS129" i="5"/>
  <c r="AS128" i="5"/>
  <c r="AS127" i="5"/>
  <c r="AS126" i="5"/>
  <c r="AS125" i="5"/>
  <c r="AS124" i="5"/>
  <c r="AS123" i="5"/>
  <c r="AS122" i="5"/>
  <c r="AS121" i="5"/>
  <c r="AS120" i="5"/>
  <c r="AS119" i="5"/>
  <c r="AS118" i="5"/>
  <c r="AS117" i="5"/>
  <c r="AS116" i="5"/>
  <c r="AS115" i="5"/>
  <c r="AS114" i="5"/>
  <c r="AS113" i="5"/>
  <c r="AS112" i="5"/>
  <c r="AS111" i="5"/>
  <c r="AS110" i="5"/>
  <c r="AS109" i="5"/>
  <c r="AS108" i="5"/>
  <c r="AS107" i="5"/>
  <c r="AS106" i="5"/>
  <c r="AS105" i="5"/>
  <c r="AS104" i="5"/>
  <c r="AS103" i="5"/>
  <c r="AS102" i="5"/>
  <c r="AS101" i="5"/>
  <c r="AS100" i="5"/>
  <c r="AS99" i="5"/>
  <c r="AS98" i="5"/>
  <c r="AS97" i="5"/>
  <c r="AS96" i="5"/>
  <c r="AS95" i="5"/>
  <c r="AS94" i="5"/>
  <c r="AS93" i="5"/>
  <c r="AS92" i="5"/>
  <c r="AS91" i="5"/>
  <c r="AS90" i="5"/>
  <c r="AS89" i="5"/>
  <c r="AS88" i="5"/>
  <c r="AS87" i="5"/>
  <c r="AS86" i="5"/>
  <c r="AS85" i="5"/>
  <c r="AS84" i="5"/>
  <c r="AS83" i="5"/>
  <c r="AS82" i="5"/>
  <c r="AS81" i="5"/>
  <c r="AS80" i="5"/>
  <c r="AS79" i="5"/>
  <c r="AS78" i="5"/>
  <c r="AS77" i="5"/>
  <c r="AS76" i="5"/>
  <c r="AS75" i="5"/>
  <c r="AS74" i="5"/>
  <c r="AS73" i="5"/>
  <c r="AS72" i="5"/>
  <c r="AS71" i="5"/>
  <c r="AS70" i="5"/>
  <c r="AS69" i="5"/>
  <c r="AS68" i="5"/>
  <c r="AS67" i="5"/>
  <c r="AS66" i="5"/>
  <c r="AS65" i="5"/>
  <c r="AS64" i="5"/>
  <c r="AS63" i="5"/>
  <c r="AS62" i="5"/>
  <c r="AS61" i="5"/>
  <c r="AS60" i="5"/>
  <c r="AS59" i="5"/>
  <c r="AS58" i="5"/>
  <c r="AS57" i="5"/>
  <c r="AS56" i="5"/>
  <c r="AS55" i="5"/>
  <c r="AS54" i="5"/>
  <c r="AS53" i="5"/>
  <c r="AS52" i="5"/>
  <c r="AS51" i="5"/>
  <c r="AS50" i="5"/>
  <c r="AS49" i="5"/>
  <c r="AS48" i="5"/>
  <c r="AS47" i="5"/>
  <c r="AS46" i="5"/>
  <c r="AS45" i="5"/>
  <c r="AS44" i="5"/>
  <c r="AS43" i="5"/>
  <c r="AS42" i="5"/>
  <c r="AS41" i="5"/>
  <c r="AS40" i="5"/>
  <c r="AS39" i="5"/>
  <c r="AS38" i="5"/>
  <c r="AS37" i="5"/>
  <c r="AS36" i="5"/>
  <c r="AS35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20" i="5"/>
  <c r="AS19" i="5"/>
  <c r="AS18" i="5"/>
  <c r="AS17" i="5"/>
  <c r="AS16" i="5"/>
  <c r="AS15" i="5"/>
  <c r="AS14" i="5"/>
  <c r="AS13" i="5"/>
  <c r="AS12" i="5"/>
  <c r="AS11" i="5"/>
  <c r="AS10" i="5"/>
  <c r="AS9" i="5"/>
  <c r="AS8" i="5"/>
  <c r="AS7" i="5"/>
  <c r="AS6" i="5"/>
  <c r="AS5" i="5"/>
  <c r="AS4" i="5"/>
  <c r="AS3" i="5"/>
  <c r="AS2" i="5"/>
  <c r="AS251" i="4"/>
  <c r="AS250" i="4"/>
  <c r="AS249" i="4"/>
  <c r="AS248" i="4"/>
  <c r="AS247" i="4"/>
  <c r="AS246" i="4"/>
  <c r="AS245" i="4"/>
  <c r="AS244" i="4"/>
  <c r="AS243" i="4"/>
  <c r="AS242" i="4"/>
  <c r="AS241" i="4"/>
  <c r="AS240" i="4"/>
  <c r="AS239" i="4"/>
  <c r="AS238" i="4"/>
  <c r="AS237" i="4"/>
  <c r="AS236" i="4"/>
  <c r="AS235" i="4"/>
  <c r="AS234" i="4"/>
  <c r="AS233" i="4"/>
  <c r="AS232" i="4"/>
  <c r="AS231" i="4"/>
  <c r="AS230" i="4"/>
  <c r="AS229" i="4"/>
  <c r="AS228" i="4"/>
  <c r="AS227" i="4"/>
  <c r="AS226" i="4"/>
  <c r="AS225" i="4"/>
  <c r="AS224" i="4"/>
  <c r="AS223" i="4"/>
  <c r="AS222" i="4"/>
  <c r="AS221" i="4"/>
  <c r="AS220" i="4"/>
  <c r="AS219" i="4"/>
  <c r="AS218" i="4"/>
  <c r="AS217" i="4"/>
  <c r="AS216" i="4"/>
  <c r="AS215" i="4"/>
  <c r="AS214" i="4"/>
  <c r="AS213" i="4"/>
  <c r="AS212" i="4"/>
  <c r="AS211" i="4"/>
  <c r="AS210" i="4"/>
  <c r="AS209" i="4"/>
  <c r="AS208" i="4"/>
  <c r="AS207" i="4"/>
  <c r="AS206" i="4"/>
  <c r="AS205" i="4"/>
  <c r="AS204" i="4"/>
  <c r="AS203" i="4"/>
  <c r="AS202" i="4"/>
  <c r="AS201" i="4"/>
  <c r="AS200" i="4"/>
  <c r="AS199" i="4"/>
  <c r="AS198" i="4"/>
  <c r="AS197" i="4"/>
  <c r="AS196" i="4"/>
  <c r="AS195" i="4"/>
  <c r="AS194" i="4"/>
  <c r="AS193" i="4"/>
  <c r="AS192" i="4"/>
  <c r="AS191" i="4"/>
  <c r="AS190" i="4"/>
  <c r="AS189" i="4"/>
  <c r="AS188" i="4"/>
  <c r="AS187" i="4"/>
  <c r="AS186" i="4"/>
  <c r="AS185" i="4"/>
  <c r="AS184" i="4"/>
  <c r="AS183" i="4"/>
  <c r="AS182" i="4"/>
  <c r="AS181" i="4"/>
  <c r="AS180" i="4"/>
  <c r="AS179" i="4"/>
  <c r="AS178" i="4"/>
  <c r="AS177" i="4"/>
  <c r="AS176" i="4"/>
  <c r="AS175" i="4"/>
  <c r="AS174" i="4"/>
  <c r="AS173" i="4"/>
  <c r="AS172" i="4"/>
  <c r="AS171" i="4"/>
  <c r="AS170" i="4"/>
  <c r="AS169" i="4"/>
  <c r="AS168" i="4"/>
  <c r="AS167" i="4"/>
  <c r="AS166" i="4"/>
  <c r="AS165" i="4"/>
  <c r="AS164" i="4"/>
  <c r="AS163" i="4"/>
  <c r="AS162" i="4"/>
  <c r="AS161" i="4"/>
  <c r="AS160" i="4"/>
  <c r="AS159" i="4"/>
  <c r="AS158" i="4"/>
  <c r="AS157" i="4"/>
  <c r="AS156" i="4"/>
  <c r="AS155" i="4"/>
  <c r="AS154" i="4"/>
  <c r="AS153" i="4"/>
  <c r="AS152" i="4"/>
  <c r="AS151" i="4"/>
  <c r="AS150" i="4"/>
  <c r="AS149" i="4"/>
  <c r="AS148" i="4"/>
  <c r="AS147" i="4"/>
  <c r="AS146" i="4"/>
  <c r="AS145" i="4"/>
  <c r="AS144" i="4"/>
  <c r="AS143" i="4"/>
  <c r="AS142" i="4"/>
  <c r="AS141" i="4"/>
  <c r="AS140" i="4"/>
  <c r="AS139" i="4"/>
  <c r="AS138" i="4"/>
  <c r="AS137" i="4"/>
  <c r="AS136" i="4"/>
  <c r="AS135" i="4"/>
  <c r="AS134" i="4"/>
  <c r="AS133" i="4"/>
  <c r="AS132" i="4"/>
  <c r="AS131" i="4"/>
  <c r="AS130" i="4"/>
  <c r="AS129" i="4"/>
  <c r="AS128" i="4"/>
  <c r="AS127" i="4"/>
  <c r="AS126" i="4"/>
  <c r="AS125" i="4"/>
  <c r="AS124" i="4"/>
  <c r="AS123" i="4"/>
  <c r="AS122" i="4"/>
  <c r="AS121" i="4"/>
  <c r="AS120" i="4"/>
  <c r="AS119" i="4"/>
  <c r="AS118" i="4"/>
  <c r="AS117" i="4"/>
  <c r="AS116" i="4"/>
  <c r="AS115" i="4"/>
  <c r="AS114" i="4"/>
  <c r="AS113" i="4"/>
  <c r="AS112" i="4"/>
  <c r="AS111" i="4"/>
  <c r="AS110" i="4"/>
  <c r="AS109" i="4"/>
  <c r="AS108" i="4"/>
  <c r="AS107" i="4"/>
  <c r="AS106" i="4"/>
  <c r="AS105" i="4"/>
  <c r="AS104" i="4"/>
  <c r="AS103" i="4"/>
  <c r="AS102" i="4"/>
  <c r="AS101" i="4"/>
  <c r="AS100" i="4"/>
  <c r="AS99" i="4"/>
  <c r="AS98" i="4"/>
  <c r="AS97" i="4"/>
  <c r="AS96" i="4"/>
  <c r="AS95" i="4"/>
  <c r="AS94" i="4"/>
  <c r="AS93" i="4"/>
  <c r="AS92" i="4"/>
  <c r="AS91" i="4"/>
  <c r="AS90" i="4"/>
  <c r="AS89" i="4"/>
  <c r="AS88" i="4"/>
  <c r="AS87" i="4"/>
  <c r="AS86" i="4"/>
  <c r="AS85" i="4"/>
  <c r="AS84" i="4"/>
  <c r="AS83" i="4"/>
  <c r="AS82" i="4"/>
  <c r="AS81" i="4"/>
  <c r="AS80" i="4"/>
  <c r="AS79" i="4"/>
  <c r="AS78" i="4"/>
  <c r="AS77" i="4"/>
  <c r="AS76" i="4"/>
  <c r="AS75" i="4"/>
  <c r="AS74" i="4"/>
  <c r="AS73" i="4"/>
  <c r="AS72" i="4"/>
  <c r="AS71" i="4"/>
  <c r="AS70" i="4"/>
  <c r="AS69" i="4"/>
  <c r="AS68" i="4"/>
  <c r="AS67" i="4"/>
  <c r="AS66" i="4"/>
  <c r="AS65" i="4"/>
  <c r="AS64" i="4"/>
  <c r="AS63" i="4"/>
  <c r="AS62" i="4"/>
  <c r="AS61" i="4"/>
  <c r="AS60" i="4"/>
  <c r="AS59" i="4"/>
  <c r="AS58" i="4"/>
  <c r="AS57" i="4"/>
  <c r="AS56" i="4"/>
  <c r="AS55" i="4"/>
  <c r="AS54" i="4"/>
  <c r="AS53" i="4"/>
  <c r="AS52" i="4"/>
  <c r="AS51" i="4"/>
  <c r="AS50" i="4"/>
  <c r="AS49" i="4"/>
  <c r="AS48" i="4"/>
  <c r="AS47" i="4"/>
  <c r="AS46" i="4"/>
  <c r="AS45" i="4"/>
  <c r="AS44" i="4"/>
  <c r="AS43" i="4"/>
  <c r="AS42" i="4"/>
  <c r="AS41" i="4"/>
  <c r="AS40" i="4"/>
  <c r="AS39" i="4"/>
  <c r="AS38" i="4"/>
  <c r="AS37" i="4"/>
  <c r="AS36" i="4"/>
  <c r="AS35" i="4"/>
  <c r="AS34" i="4"/>
  <c r="AS33" i="4"/>
  <c r="AS32" i="4"/>
  <c r="AS31" i="4"/>
  <c r="AS30" i="4"/>
  <c r="AS29" i="4"/>
  <c r="AS28" i="4"/>
  <c r="AS27" i="4"/>
  <c r="AS26" i="4"/>
  <c r="AS25" i="4"/>
  <c r="AS24" i="4"/>
  <c r="AS23" i="4"/>
  <c r="AS22" i="4"/>
  <c r="AS21" i="4"/>
  <c r="AS20" i="4"/>
  <c r="AS19" i="4"/>
  <c r="AS18" i="4"/>
  <c r="AS17" i="4"/>
  <c r="AS16" i="4"/>
  <c r="AS15" i="4"/>
  <c r="AS14" i="4"/>
  <c r="AS13" i="4"/>
  <c r="AS12" i="4"/>
  <c r="AS11" i="4"/>
  <c r="AS10" i="4"/>
  <c r="AS9" i="4"/>
  <c r="AS8" i="4"/>
  <c r="AS7" i="4"/>
  <c r="AS6" i="4"/>
  <c r="AS5" i="4"/>
  <c r="AS4" i="4"/>
  <c r="AS3" i="4"/>
  <c r="AS2" i="4"/>
  <c r="AS251" i="3"/>
  <c r="AS250" i="3"/>
  <c r="AS249" i="3"/>
  <c r="AS248" i="3"/>
  <c r="AS247" i="3"/>
  <c r="AS246" i="3"/>
  <c r="AS245" i="3"/>
  <c r="AS244" i="3"/>
  <c r="AS243" i="3"/>
  <c r="AS242" i="3"/>
  <c r="AS241" i="3"/>
  <c r="AS240" i="3"/>
  <c r="AS239" i="3"/>
  <c r="AS238" i="3"/>
  <c r="AS237" i="3"/>
  <c r="AS236" i="3"/>
  <c r="AS235" i="3"/>
  <c r="AS234" i="3"/>
  <c r="AS233" i="3"/>
  <c r="AS232" i="3"/>
  <c r="AS231" i="3"/>
  <c r="AS230" i="3"/>
  <c r="AS229" i="3"/>
  <c r="AS228" i="3"/>
  <c r="AS227" i="3"/>
  <c r="AS226" i="3"/>
  <c r="AS225" i="3"/>
  <c r="AS224" i="3"/>
  <c r="AS223" i="3"/>
  <c r="AS222" i="3"/>
  <c r="AS221" i="3"/>
  <c r="AS220" i="3"/>
  <c r="AS219" i="3"/>
  <c r="AS218" i="3"/>
  <c r="AS217" i="3"/>
  <c r="AS216" i="3"/>
  <c r="AS215" i="3"/>
  <c r="AS214" i="3"/>
  <c r="AS213" i="3"/>
  <c r="AS212" i="3"/>
  <c r="AS211" i="3"/>
  <c r="AS210" i="3"/>
  <c r="AS209" i="3"/>
  <c r="AS208" i="3"/>
  <c r="AS207" i="3"/>
  <c r="AS206" i="3"/>
  <c r="AS205" i="3"/>
  <c r="AS204" i="3"/>
  <c r="AS203" i="3"/>
  <c r="AS202" i="3"/>
  <c r="AS201" i="3"/>
  <c r="AS200" i="3"/>
  <c r="AS199" i="3"/>
  <c r="AS198" i="3"/>
  <c r="AS197" i="3"/>
  <c r="AS196" i="3"/>
  <c r="AS195" i="3"/>
  <c r="AS194" i="3"/>
  <c r="AS193" i="3"/>
  <c r="AS192" i="3"/>
  <c r="AS191" i="3"/>
  <c r="AS190" i="3"/>
  <c r="AS189" i="3"/>
  <c r="AS188" i="3"/>
  <c r="AS187" i="3"/>
  <c r="AS186" i="3"/>
  <c r="AS185" i="3"/>
  <c r="AS184" i="3"/>
  <c r="AS183" i="3"/>
  <c r="AS182" i="3"/>
  <c r="AS181" i="3"/>
  <c r="AS180" i="3"/>
  <c r="AS179" i="3"/>
  <c r="AS178" i="3"/>
  <c r="AS177" i="3"/>
  <c r="AS176" i="3"/>
  <c r="AS175" i="3"/>
  <c r="AS174" i="3"/>
  <c r="AS173" i="3"/>
  <c r="AS172" i="3"/>
  <c r="AS171" i="3"/>
  <c r="AS170" i="3"/>
  <c r="AS169" i="3"/>
  <c r="AS168" i="3"/>
  <c r="AS167" i="3"/>
  <c r="AS166" i="3"/>
  <c r="AS165" i="3"/>
  <c r="AS164" i="3"/>
  <c r="AS163" i="3"/>
  <c r="AS162" i="3"/>
  <c r="AS161" i="3"/>
  <c r="AS160" i="3"/>
  <c r="AS159" i="3"/>
  <c r="AS158" i="3"/>
  <c r="AS157" i="3"/>
  <c r="AS156" i="3"/>
  <c r="AS155" i="3"/>
  <c r="AS154" i="3"/>
  <c r="AS153" i="3"/>
  <c r="AS152" i="3"/>
  <c r="AS151" i="3"/>
  <c r="AS150" i="3"/>
  <c r="AS149" i="3"/>
  <c r="AS148" i="3"/>
  <c r="AS147" i="3"/>
  <c r="AS146" i="3"/>
  <c r="AS145" i="3"/>
  <c r="AS144" i="3"/>
  <c r="AS143" i="3"/>
  <c r="AS142" i="3"/>
  <c r="AS141" i="3"/>
  <c r="AS140" i="3"/>
  <c r="AS139" i="3"/>
  <c r="AS138" i="3"/>
  <c r="AS137" i="3"/>
  <c r="AS136" i="3"/>
  <c r="AS135" i="3"/>
  <c r="AS134" i="3"/>
  <c r="AS133" i="3"/>
  <c r="AS132" i="3"/>
  <c r="AS131" i="3"/>
  <c r="AS130" i="3"/>
  <c r="AS129" i="3"/>
  <c r="AS128" i="3"/>
  <c r="AS127" i="3"/>
  <c r="AS126" i="3"/>
  <c r="AS125" i="3"/>
  <c r="AS124" i="3"/>
  <c r="AS123" i="3"/>
  <c r="AS122" i="3"/>
  <c r="AS121" i="3"/>
  <c r="AS120" i="3"/>
  <c r="AS119" i="3"/>
  <c r="AS118" i="3"/>
  <c r="AS117" i="3"/>
  <c r="AS116" i="3"/>
  <c r="AS115" i="3"/>
  <c r="AS114" i="3"/>
  <c r="AS113" i="3"/>
  <c r="AS112" i="3"/>
  <c r="AS111" i="3"/>
  <c r="AS110" i="3"/>
  <c r="AS109" i="3"/>
  <c r="AS108" i="3"/>
  <c r="AS107" i="3"/>
  <c r="AS106" i="3"/>
  <c r="AS105" i="3"/>
  <c r="AS104" i="3"/>
  <c r="AS103" i="3"/>
  <c r="AS102" i="3"/>
  <c r="AS101" i="3"/>
  <c r="AS100" i="3"/>
  <c r="AS99" i="3"/>
  <c r="AS98" i="3"/>
  <c r="AS97" i="3"/>
  <c r="AS96" i="3"/>
  <c r="AS95" i="3"/>
  <c r="AS94" i="3"/>
  <c r="AS93" i="3"/>
  <c r="AS92" i="3"/>
  <c r="AS91" i="3"/>
  <c r="AS90" i="3"/>
  <c r="AS89" i="3"/>
  <c r="AS88" i="3"/>
  <c r="AS87" i="3"/>
  <c r="AS86" i="3"/>
  <c r="AS85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AS59" i="3"/>
  <c r="AS58" i="3"/>
  <c r="AS57" i="3"/>
  <c r="AS56" i="3"/>
  <c r="AS55" i="3"/>
  <c r="AS54" i="3"/>
  <c r="AS53" i="3"/>
  <c r="AS52" i="3"/>
  <c r="AS51" i="3"/>
  <c r="AS50" i="3"/>
  <c r="AS49" i="3"/>
  <c r="AS48" i="3"/>
  <c r="AS47" i="3"/>
  <c r="AS46" i="3"/>
  <c r="AS45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S6" i="3"/>
  <c r="AS5" i="3"/>
  <c r="AS4" i="3"/>
  <c r="AS3" i="3"/>
  <c r="AS2" i="3"/>
  <c r="AS1" i="3" s="1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1" i="2" s="1"/>
  <c r="AS4" i="2"/>
  <c r="AS3" i="2"/>
  <c r="AS2" i="2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T1" i="1"/>
  <c r="AS1" i="1"/>
  <c r="AS1" i="5" l="1"/>
  <c r="M2" i="3"/>
  <c r="AS1" i="4"/>
  <c r="M2" i="2"/>
  <c r="M2" i="1"/>
</calcChain>
</file>

<file path=xl/sharedStrings.xml><?xml version="1.0" encoding="utf-8"?>
<sst xmlns="http://schemas.openxmlformats.org/spreadsheetml/2006/main" count="4858" uniqueCount="3096">
  <si>
    <t>supply_temp</t>
  </si>
  <si>
    <t>return_temp</t>
  </si>
  <si>
    <t>ct_conductivity</t>
  </si>
  <si>
    <t>ct_ph</t>
  </si>
  <si>
    <t>scheme</t>
  </si>
  <si>
    <t>mu_conductivity</t>
  </si>
  <si>
    <t>mu_flow</t>
  </si>
  <si>
    <t>mu_ph</t>
  </si>
  <si>
    <t>cooling_tower_level</t>
  </si>
  <si>
    <t>relative_humidity</t>
  </si>
  <si>
    <t>ambient_temp</t>
  </si>
  <si>
    <t>delta_temp</t>
  </si>
  <si>
    <t>wetBulb_temp</t>
  </si>
  <si>
    <t>approach_temp</t>
  </si>
  <si>
    <t>cond_coc</t>
  </si>
  <si>
    <t>ct_tds</t>
  </si>
  <si>
    <t>ct_ca</t>
  </si>
  <si>
    <t>ct_alk</t>
  </si>
  <si>
    <t>ct_chloride</t>
  </si>
  <si>
    <t>flow_cycle</t>
  </si>
  <si>
    <t>sat_index</t>
  </si>
  <si>
    <t>sta_index</t>
  </si>
  <si>
    <t>perf_index</t>
  </si>
  <si>
    <t>system_vol</t>
  </si>
  <si>
    <t>rec_rate</t>
  </si>
  <si>
    <t>evap_loss</t>
  </si>
  <si>
    <t>drift_loss</t>
  </si>
  <si>
    <t>blowdown_coc</t>
  </si>
  <si>
    <t>hold_time_index</t>
  </si>
  <si>
    <t>dosing_residual</t>
  </si>
  <si>
    <t>dosing_contact_time</t>
  </si>
  <si>
    <t>dosing_density</t>
  </si>
  <si>
    <t>dosing_continuous</t>
  </si>
  <si>
    <t>dosing_initial</t>
  </si>
  <si>
    <t>dosing_slug</t>
  </si>
  <si>
    <t>currentOperatingCost</t>
  </si>
  <si>
    <t>newOperatingCost</t>
  </si>
  <si>
    <t>updatedDateTime</t>
  </si>
  <si>
    <t>[48.38, 48.38]</t>
  </si>
  <si>
    <t>[25.03, 25.03]</t>
  </si>
  <si>
    <t>[8.02, 8.02]</t>
  </si>
  <si>
    <t>[5.34, 5.34]</t>
  </si>
  <si>
    <t>20230204-160652_2002ecfe-bd5b-4d66-b73c-bc6b1d75d014</t>
  </si>
  <si>
    <t>[35.34, 54.82]</t>
  </si>
  <si>
    <t>[24.91, 11.84]</t>
  </si>
  <si>
    <t>[9.55, 9.55]</t>
  </si>
  <si>
    <t>[4.47, 10.89]</t>
  </si>
  <si>
    <t>20230204-160652_99555fc7-8c3b-4882-a6f7-4504d0b92880</t>
  </si>
  <si>
    <t>[44.08, 48.64]</t>
  </si>
  <si>
    <t>[25.0, 20.54]</t>
  </si>
  <si>
    <t>[8.32, 8.32]</t>
  </si>
  <si>
    <t>[9.59, 9.69]</t>
  </si>
  <si>
    <t>20230204-160652_112b7c4b-48f6-4fee-9835-c897f50db736</t>
  </si>
  <si>
    <t>[29.5, 63.24]</t>
  </si>
  <si>
    <t>[24.97, 1.76]</t>
  </si>
  <si>
    <t>[10.16, 10.16]</t>
  </si>
  <si>
    <t>[2.0, 12.53]</t>
  </si>
  <si>
    <t>20230204-160652_e00046a6-6eb4-4c3d-a232-5e88faccf455</t>
  </si>
  <si>
    <t>[50.33, 50.33]</t>
  </si>
  <si>
    <t>[25.0, 25.0]</t>
  </si>
  <si>
    <t>[8.62, 8.62]</t>
  </si>
  <si>
    <t>[8.79, 8.79]</t>
  </si>
  <si>
    <t>20230204-160652_fab0dbb8-028f-4138-acb0-0f679b3742bd</t>
  </si>
  <si>
    <t>[24.62, 47.63]</t>
  </si>
  <si>
    <t>[24.87, 9.31]</t>
  </si>
  <si>
    <t>[9.25, 9.25]</t>
  </si>
  <si>
    <t>[2.01, 9.46]</t>
  </si>
  <si>
    <t>20230204-160652_6eb5ef77-735c-4259-917e-f1e351772977</t>
  </si>
  <si>
    <t>[41.14, 50.97]</t>
  </si>
  <si>
    <t>[24.94, 16.47]</t>
  </si>
  <si>
    <t>[8.6, 8.6]</t>
  </si>
  <si>
    <t>[8.78, 10.14]</t>
  </si>
  <si>
    <t>20230204-160652_d3ca2bbe-cc61-4fde-8bfc-9ffe281ed7a3</t>
  </si>
  <si>
    <t>[47.39, 47.39]</t>
  </si>
  <si>
    <t>[25.01, 25.01]</t>
  </si>
  <si>
    <t>[8.85, 8.85]</t>
  </si>
  <si>
    <t>[6.51, 6.51]</t>
  </si>
  <si>
    <t>20230204-160652_270e0bcf-5337-4ce8-af48-c8601e639e04</t>
  </si>
  <si>
    <t>[26.34, 59.73]</t>
  </si>
  <si>
    <t>[25.03, 1.2]</t>
  </si>
  <si>
    <t>[10.05, 10.05]</t>
  </si>
  <si>
    <t>[2.28, 11.83]</t>
  </si>
  <si>
    <t>20230204-160652_39b8955b-2c79-4917-ac03-a0880fdbbd46</t>
  </si>
  <si>
    <t>[32.22, 45.58]</t>
  </si>
  <si>
    <t>[25.01, 18.21]</t>
  </si>
  <si>
    <t>[8.82, 8.82]</t>
  </si>
  <si>
    <t>[2.52, 9.08]</t>
  </si>
  <si>
    <t>20230204-160652_d36adc95-942a-49a8-bced-44922c013e5e</t>
  </si>
  <si>
    <t>[49.15, 49.15]</t>
  </si>
  <si>
    <t>[25.08, 25.08]</t>
  </si>
  <si>
    <t>[9.65, 9.65]</t>
  </si>
  <si>
    <t>20230204-160652_0e42a183-e08c-4610-b39f-fa7f74843969</t>
  </si>
  <si>
    <t>[34.81, 67.44]</t>
  </si>
  <si>
    <t>[25.02, 3.73]</t>
  </si>
  <si>
    <t>[9.01, 9.01]</t>
  </si>
  <si>
    <t>[2.03, 13.36]</t>
  </si>
  <si>
    <t>20230204-160652_c3b98b40-ab60-425a-bdda-7e718e56c562</t>
  </si>
  <si>
    <t>[31.69, 47.08]</t>
  </si>
  <si>
    <t>[24.95, 14.45]</t>
  </si>
  <si>
    <t>[8.69, 8.69]</t>
  </si>
  <si>
    <t>[4.47, 9.36]</t>
  </si>
  <si>
    <t>20230204-160652_5abd403a-d726-45f8-b7e4-b4cdbe6cc1a9</t>
  </si>
  <si>
    <t>[30.61, 51.74]</t>
  </si>
  <si>
    <t>[25.0, 6.73]</t>
  </si>
  <si>
    <t>[8.24, 8.24]</t>
  </si>
  <si>
    <t>[7.41, 10.26]</t>
  </si>
  <si>
    <t>20230204-160652_4eff511c-025f-4e1b-9331-9f4deb00d65a</t>
  </si>
  <si>
    <t>[27.32, 54.41]</t>
  </si>
  <si>
    <t>[25.02, 6.69]</t>
  </si>
  <si>
    <t>[9.05, 9.05]</t>
  </si>
  <si>
    <t>[2.02, 10.79]</t>
  </si>
  <si>
    <t>20230204-160652_4527b027-783a-4a3e-800c-f2dc34ec0830</t>
  </si>
  <si>
    <t>[37.4, 56.78]</t>
  </si>
  <si>
    <t>[24.91, 12.62]</t>
  </si>
  <si>
    <t>[9.54, 9.54]</t>
  </si>
  <si>
    <t>[4.18, 11.28]</t>
  </si>
  <si>
    <t>20230204-160652_c5c6454b-51a1-4fda-aa0d-529316b48465</t>
  </si>
  <si>
    <t>[15.41, 43.56]</t>
  </si>
  <si>
    <t>[25.08, 2.43]</t>
  </si>
  <si>
    <t>[10.12, 10.12]</t>
  </si>
  <si>
    <t>[3.14, 8.63]</t>
  </si>
  <si>
    <t>20230204-160652_43d4023c-0c77-4e81-b9d5-c8c178f24cb5</t>
  </si>
  <si>
    <t>[26.17, 58.82]</t>
  </si>
  <si>
    <t>[24.97, 1.95]</t>
  </si>
  <si>
    <t>[9.14, 9.14]</t>
  </si>
  <si>
    <t>[2.01, 11.65]</t>
  </si>
  <si>
    <t>20230204-160652_74f0b3d5-caf9-4b5d-9a08-558e397f3fc9</t>
  </si>
  <si>
    <t>[47.96, 47.96]</t>
  </si>
  <si>
    <t>[25.06, 25.06]</t>
  </si>
  <si>
    <t>[9.41, 9.41]</t>
  </si>
  <si>
    <t>[5.61, 5.61]</t>
  </si>
  <si>
    <t>20230204-160652_326510b5-793c-4963-82db-7429b7c8d3f9</t>
  </si>
  <si>
    <t>[22.33, 45.65]</t>
  </si>
  <si>
    <t>[25.03, 8.78]</t>
  </si>
  <si>
    <t>[2.0, 9.06]</t>
  </si>
  <si>
    <t>20230204-160652_93b80a35-d03b-42cf-8cf3-91bfa591a408</t>
  </si>
  <si>
    <t>[18.68, 48.92]</t>
  </si>
  <si>
    <t>[25.07, 1.27]</t>
  </si>
  <si>
    <t>[7.95, 7.95]</t>
  </si>
  <si>
    <t>[3.25, 9.69]</t>
  </si>
  <si>
    <t>20230204-160652_a2aa0c9a-f8b5-486a-af18-6b7e3297075c</t>
  </si>
  <si>
    <t>[20.87, 54.55]</t>
  </si>
  <si>
    <t>[25.05, 0.17]</t>
  </si>
  <si>
    <t>[10.09, 10.09]</t>
  </si>
  <si>
    <t>[2.0, 10.8]</t>
  </si>
  <si>
    <t>20230204-160652_f8fc4306-d166-453b-8e33-a2ee021bbac5</t>
  </si>
  <si>
    <t>[21.37, 52.31]</t>
  </si>
  <si>
    <t>[25.01, 0.8]</t>
  </si>
  <si>
    <t>[3.63, 10.36]</t>
  </si>
  <si>
    <t>20230204-160652_7992da71-1662-43de-ae95-8d1b6fd30c32</t>
  </si>
  <si>
    <t>[25.97, 53.35]</t>
  </si>
  <si>
    <t>[25.09, 6.3]</t>
  </si>
  <si>
    <t>[9.13, 9.13]</t>
  </si>
  <si>
    <t>[2.0, 10.58]</t>
  </si>
  <si>
    <t>20230204-160652_a922fd44-3964-4aa1-8c28-94ef9c927970</t>
  </si>
  <si>
    <t>[49.44, 49.44]</t>
  </si>
  <si>
    <t>[8.25, 8.25]</t>
  </si>
  <si>
    <t>[6.9, 6.9]</t>
  </si>
  <si>
    <t>20230204-160652_21b5fbc6-6c83-4713-9b12-4d34ca9034c0</t>
  </si>
  <si>
    <t>[5.79, 34.68]</t>
  </si>
  <si>
    <t>[24.98, 0.16]</t>
  </si>
  <si>
    <t>[9.8, 9.8]</t>
  </si>
  <si>
    <t>[2.8, 6.87]</t>
  </si>
  <si>
    <t>20230204-161315_91352dc8-45fd-49f7-87fc-1fac06cdd8b8</t>
  </si>
  <si>
    <t>[39.58, 70.96]</t>
  </si>
  <si>
    <t>[24.8, 5.49]</t>
  </si>
  <si>
    <t>[7.94, 7.94]</t>
  </si>
  <si>
    <t>[2.0, 14.07]</t>
  </si>
  <si>
    <t>20230204-161315_c18632b4-4ec0-4111-9546-4b496a50f4e3</t>
  </si>
  <si>
    <t>[15.18, 43.78]</t>
  </si>
  <si>
    <t>[24.87, 2.95]</t>
  </si>
  <si>
    <t>[9.67, 9.67]</t>
  </si>
  <si>
    <t>[2.0, 8.68]</t>
  </si>
  <si>
    <t>20230204-161315_ac5da114-592c-44bf-a45d-3aa379063127</t>
  </si>
  <si>
    <t>[23.6, 51.7]</t>
  </si>
  <si>
    <t>[25.07, 2.47]</t>
  </si>
  <si>
    <t>[7.29, 7.29]</t>
  </si>
  <si>
    <t>[4.74, 10.24]</t>
  </si>
  <si>
    <t>20230204-161315_337ac0c4-cca7-4eb2-ae61-2531d62b51af</t>
  </si>
  <si>
    <t>[8.26, 32.73]</t>
  </si>
  <si>
    <t>[25.05, 1.29]</t>
  </si>
  <si>
    <t>[8.13, 8.13]</t>
  </si>
  <si>
    <t>[5.77, 6.49]</t>
  </si>
  <si>
    <t>20230204-161315_020ccc41-143d-4620-b7f7-e36c202f57e7</t>
  </si>
  <si>
    <t>[51.36, 51.36]</t>
  </si>
  <si>
    <t>[24.93, 24.93]</t>
  </si>
  <si>
    <t>[9.83, 9.83]</t>
  </si>
  <si>
    <t>[5.38, 5.38]</t>
  </si>
  <si>
    <t>20230204-161315_c9d3decf-a54e-412b-8ef8-74b7809bf909</t>
  </si>
  <si>
    <t>[26.43, 59.62]</t>
  </si>
  <si>
    <t>[24.98, 1.59]</t>
  </si>
  <si>
    <t>[2.02, 11.81]</t>
  </si>
  <si>
    <t>20230204-161315_c0f709e6-9c3e-497a-add1-63f302d9413a</t>
  </si>
  <si>
    <t>[64.08, 64.08]</t>
  </si>
  <si>
    <t>[7.89, 7.89]</t>
  </si>
  <si>
    <t>[3.36, 3.36]</t>
  </si>
  <si>
    <t>20230204-161315_44539f67-e12a-4365-a761-45da7ef788f4</t>
  </si>
  <si>
    <t>[14.24, 43.16]</t>
  </si>
  <si>
    <t>[24.95, 2.59]</t>
  </si>
  <si>
    <t>[9.84, 9.84]</t>
  </si>
  <si>
    <t>[2.0, 8.55]</t>
  </si>
  <si>
    <t>20230204-161315_41eeefb3-8790-454e-93c1-b3a04ffe9dd2</t>
  </si>
  <si>
    <t>[52.27, 80.54]</t>
  </si>
  <si>
    <t>[24.97, 6.81]</t>
  </si>
  <si>
    <t>[8.45, 8.45]</t>
  </si>
  <si>
    <t>[5.85, 15.97]</t>
  </si>
  <si>
    <t>20230204-161315_90fcb8fb-987a-45e6-86ab-f76005e7639b</t>
  </si>
  <si>
    <t>[9.55, 36.24]</t>
  </si>
  <si>
    <t>[24.94, 1.31]</t>
  </si>
  <si>
    <t>[9.11, 9.11]</t>
  </si>
  <si>
    <t>[4.13, 7.18]</t>
  </si>
  <si>
    <t>20230204-161315_17c1cd67-cae8-437a-9652-d5c19437b078</t>
  </si>
  <si>
    <t>[45.2, 72.17]</t>
  </si>
  <si>
    <t>[24.95, 5.61]</t>
  </si>
  <si>
    <t>[8.05, 8.05]</t>
  </si>
  <si>
    <t>[6.67, 14.31]</t>
  </si>
  <si>
    <t>20230204-161315_8eee0256-59bc-4ce3-a30a-5382b8e20255</t>
  </si>
  <si>
    <t>[56.06, 84.38]</t>
  </si>
  <si>
    <t>[24.99, 7.55]</t>
  </si>
  <si>
    <t>[8.44, 8.44]</t>
  </si>
  <si>
    <t>[5.84, 16.73]</t>
  </si>
  <si>
    <t>20230204-161315_5e25c133-a876-4251-b978-b5a07e0a77bd</t>
  </si>
  <si>
    <t>[23.32, 54.3]</t>
  </si>
  <si>
    <t>[25.06, 0.84]</t>
  </si>
  <si>
    <t>[9.38, 9.38]</t>
  </si>
  <si>
    <t>[4.0, 10.75]</t>
  </si>
  <si>
    <t>20230204-161315_9307c778-4377-450c-bcb6-c822eb934dd8</t>
  </si>
  <si>
    <t>[31.42, 63.08]</t>
  </si>
  <si>
    <t>[25.18, 4.02]</t>
  </si>
  <si>
    <t>[7.91, 7.91]</t>
  </si>
  <si>
    <t>[2.0, 12.5]</t>
  </si>
  <si>
    <t>20230204-161315_74a80635-e644-4046-9984-5c01f8576e73</t>
  </si>
  <si>
    <t>[9.56, 39.0]</t>
  </si>
  <si>
    <t>[25.03, 1.14]</t>
  </si>
  <si>
    <t>[10.08, 10.08]</t>
  </si>
  <si>
    <t>[2.17, 7.73]</t>
  </si>
  <si>
    <t>20230204-161315_e1290cce-948e-4477-b98c-ec25375053c9</t>
  </si>
  <si>
    <t>[35.52, 61.2]</t>
  </si>
  <si>
    <t>[25.01, 8.11]</t>
  </si>
  <si>
    <t>[9.6, 9.6]</t>
  </si>
  <si>
    <t>[3.36, 12.14]</t>
  </si>
  <si>
    <t>20230204-161315_20fbdb18-33e5-4e31-bfe1-76df41a7e202</t>
  </si>
  <si>
    <t>[44.47, 74.15]</t>
  </si>
  <si>
    <t>[25.07, 4.61]</t>
  </si>
  <si>
    <t>[5.47, 14.69]</t>
  </si>
  <si>
    <t>20230204-161315_d2524044-50c0-471e-9160-5ca0a60c9f8e</t>
  </si>
  <si>
    <t>[12.91, 44.37]</t>
  </si>
  <si>
    <t>[24.81, 0.14]</t>
  </si>
  <si>
    <t>[8.2, 8.2]</t>
  </si>
  <si>
    <t>[2.0, 8.78]</t>
  </si>
  <si>
    <t>20230204-161315_6230373d-14ce-422d-8422-db746e92b142</t>
  </si>
  <si>
    <t>[34.07, 62.56]</t>
  </si>
  <si>
    <t>[24.99, 3.6]</t>
  </si>
  <si>
    <t>[8.22, 8.22]</t>
  </si>
  <si>
    <t>[5.29, 12.4]</t>
  </si>
  <si>
    <t>20230204-161315_0ef14bcd-df90-453b-922f-49d6953fa13e</t>
  </si>
  <si>
    <t>[26.06, 53.61]</t>
  </si>
  <si>
    <t>[25.14, 1.84]</t>
  </si>
  <si>
    <t>[8.27, 8.27]</t>
  </si>
  <si>
    <t>[6.37, 10.62]</t>
  </si>
  <si>
    <t>20230204-161315_db37e0d8-9ac0-4cc2-b48e-c9dca0847f67</t>
  </si>
  <si>
    <t>[33.85, 63.5]</t>
  </si>
  <si>
    <t>[24.85, 2.52]</t>
  </si>
  <si>
    <t>[9.46, 9.46]</t>
  </si>
  <si>
    <t>[5.25, 12.58]</t>
  </si>
  <si>
    <t>20230204-161315_07de088f-9dd3-4dda-97cf-d19eb18679a3</t>
  </si>
  <si>
    <t>[46.14, 62.98]</t>
  </si>
  <si>
    <t>[25.17, 14.79]</t>
  </si>
  <si>
    <t>[9.81, 9.81]</t>
  </si>
  <si>
    <t>[6.05, 12.51]</t>
  </si>
  <si>
    <t>20230204-161315_47794b0e-b598-4ecd-8308-11c4a9b03d20</t>
  </si>
  <si>
    <t>[12.52, 37.34]</t>
  </si>
  <si>
    <t>[24.9, 2.48]</t>
  </si>
  <si>
    <t>[8.28, 8.28]</t>
  </si>
  <si>
    <t>[4.99, 7.4]</t>
  </si>
  <si>
    <t>20230204-161315_4fac19bf-be0e-4830-b177-06b8b932ab9b</t>
  </si>
  <si>
    <t>[49.86, 73.44]</t>
  </si>
  <si>
    <t>[25.18, 13.32]</t>
  </si>
  <si>
    <t>[8.0, 8.0]</t>
  </si>
  <si>
    <t>[2.85, 14.58]</t>
  </si>
  <si>
    <t>20230204-161940_b5aa3c25-f98c-4548-a6bd-aefc752f69df</t>
  </si>
  <si>
    <t>[29.57, 61.74]</t>
  </si>
  <si>
    <t>[25.15, 1.86]</t>
  </si>
  <si>
    <t>[9.78, 9.78]</t>
  </si>
  <si>
    <t>[3.35, 12.23]</t>
  </si>
  <si>
    <t>20230204-161940_669a4f16-6e26-47c3-bd3d-f0b3d1d0b95e</t>
  </si>
  <si>
    <t>[22.04, 53.58]</t>
  </si>
  <si>
    <t>[24.96, 0.54]</t>
  </si>
  <si>
    <t>[3.5, 10.61]</t>
  </si>
  <si>
    <t>20230204-161940_1696e315-f61f-4157-9758-68c416da3ba7</t>
  </si>
  <si>
    <t>[15.79, 49.24]</t>
  </si>
  <si>
    <t>[33.49, 3.96]</t>
  </si>
  <si>
    <t>[10.24, 10.24]</t>
  </si>
  <si>
    <t>[5.83, 9.76]</t>
  </si>
  <si>
    <t>20230204-161940_5ccf4030-eb78-4992-aaa0-f37b239fc28f</t>
  </si>
  <si>
    <t>[8.44, 43.87]</t>
  </si>
  <si>
    <t>[34.95, 3.09]</t>
  </si>
  <si>
    <t>[5.12, 8.7]</t>
  </si>
  <si>
    <t>20230204-161940_8298a46e-ef95-4a25-9f54-4b055c90b1fd</t>
  </si>
  <si>
    <t>[22.62, 49.2]</t>
  </si>
  <si>
    <t>[25.02, 4.97]</t>
  </si>
  <si>
    <t>[9.24, 9.24]</t>
  </si>
  <si>
    <t>[3.22, 9.76]</t>
  </si>
  <si>
    <t>20230204-161940_a2738943-0b03-446e-b973-af40f204db84</t>
  </si>
  <si>
    <t>[26.74, 58.2]</t>
  </si>
  <si>
    <t>[25.01, 2.99]</t>
  </si>
  <si>
    <t>[2.09, 11.53]</t>
  </si>
  <si>
    <t>20230204-161940_71363234-a300-4312-9579-39e8b34096b7</t>
  </si>
  <si>
    <t>[14.29, 45.48]</t>
  </si>
  <si>
    <t>[25.08, 0.89]</t>
  </si>
  <si>
    <t>[7.67, 7.67]</t>
  </si>
  <si>
    <t>[2.0, 9.01]</t>
  </si>
  <si>
    <t>20230204-161940_55fd6eec-b5c6-42ff-94f0-3f6212519031</t>
  </si>
  <si>
    <t>[43.03, 73.7]</t>
  </si>
  <si>
    <t>[24.83, 6.18]</t>
  </si>
  <si>
    <t>[7.78, 7.78]</t>
  </si>
  <si>
    <t>[2.6, 14.61]</t>
  </si>
  <si>
    <t>20230204-161940_7f7d2fa2-4db7-4bfc-a70a-bf94d004b1c4</t>
  </si>
  <si>
    <t>[15.42, 41.48]</t>
  </si>
  <si>
    <t>[25.19, 3.21]</t>
  </si>
  <si>
    <t>[8.75, 8.75]</t>
  </si>
  <si>
    <t>[4.14, 8.22]</t>
  </si>
  <si>
    <t>20230204-161940_6bb85cae-d577-4efa-9e80-71e64d32fdac</t>
  </si>
  <si>
    <t>[2.22, 40.1]</t>
  </si>
  <si>
    <t>[34.97, 2.43]</t>
  </si>
  <si>
    <t>[9.12, 9.12]</t>
  </si>
  <si>
    <t>[2.6, 7.95]</t>
  </si>
  <si>
    <t>20230204-161940_330582db-8de1-4789-af78-f5c23e0515fd</t>
  </si>
  <si>
    <t>[7.42, 35.26]</t>
  </si>
  <si>
    <t>[25.1, 2.25]</t>
  </si>
  <si>
    <t>[2.0, 6.99]</t>
  </si>
  <si>
    <t>20230204-161940_4e8d8934-b950-42ab-91de-02eab0731f3f</t>
  </si>
  <si>
    <t>[17.14, 48.87]</t>
  </si>
  <si>
    <t>[25.03, 0.37]</t>
  </si>
  <si>
    <t>[2.6, 9.68]</t>
  </si>
  <si>
    <t>20230204-161940_49b0d643-eca4-4310-95e9-df8668edea2c</t>
  </si>
  <si>
    <t>[13.79, 41.88]</t>
  </si>
  <si>
    <t>[24.98, 3.11]</t>
  </si>
  <si>
    <t>[8.97, 8.97]</t>
  </si>
  <si>
    <t>[2.08, 8.3]</t>
  </si>
  <si>
    <t>20230204-161940_b8b608f7-a603-484a-8c2a-a4d159c353b0</t>
  </si>
  <si>
    <t>[2.12, 40.47]</t>
  </si>
  <si>
    <t>[35.05, 2.72]</t>
  </si>
  <si>
    <t>[8.95, 8.95]</t>
  </si>
  <si>
    <t>[2.0, 8.02]</t>
  </si>
  <si>
    <t>20230204-161940_b098edc8-b0f1-4c75-a2af-7f67c5b1a006</t>
  </si>
  <si>
    <t>[16.66, 50.99]</t>
  </si>
  <si>
    <t>[29.9, 0.69]</t>
  </si>
  <si>
    <t>[8.91, 8.91]</t>
  </si>
  <si>
    <t>[4.99, 10.1]</t>
  </si>
  <si>
    <t>20230204-161940_d0654960-d4a8-4ebf-89e8-4ef79766dafd</t>
  </si>
  <si>
    <t>[2.25, 40.59]</t>
  </si>
  <si>
    <t>[34.94, 2.64]</t>
  </si>
  <si>
    <t>[9.06, 9.06]</t>
  </si>
  <si>
    <t>[2.0, 8.05]</t>
  </si>
  <si>
    <t>20230204-161940_24999d64-ae9a-4bf1-9e01-545f40a200af</t>
  </si>
  <si>
    <t>[17.29, 51.14]</t>
  </si>
  <si>
    <t>[29.99, 0.39]</t>
  </si>
  <si>
    <t>[9.23, 9.23]</t>
  </si>
  <si>
    <t>[5.89, 10.13]</t>
  </si>
  <si>
    <t>20230204-161940_b6524f31-8bbc-4434-a8eb-a220a1e50913</t>
  </si>
  <si>
    <t>[2.02, 40.29]</t>
  </si>
  <si>
    <t>[34.98, 2.69]</t>
  </si>
  <si>
    <t>[8.92, 8.92]</t>
  </si>
  <si>
    <t>[2.0, 7.99]</t>
  </si>
  <si>
    <t>20230204-161940_f791e109-5949-460c-9ee6-75d59a50a7f3</t>
  </si>
  <si>
    <t>[38.53, 69.46]</t>
  </si>
  <si>
    <t>[24.84, 5.3]</t>
  </si>
  <si>
    <t>[7.85, 7.85]</t>
  </si>
  <si>
    <t>[2.39, 13.77]</t>
  </si>
  <si>
    <t>20230204-161940_16b7d7f2-6364-44cd-b718-af28e797449f</t>
  </si>
  <si>
    <t>[24.91, 56.3]</t>
  </si>
  <si>
    <t>[25.01, 1.68]</t>
  </si>
  <si>
    <t>[8.93, 8.93]</t>
  </si>
  <si>
    <t>[3.1, 11.15]</t>
  </si>
  <si>
    <t>20230204-161940_011fb6e1-ac91-412d-8071-8965b7627169</t>
  </si>
  <si>
    <t>[6.18, 34.94]</t>
  </si>
  <si>
    <t>[24.99, 1.15]</t>
  </si>
  <si>
    <t>[8.9, 8.9]</t>
  </si>
  <si>
    <t>[2.0, 6.92]</t>
  </si>
  <si>
    <t>20230204-162602_6cb08677-e976-45ae-87db-f4548b79c838</t>
  </si>
  <si>
    <t>[34.98, 66.76]</t>
  </si>
  <si>
    <t>[24.86, 4.31]</t>
  </si>
  <si>
    <t>[2.0, 13.23]</t>
  </si>
  <si>
    <t>20230204-162602_f75dbaf7-3d38-45a0-93cd-f27506314615</t>
  </si>
  <si>
    <t>[20.97, 52.63]</t>
  </si>
  <si>
    <t>[24.95, 1.72]</t>
  </si>
  <si>
    <t>[2.0, 10.43]</t>
  </si>
  <si>
    <t>20230204-162602_db6e0a5f-c355-4cd8-8129-4f8633a2f92e</t>
  </si>
  <si>
    <t>[44.64, 69.68]</t>
  </si>
  <si>
    <t>[25.05, 11.84]</t>
  </si>
  <si>
    <t>[8.37, 8.37]</t>
  </si>
  <si>
    <t>[2.0, 13.83]</t>
  </si>
  <si>
    <t>20230204-162602_1ad30b17-4fbc-4f3e-a995-e7e0ad0ce9a1</t>
  </si>
  <si>
    <t>[3.85, 32.91]</t>
  </si>
  <si>
    <t>[25.18, 0.63]</t>
  </si>
  <si>
    <t>[8.83, 8.83]</t>
  </si>
  <si>
    <t>[2.0, 6.52]</t>
  </si>
  <si>
    <t>20230204-162602_35725284-e655-4bdd-9c7f-64255cac374b</t>
  </si>
  <si>
    <t>[14.95, 46.83]</t>
  </si>
  <si>
    <t>[24.93, 0.32]</t>
  </si>
  <si>
    <t>[8.49, 8.49]</t>
  </si>
  <si>
    <t>[2.0, 9.27]</t>
  </si>
  <si>
    <t>20230204-162602_6402f738-41ad-49a3-925b-08f6a2748f4a</t>
  </si>
  <si>
    <t>[30.58, 63.17]</t>
  </si>
  <si>
    <t>[25.14, 3.07]</t>
  </si>
  <si>
    <t>[8.86, 8.86]</t>
  </si>
  <si>
    <t>[2.0, 12.52]</t>
  </si>
  <si>
    <t>20230204-162602_8f298c37-cf64-402d-94f8-78d928747063</t>
  </si>
  <si>
    <t>[22.82, 55.53]</t>
  </si>
  <si>
    <t>[24.81, 1.09]</t>
  </si>
  <si>
    <t>[9.36, 9.36]</t>
  </si>
  <si>
    <t>[2.0, 11.0]</t>
  </si>
  <si>
    <t>20230204-162602_6ee43f9d-1c3f-490d-a050-08ec37dfcaeb</t>
  </si>
  <si>
    <t>[34.43, 66.71]</t>
  </si>
  <si>
    <t>[25.15, 4.09]</t>
  </si>
  <si>
    <t>[8.52, 8.52]</t>
  </si>
  <si>
    <t>[2.0, 13.22]</t>
  </si>
  <si>
    <t>20230204-162602_90ef631e-a868-43ff-9ee3-a9d271025600</t>
  </si>
  <si>
    <t>[19.24, 51.05]</t>
  </si>
  <si>
    <t>[25.05, 1.35]</t>
  </si>
  <si>
    <t>[2.0, 10.11]</t>
  </si>
  <si>
    <t>20230204-162602_99045306-03a0-4762-9b7c-0c8277dbc925</t>
  </si>
  <si>
    <t>[39.09, 71.74]</t>
  </si>
  <si>
    <t>[25.19, 4.76]</t>
  </si>
  <si>
    <t>[8.8, 8.8]</t>
  </si>
  <si>
    <t>[2.0, 14.22]</t>
  </si>
  <si>
    <t>20230204-162602_f6a6d0fb-a0f1-4555-93d1-4688dd52685a</t>
  </si>
  <si>
    <t>[40.17, 72.17]</t>
  </si>
  <si>
    <t>[24.81, 5.12]</t>
  </si>
  <si>
    <t>[8.54, 8.54]</t>
  </si>
  <si>
    <t>[2.0, 14.3]</t>
  </si>
  <si>
    <t>20230204-162602_55c4c123-e1f6-47b3-9608-d1900a8c47f8</t>
  </si>
  <si>
    <t>[31.14, 63.2]</t>
  </si>
  <si>
    <t>[24.88, 3.35]</t>
  </si>
  <si>
    <t>[8.59, 8.59]</t>
  </si>
  <si>
    <t>20230204-162602_68e631f7-fe63-4606-be36-47dc9a792f90</t>
  </si>
  <si>
    <t>[19.46, 51.35]</t>
  </si>
  <si>
    <t>[25.06, 1.33]</t>
  </si>
  <si>
    <t>[8.35, 8.35]</t>
  </si>
  <si>
    <t>[2.0, 10.17]</t>
  </si>
  <si>
    <t>20230204-162602_432aac77-3e85-4667-84ed-4536c19bc1a3</t>
  </si>
  <si>
    <t>[29.85, 61.97]</t>
  </si>
  <si>
    <t>[24.82, 2.99]</t>
  </si>
  <si>
    <t>[8.71, 8.71]</t>
  </si>
  <si>
    <t>[1.99, 12.28]</t>
  </si>
  <si>
    <t>20230204-162602_ebe99646-f5e2-422b-98da-f07c1bd2b4c9</t>
  </si>
  <si>
    <t>[28.49, 61.56]</t>
  </si>
  <si>
    <t>[25.14, 2.27]</t>
  </si>
  <si>
    <t>[9.34, 9.34]</t>
  </si>
  <si>
    <t>[2.0, 12.19]</t>
  </si>
  <si>
    <t>20230204-162602_f7f0ce25-407c-4b30-968e-a967772b3d1d</t>
  </si>
  <si>
    <t>[11.23, 39.34]</t>
  </si>
  <si>
    <t>[24.91, 2.6]</t>
  </si>
  <si>
    <t>[8.74, 8.74]</t>
  </si>
  <si>
    <t>[2.0, 7.8]</t>
  </si>
  <si>
    <t>20230204-162602_59b604ee-f80e-429e-9f33-a8d2fe874ab9</t>
  </si>
  <si>
    <t>[18.08, 49.99]</t>
  </si>
  <si>
    <t>[24.98, 0.97]</t>
  </si>
  <si>
    <t>[2.0, 9.9]</t>
  </si>
  <si>
    <t>20230204-162602_80f6217c-e0f0-4c1a-b291-b25f8547d817</t>
  </si>
  <si>
    <t>[47.19, 47.19]</t>
  </si>
  <si>
    <t>[24.97, 24.97]</t>
  </si>
  <si>
    <t>[9.1, 9.1]</t>
  </si>
  <si>
    <t>[2.0, 2.0]</t>
  </si>
  <si>
    <t>20230204-162602_b4176341-9e94-4677-8a3b-64dc122428ec</t>
  </si>
  <si>
    <t>[25.42, 57.73]</t>
  </si>
  <si>
    <t>[25.06, 2.2]</t>
  </si>
  <si>
    <t>[2.0, 11.44]</t>
  </si>
  <si>
    <t>20230204-162602_99be4bf4-0735-420d-b4ff-792e3783208c</t>
  </si>
  <si>
    <t>[20.81, 52.67]</t>
  </si>
  <si>
    <t>[24.95, 1.53]</t>
  </si>
  <si>
    <t>[8.4, 8.4]</t>
  </si>
  <si>
    <t>20230204-162602_1682a359-b710-4c8c-b165-638bbb24d498</t>
  </si>
  <si>
    <t>[15.32, 43.97]</t>
  </si>
  <si>
    <t>[24.98, 3.04]</t>
  </si>
  <si>
    <t>[9.64, 9.64]</t>
  </si>
  <si>
    <t>[2.0, 8.72]</t>
  </si>
  <si>
    <t>20230204-162602_8e4c90e8-c938-4dbc-85f2-1b8b57d6a6ed</t>
  </si>
  <si>
    <t>[39.68, 65.38]</t>
  </si>
  <si>
    <t>[25.12, 10.4]</t>
  </si>
  <si>
    <t>[8.56, 8.56]</t>
  </si>
  <si>
    <t>[2.0, 12.97]</t>
  </si>
  <si>
    <t>20230204-162602_4e869081-fd05-470c-99e3-3f4cf39634b1</t>
  </si>
  <si>
    <t>[3.36, 31.25]</t>
  </si>
  <si>
    <t>[25.17, 1.47]</t>
  </si>
  <si>
    <t>[10.62, 10.62]</t>
  </si>
  <si>
    <t>[2.0, 6.19]</t>
  </si>
  <si>
    <t>20230204-163228_9cadf07f-d77d-4cf3-9589-b1c2fd0c30fa</t>
  </si>
  <si>
    <t>[23.35, 56.47]</t>
  </si>
  <si>
    <t>[25.01, 1.07]</t>
  </si>
  <si>
    <t>[9.56, 9.56]</t>
  </si>
  <si>
    <t>[2.0, 11.18]</t>
  </si>
  <si>
    <t>20230204-163228_d4aac477-4f9f-441e-9337-757c6a96df4a</t>
  </si>
  <si>
    <t>[30.92, 57.42]</t>
  </si>
  <si>
    <t>[24.98, 7.87]</t>
  </si>
  <si>
    <t>[2.0, 11.39]</t>
  </si>
  <si>
    <t>20230204-163228_f4d9136d-7c5f-4115-bed5-81e02ade9b44</t>
  </si>
  <si>
    <t>[8.96, 35.78]</t>
  </si>
  <si>
    <t>[25.02, 0.42]</t>
  </si>
  <si>
    <t>[9.85, 9.85]</t>
  </si>
  <si>
    <t>[4.87, 7.09]</t>
  </si>
  <si>
    <t>20230204-163228_44f0f0bd-fd82-44c2-9d63-55e7a60fb289</t>
  </si>
  <si>
    <t>[50.58, 50.58]</t>
  </si>
  <si>
    <t>[25.07, 25.07]</t>
  </si>
  <si>
    <t>[9.94, 9.94]</t>
  </si>
  <si>
    <t>[4.18, 4.18]</t>
  </si>
  <si>
    <t>20230204-163228_392e2257-671b-4dee-85c8-35d8b238f46b</t>
  </si>
  <si>
    <t>[19.96, 43.5]</t>
  </si>
  <si>
    <t>[24.84, 2.51]</t>
  </si>
  <si>
    <t>[10.02, 10.02]</t>
  </si>
  <si>
    <t>[7.4, 8.62]</t>
  </si>
  <si>
    <t>20230204-163228_1d886f71-5eac-4070-a368-052da601ac6c</t>
  </si>
  <si>
    <t>[26.4, 60.52]</t>
  </si>
  <si>
    <t>[25.02, 0.88]</t>
  </si>
  <si>
    <t>[10.51, 10.51]</t>
  </si>
  <si>
    <t>[2.0, 11.99]</t>
  </si>
  <si>
    <t>20230204-163228_5af75082-cda2-4678-a54d-ff0127ab1b83</t>
  </si>
  <si>
    <t>[34.31, 60.37]</t>
  </si>
  <si>
    <t>[24.99, 8.9]</t>
  </si>
  <si>
    <t>[2.0, 11.98]</t>
  </si>
  <si>
    <t>20230204-163228_e4972e1b-d56c-4881-86fe-46218ff5ef74</t>
  </si>
  <si>
    <t>[3.25, 30.4]</t>
  </si>
  <si>
    <t>[24.91, 1.79]</t>
  </si>
  <si>
    <t>[9.98, 9.98]</t>
  </si>
  <si>
    <t>[2.0, 6.02]</t>
  </si>
  <si>
    <t>20230204-163228_961034e0-fa5a-4d68-a862-515841e08b48</t>
  </si>
  <si>
    <t>[20.56, 52.75]</t>
  </si>
  <si>
    <t>[24.89, 0.79]</t>
  </si>
  <si>
    <t>[2.35, 10.45]</t>
  </si>
  <si>
    <t>20230204-163228_b4cd858d-cbe2-462f-b0a3-1e74a4df1bca</t>
  </si>
  <si>
    <t>[42.83, 68.87]</t>
  </si>
  <si>
    <t>[25.18, 3.04]</t>
  </si>
  <si>
    <t>[9.96, 9.96]</t>
  </si>
  <si>
    <t>[9.75, 13.64]</t>
  </si>
  <si>
    <t>20230204-163228_6d69ac3d-5298-427f-9cd3-2d5b0d1ca158</t>
  </si>
  <si>
    <t>[55.67, 75.71]</t>
  </si>
  <si>
    <t>[24.95, 11.58]</t>
  </si>
  <si>
    <t>[10.36, 10.36]</t>
  </si>
  <si>
    <t>[8.36, 15.02]</t>
  </si>
  <si>
    <t>20230204-163228_6f48bf9a-3fb6-48df-8f49-6f2209e4b3af</t>
  </si>
  <si>
    <t>[5.14, 32.24]</t>
  </si>
  <si>
    <t>[25.06, 2.31]</t>
  </si>
  <si>
    <t>[10.19, 10.19]</t>
  </si>
  <si>
    <t>[2.03, 6.39]</t>
  </si>
  <si>
    <t>20230204-163228_05325a78-0675-4039-8882-cffcc3b78bc6</t>
  </si>
  <si>
    <t>[5.27, 31.63]</t>
  </si>
  <si>
    <t>[24.77, 2.27]</t>
  </si>
  <si>
    <t>[2.42, 6.27]</t>
  </si>
  <si>
    <t>20230204-163228_c57d0b80-8e56-42bc-8721-1c36d262d6ef</t>
  </si>
  <si>
    <t>[41.8, 41.8]</t>
  </si>
  <si>
    <t>[25.04, 25.04]</t>
  </si>
  <si>
    <t>[8.76, 8.76]</t>
  </si>
  <si>
    <t>20230204-163228_b5a51695-f7fc-43bc-b477-c4f3e78d5541</t>
  </si>
  <si>
    <t>[44.99, 44.99]</t>
  </si>
  <si>
    <t>[24.99, 24.99]</t>
  </si>
  <si>
    <t>[8.31, 8.31]</t>
  </si>
  <si>
    <t>20230204-163228_34a68c8f-5108-4dd4-9e08-83271423bc71</t>
  </si>
  <si>
    <t>[25.01, 57.49]</t>
  </si>
  <si>
    <t>[25.13, 0.57]</t>
  </si>
  <si>
    <t>[10.25, 10.25]</t>
  </si>
  <si>
    <t>[3.47, 11.38]</t>
  </si>
  <si>
    <t>20230204-163228_cc6641b5-feb8-4e28-8b26-7e4531ffb807</t>
  </si>
  <si>
    <t>[28.06, 61.94]</t>
  </si>
  <si>
    <t>[24.95, 1.34]</t>
  </si>
  <si>
    <t>[10.33, 10.33]</t>
  </si>
  <si>
    <t>[2.0, 12.27]</t>
  </si>
  <si>
    <t>20230204-163228_8e3e2b9d-9802-44f5-9363-e1daa40f923d</t>
  </si>
  <si>
    <t>[48.3, 48.3]</t>
  </si>
  <si>
    <t>[25.16, 25.16]</t>
  </si>
  <si>
    <t>[10.29, 10.29]</t>
  </si>
  <si>
    <t>[2.03, 2.03]</t>
  </si>
  <si>
    <t>20230204-163228_567ee266-6182-44d0-ba87-68d0b96308dd</t>
  </si>
  <si>
    <t>[39.62, 69.57]</t>
  </si>
  <si>
    <t>[25.15, 3.61]</t>
  </si>
  <si>
    <t>[9.53, 9.53]</t>
  </si>
  <si>
    <t>[5.38, 13.78]</t>
  </si>
  <si>
    <t>20230204-163228_ab778cfe-e213-44de-aaf0-af4f25431fe8</t>
  </si>
  <si>
    <t>[59.4, 59.4]</t>
  </si>
  <si>
    <t>[24.81, 24.81]</t>
  </si>
  <si>
    <t>[3.33, 3.33]</t>
  </si>
  <si>
    <t>20230204-163228_7d42abf7-549f-4481-94b0-d74d24357abe</t>
  </si>
  <si>
    <t>[19.37, 51.24]</t>
  </si>
  <si>
    <t>[25.01, 1.29]</t>
  </si>
  <si>
    <t>[2.0, 10.15]</t>
  </si>
  <si>
    <t>20230204-163228_232f0df2-d2fd-4d6a-9561-76ac96f8409f</t>
  </si>
  <si>
    <t>[67.78, 67.78]</t>
  </si>
  <si>
    <t>[10.3, 10.3]</t>
  </si>
  <si>
    <t>[9.9, 9.9]</t>
  </si>
  <si>
    <t>20230204-163228_ef90db46-46d1-4da8-8236-3e2a514ce119</t>
  </si>
  <si>
    <t>[34.92, 68.76]</t>
  </si>
  <si>
    <t>[24.95, 2.32]</t>
  </si>
  <si>
    <t>[10.64, 10.64]</t>
  </si>
  <si>
    <t>[2.41, 13.62]</t>
  </si>
  <si>
    <t>20230204-163852_8ad59907-34b7-4839-9946-9cfea0696c68</t>
  </si>
  <si>
    <t>[14.2, 43.99]</t>
  </si>
  <si>
    <t>[24.99, 1.92]</t>
  </si>
  <si>
    <t>[10.74, 10.74]</t>
  </si>
  <si>
    <t>20230204-163852_a0238ab2-eec5-4580-a9b7-395b2a5cf700</t>
  </si>
  <si>
    <t>[45.39, 69.82]</t>
  </si>
  <si>
    <t>[14.97, 2.32]</t>
  </si>
  <si>
    <t>[10.85, 10.85]</t>
  </si>
  <si>
    <t>[2.04, 13.83]</t>
  </si>
  <si>
    <t>20230204-163852_9313205f-ffd4-482a-8e4b-90190fe206c2</t>
  </si>
  <si>
    <t>[45.44, 76.38]</t>
  </si>
  <si>
    <t>[24.98, 4.31]</t>
  </si>
  <si>
    <t>[4.87, 15.14]</t>
  </si>
  <si>
    <t>20230204-163852_1304ddfc-af5f-4c90-81db-1d63ad22f719</t>
  </si>
  <si>
    <t>[31.86, 51.39]</t>
  </si>
  <si>
    <t>[15.08, 3.72]</t>
  </si>
  <si>
    <t>[11.1, 11.1]</t>
  </si>
  <si>
    <t>[2.01, 10.19]</t>
  </si>
  <si>
    <t>20230204-163852_ad8b0826-c7db-4aa8-9ca0-ed0a3d544bb5</t>
  </si>
  <si>
    <t>[7.54, 23.27]</t>
  </si>
  <si>
    <t>[14.93, 1.46]</t>
  </si>
  <si>
    <t>[7.55, 7.55]</t>
  </si>
  <si>
    <t>[2.35, 4.61]</t>
  </si>
  <si>
    <t>20230204-163852_84c1a374-b60c-4693-b453-c83eb51da72b</t>
  </si>
  <si>
    <t>[17.83, 38.21]</t>
  </si>
  <si>
    <t>[14.97, 0.17]</t>
  </si>
  <si>
    <t>[10.8, 10.8]</t>
  </si>
  <si>
    <t>[2.0, 7.57]</t>
  </si>
  <si>
    <t>20230204-163852_1fd1339f-62ab-4dcb-8781-3a8d1dbcf50a</t>
  </si>
  <si>
    <t>[69.86, 89.27]</t>
  </si>
  <si>
    <t>[14.99, 5.14]</t>
  </si>
  <si>
    <t>[11.73, 11.73]</t>
  </si>
  <si>
    <t>[8.13, 17.69]</t>
  </si>
  <si>
    <t>20230204-163852_78835765-2c43-408f-bd6e-32bdbc233ece</t>
  </si>
  <si>
    <t>[70.22, 70.22]</t>
  </si>
  <si>
    <t>[17.77, 17.77]</t>
  </si>
  <si>
    <t>[6.46, 6.46]</t>
  </si>
  <si>
    <t>20230204-163852_57893447-e073-4651-a9f3-1eb7a23f4001</t>
  </si>
  <si>
    <t>[6.74, 36.0]</t>
  </si>
  <si>
    <t>[24.99, 0.23]</t>
  </si>
  <si>
    <t>[10.11, 10.11]</t>
  </si>
  <si>
    <t>[2.63, 7.13]</t>
  </si>
  <si>
    <t>20230204-163852_872877e1-d342-4fbe-9992-136e0723f9d9</t>
  </si>
  <si>
    <t>[70.15, 70.15]</t>
  </si>
  <si>
    <t>[20.04, 20.04]</t>
  </si>
  <si>
    <t>[6.41, 6.41]</t>
  </si>
  <si>
    <t>[10.0, 10.0]</t>
  </si>
  <si>
    <t>20230204-163852_27fbb9ed-067a-4ce1-a42b-25e407e39ad5</t>
  </si>
  <si>
    <t>[65.3, 65.3]</t>
  </si>
  <si>
    <t>[15.02, 15.02]</t>
  </si>
  <si>
    <t>[11.21, 11.21]</t>
  </si>
  <si>
    <t>[4.74, 4.74]</t>
  </si>
  <si>
    <t>20230204-163852_e594e12f-a023-458f-933c-e78567b3faaf</t>
  </si>
  <si>
    <t>[25.31, 56.8]</t>
  </si>
  <si>
    <t>[25.06, 0.72]</t>
  </si>
  <si>
    <t>[9.97, 9.97]</t>
  </si>
  <si>
    <t>[4.1, 11.25]</t>
  </si>
  <si>
    <t>20230204-163852_614230fe-fc29-4f43-b2ec-be9f90d430a5</t>
  </si>
  <si>
    <t>[14.94, 31.0]</t>
  </si>
  <si>
    <t>[15.03, 0.34]</t>
  </si>
  <si>
    <t>[5.49, 5.49]</t>
  </si>
  <si>
    <t>[4.76, 6.14]</t>
  </si>
  <si>
    <t>20230204-163852_6b79eb15-c747-46dd-b538-1f564e6d7aab</t>
  </si>
  <si>
    <t>[46.56, 77.89]</t>
  </si>
  <si>
    <t>[25.02, 4.81]</t>
  </si>
  <si>
    <t>[9.91, 9.91]</t>
  </si>
  <si>
    <t>[4.32, 15.44]</t>
  </si>
  <si>
    <t>20230204-163852_21dfcd71-d61f-4eac-9b8e-58136c6f9045</t>
  </si>
  <si>
    <t>[41.83, 61.27]</t>
  </si>
  <si>
    <t>[14.93, 0.43]</t>
  </si>
  <si>
    <t>[7.19, 12.13]</t>
  </si>
  <si>
    <t>20230204-163852_683d379c-0c81-4f9b-8c14-b13444fa99b3</t>
  </si>
  <si>
    <t>[41.12, 65.62]</t>
  </si>
  <si>
    <t>[14.92, 1.42]</t>
  </si>
  <si>
    <t>[10.94, 10.94]</t>
  </si>
  <si>
    <t>[2.0, 13.0]</t>
  </si>
  <si>
    <t>20230204-163852_93e25903-9081-437c-909a-bb62432b2205</t>
  </si>
  <si>
    <t>[20.06, 40.7]</t>
  </si>
  <si>
    <t>[14.97, 0.38]</t>
  </si>
  <si>
    <t>[11.31, 11.31]</t>
  </si>
  <si>
    <t>[2.0, 8.06]</t>
  </si>
  <si>
    <t>20230204-163852_9ab28186-2862-4a22-956c-3c4522b45ac2</t>
  </si>
  <si>
    <t>[69.23, 69.23]</t>
  </si>
  <si>
    <t>[14.95, 14.95]</t>
  </si>
  <si>
    <t>[10.95, 10.95]</t>
  </si>
  <si>
    <t>20230204-163852_be190a79-6a95-47c8-b05f-e74f9439b3bc</t>
  </si>
  <si>
    <t>[25.1, 45.17]</t>
  </si>
  <si>
    <t>[15.01, 1.9]</t>
  </si>
  <si>
    <t>[2.0, 8.95]</t>
  </si>
  <si>
    <t>20230204-163852_71345143-f3b8-45fa-a817-ff2dc27eaef5</t>
  </si>
  <si>
    <t>[68.27, 68.27]</t>
  </si>
  <si>
    <t>[15.06, 15.06]</t>
  </si>
  <si>
    <t>[10.81, 10.81]</t>
  </si>
  <si>
    <t>20230204-163852_2c7361aa-55cf-4672-8dbb-35bfdde4aaa8</t>
  </si>
  <si>
    <t>[2.39, 15.81]</t>
  </si>
  <si>
    <t>[15.06, 0.66]</t>
  </si>
  <si>
    <t>[11.72, 11.72]</t>
  </si>
  <si>
    <t>[4.11, 3.13]</t>
  </si>
  <si>
    <t>20230204-163852_29dfe2b2-e8b3-40a5-bdb4-8bdca9b16afb</t>
  </si>
  <si>
    <t>[41.48, 47.09]</t>
  </si>
  <si>
    <t>[14.99, 12.1]</t>
  </si>
  <si>
    <t>[6.32, 6.32]</t>
  </si>
  <si>
    <t>[6.64, 9.36]</t>
  </si>
  <si>
    <t>20230204-164514_80d71a9e-77a5-407d-8711-3581c0b54066</t>
  </si>
  <si>
    <t>[39.7, 59.82]</t>
  </si>
  <si>
    <t>[15.02, 4.76]</t>
  </si>
  <si>
    <t>[6.57, 6.57]</t>
  </si>
  <si>
    <t>[2.0, 11.86]</t>
  </si>
  <si>
    <t>20230204-164514_14fce8ee-f0ec-4a1f-8f9b-92d3d9e56dde</t>
  </si>
  <si>
    <t>[18.33, 41.21]</t>
  </si>
  <si>
    <t>[19.45, 1.22]</t>
  </si>
  <si>
    <t>[6.55, 6.55]</t>
  </si>
  <si>
    <t>[3.51, 8.16]</t>
  </si>
  <si>
    <t>20230204-164514_5157bb7f-81bb-4b1c-a388-15bd93914918</t>
  </si>
  <si>
    <t>[102.63, 102.63]</t>
  </si>
  <si>
    <t>[19.97, 19.97]</t>
  </si>
  <si>
    <t>[6.33, 6.33]</t>
  </si>
  <si>
    <t>[2.04, 2.04]</t>
  </si>
  <si>
    <t>20230204-164514_fe81d17b-fff4-4284-a53f-54499df1cfb1</t>
  </si>
  <si>
    <t>[37.11, 55.88]</t>
  </si>
  <si>
    <t>[15.02, 4.09]</t>
  </si>
  <si>
    <t>[6.48, 6.48]</t>
  </si>
  <si>
    <t>[3.23, 11.08]</t>
  </si>
  <si>
    <t>20230204-164514_ecad33ea-fca9-4346-a073-2836924fb682</t>
  </si>
  <si>
    <t>[63.27, 63.27]</t>
  </si>
  <si>
    <t>[15.03, 15.03]</t>
  </si>
  <si>
    <t>[6.73, 6.73]</t>
  </si>
  <si>
    <t>20230204-164514_9582669a-4c03-4f6e-803b-2f54f7ddb94c</t>
  </si>
  <si>
    <t>[9.3, 25.62]</t>
  </si>
  <si>
    <t>[14.91, 0.54]</t>
  </si>
  <si>
    <t>[6.82, 6.82]</t>
  </si>
  <si>
    <t>[3.13, 5.07]</t>
  </si>
  <si>
    <t>20230204-164514_51bad202-2151-4da0-b4b0-05344ba1eac0</t>
  </si>
  <si>
    <t>[59.84, 59.84]</t>
  </si>
  <si>
    <t>[16.45, 16.45]</t>
  </si>
  <si>
    <t>[6.58, 6.58]</t>
  </si>
  <si>
    <t>20230204-164514_79317119-6a13-417d-baf4-283685540ca9</t>
  </si>
  <si>
    <t>[23.29, 41.08]</t>
  </si>
  <si>
    <t>[14.96, 0.73]</t>
  </si>
  <si>
    <t>[7.0, 7.0]</t>
  </si>
  <si>
    <t>[4.57, 8.14]</t>
  </si>
  <si>
    <t>20230204-164514_6231f9f2-fdd2-4368-a36a-7fc610eaaee7</t>
  </si>
  <si>
    <t>[82.34, 82.34]</t>
  </si>
  <si>
    <t>[19.73, 19.73]</t>
  </si>
  <si>
    <t>[2.56, 2.56]</t>
  </si>
  <si>
    <t>20230204-164514_84e4b75f-319b-4b47-aee6-f7a81f7ba4a6</t>
  </si>
  <si>
    <t>[65.38, 65.38]</t>
  </si>
  <si>
    <t>[20.06, 20.06]</t>
  </si>
  <si>
    <t>[6.47, 6.47]</t>
  </si>
  <si>
    <t>20230204-164514_839e933d-fbbc-4c9f-a003-fc9a71d216bb</t>
  </si>
  <si>
    <t>[4.49, 24.45]</t>
  </si>
  <si>
    <t>[19.95, 0.71]</t>
  </si>
  <si>
    <t>[4.12, 4.84]</t>
  </si>
  <si>
    <t>20230204-164514_28f7cf87-bc8a-4553-80e9-80af668123f9</t>
  </si>
  <si>
    <t>[54.42, 79.84]</t>
  </si>
  <si>
    <t>[14.99, 0.59]</t>
  </si>
  <si>
    <t>[6.53, 6.53]</t>
  </si>
  <si>
    <t>[4.78, 15.81]</t>
  </si>
  <si>
    <t>20230204-164514_928edafe-f4e8-4d62-828e-81aa9532f232</t>
  </si>
  <si>
    <t>[22.23, 47.19]</t>
  </si>
  <si>
    <t>[20.0, 2.39]</t>
  </si>
  <si>
    <t>[6.52, 6.52]</t>
  </si>
  <si>
    <t>[2.0, 9.35]</t>
  </si>
  <si>
    <t>20230204-164514_1bb62aef-2a50-423f-abf6-443f25699192</t>
  </si>
  <si>
    <t>[55.96, 75.88]</t>
  </si>
  <si>
    <t>[14.99, 0.17]</t>
  </si>
  <si>
    <t>[9.93, 15.03]</t>
  </si>
  <si>
    <t>20230204-164514_29da8392-1714-45f2-ab56-5cbb3678e7bb</t>
  </si>
  <si>
    <t>[24.9, 43.59]</t>
  </si>
  <si>
    <t>[15.01, 1.72]</t>
  </si>
  <si>
    <t>[6.5, 6.5]</t>
  </si>
  <si>
    <t>[3.23, 8.64]</t>
  </si>
  <si>
    <t>20230204-164514_ecc3eece-6e90-44e7-8b84-d5beb58184ad</t>
  </si>
  <si>
    <t>[41.96, 57.0]</t>
  </si>
  <si>
    <t>[15.01, 2.99]</t>
  </si>
  <si>
    <t>[8.27, 11.29]</t>
  </si>
  <si>
    <t>20230204-164514_cf1fd2ab-3e79-4f6b-b48d-dd43ca290294</t>
  </si>
  <si>
    <t>[49.62, 62.36]</t>
  </si>
  <si>
    <t>[15.0, 5.37]</t>
  </si>
  <si>
    <t>[6.44, 6.44]</t>
  </si>
  <si>
    <t>[9.25, 12.36]</t>
  </si>
  <si>
    <t>20230204-164514_03e995f6-be00-47fc-b141-d6c7b0d0853d</t>
  </si>
  <si>
    <t>[38.85, 53.41]</t>
  </si>
  <si>
    <t>[14.94, 2.76]</t>
  </si>
  <si>
    <t>[7.33, 7.33]</t>
  </si>
  <si>
    <t>[8.21, 10.58]</t>
  </si>
  <si>
    <t>20230204-164514_2d60ad7c-07a6-48ce-96e6-3ff78d1a2c11</t>
  </si>
  <si>
    <t>[67.28, 67.28]</t>
  </si>
  <si>
    <t>[14.96, 14.96]</t>
  </si>
  <si>
    <t>[6.6, 6.6]</t>
  </si>
  <si>
    <t>[4.91, 4.91]</t>
  </si>
  <si>
    <t>20230204-164514_54499e68-c359-44e9-b68f-c5bad4740bc1</t>
  </si>
  <si>
    <t>[55.57, 81.99]</t>
  </si>
  <si>
    <t>[14.97, 0.61]</t>
  </si>
  <si>
    <t>[6.69, 6.69]</t>
  </si>
  <si>
    <t>[4.17, 16.24]</t>
  </si>
  <si>
    <t>20230204-164514_45475a7f-7574-4140-a1de-b440ed5bd7a0</t>
  </si>
  <si>
    <t>[14.0, 33.66]</t>
  </si>
  <si>
    <t>[15.08, 0.02]</t>
  </si>
  <si>
    <t>[6.31, 6.31]</t>
  </si>
  <si>
    <t>[2.05, 6.67]</t>
  </si>
  <si>
    <t>20230204-164514_1ddf0bb0-56b9-41f4-9bda-3dac288c62de</t>
  </si>
  <si>
    <t>[55.96, 69.79]</t>
  </si>
  <si>
    <t>[15.0, 6.39]</t>
  </si>
  <si>
    <t>[6.84, 6.84]</t>
  </si>
  <si>
    <t>[8.62, 13.84]</t>
  </si>
  <si>
    <t>20230204-164514_a5249d55-0fac-457b-9e58-f6215028f2e2</t>
  </si>
  <si>
    <t>[52.88, 52.88]</t>
  </si>
  <si>
    <t>[20.0, 20.0]</t>
  </si>
  <si>
    <t>[6.34, 6.34]</t>
  </si>
  <si>
    <t>20230204-164514_25da6688-3873-4b27-bcba-db7d4f61ebb0</t>
  </si>
  <si>
    <t>[69.91, 69.91]</t>
  </si>
  <si>
    <t>[4.38, 4.38]</t>
  </si>
  <si>
    <t>20230204-164514_4fe29a84-02e9-4731-8a3f-8b8a9cd627a9</t>
  </si>
  <si>
    <t>[45.66, 70.51]</t>
  </si>
  <si>
    <t>[19.95, 4.34]</t>
  </si>
  <si>
    <t>[8.99, 8.99]</t>
  </si>
  <si>
    <t>[4.73, 13.97]</t>
  </si>
  <si>
    <t>20230204-165137_c295c30f-170f-446e-93cd-7100bdc267ab</t>
  </si>
  <si>
    <t>[43.63, 62.24]</t>
  </si>
  <si>
    <t>[20.0, 9.29]</t>
  </si>
  <si>
    <t>[4.45, 12.35]</t>
  </si>
  <si>
    <t>20230204-165137_80245d9c-ca9b-4b15-90d8-d1451956c24a</t>
  </si>
  <si>
    <t>[22.07, 47.86]</t>
  </si>
  <si>
    <t>[20.1, 0.42]</t>
  </si>
  <si>
    <t>[3.37, 9.48]</t>
  </si>
  <si>
    <t>20230204-165137_9621d0bf-4c6a-46cc-8757-cb5eb4044f98</t>
  </si>
  <si>
    <t>[53.47, 53.47]</t>
  </si>
  <si>
    <t>[7.74, 7.74]</t>
  </si>
  <si>
    <t>[8.73, 8.73]</t>
  </si>
  <si>
    <t>20230204-165137_1c14ce1a-dfc5-4646-8807-d96978ce9869</t>
  </si>
  <si>
    <t>[48.25, 70.39]</t>
  </si>
  <si>
    <t>[20.03, 4.88]</t>
  </si>
  <si>
    <t>[8.43, 8.43]</t>
  </si>
  <si>
    <t>[6.96, 13.95]</t>
  </si>
  <si>
    <t>20230204-165137_f89eb99b-363b-4019-9653-0829b3735acf</t>
  </si>
  <si>
    <t>[73.12, 73.12]</t>
  </si>
  <si>
    <t>[9.42, 9.42]</t>
  </si>
  <si>
    <t>20230204-165137_d633fee3-c775-453b-99c0-6054e444eeec</t>
  </si>
  <si>
    <t>[47.63, 65.59]</t>
  </si>
  <si>
    <t>[17.42, 4.23]</t>
  </si>
  <si>
    <t>[8.18, 8.18]</t>
  </si>
  <si>
    <t>[8.24, 13.0]</t>
  </si>
  <si>
    <t>20230204-165137_ad972651-7591-4bd0-a4fa-91be4000cca2</t>
  </si>
  <si>
    <t>[39.73, 60.76]</t>
  </si>
  <si>
    <t>[20.03, 5.15]</t>
  </si>
  <si>
    <t>[6.36, 6.36]</t>
  </si>
  <si>
    <t>[5.9, 12.05]</t>
  </si>
  <si>
    <t>20230204-165137_95364b8d-c523-4e87-b884-1cae28969ae8</t>
  </si>
  <si>
    <t>[49.76, 76.04]</t>
  </si>
  <si>
    <t>[19.96, 0.71]</t>
  </si>
  <si>
    <t>[6.07, 6.07]</t>
  </si>
  <si>
    <t>[8.03, 15.06]</t>
  </si>
  <si>
    <t>20230204-165137_8604d278-3aad-43ea-bda4-86f580182269</t>
  </si>
  <si>
    <t>[37.68, 61.26]</t>
  </si>
  <si>
    <t>[19.95, 3.39]</t>
  </si>
  <si>
    <t>[8.19, 8.19]</t>
  </si>
  <si>
    <t>[5.12, 12.14]</t>
  </si>
  <si>
    <t>20230204-165137_61379513-1a10-45da-a506-17b1d58992b0</t>
  </si>
  <si>
    <t>[48.74, 71.97]</t>
  </si>
  <si>
    <t>[20.01, 5.33]</t>
  </si>
  <si>
    <t>[8.29, 8.29]</t>
  </si>
  <si>
    <t>[5.72, 14.27]</t>
  </si>
  <si>
    <t>20230204-165137_1ad3bebf-ae09-44ab-ae51-d0dd3b712525</t>
  </si>
  <si>
    <t>[57.54, 57.54]</t>
  </si>
  <si>
    <t>[20.03, 20.03]</t>
  </si>
  <si>
    <t>[9.0, 9.0]</t>
  </si>
  <si>
    <t>[6.25, 6.25]</t>
  </si>
  <si>
    <t>20230204-165137_ed6c7eee-d2e2-4d7a-93ee-5165566a2390</t>
  </si>
  <si>
    <t>[46.02, 46.02]</t>
  </si>
  <si>
    <t>[20.01, 20.01]</t>
  </si>
  <si>
    <t>[9.15, 9.15]</t>
  </si>
  <si>
    <t>[3.11, 3.11]</t>
  </si>
  <si>
    <t>20230204-165137_b3c632c6-212c-4083-9a0a-b35a3a3f3f9d</t>
  </si>
  <si>
    <t>[44.94, 59.01]</t>
  </si>
  <si>
    <t>[15.08, 3.87]</t>
  </si>
  <si>
    <t>[8.84, 11.69]</t>
  </si>
  <si>
    <t>20230204-165137_cff838f3-6e5d-4516-81e5-19207da7ac79</t>
  </si>
  <si>
    <t>[34.5, 61.54]</t>
  </si>
  <si>
    <t>[20.02, 3.13]</t>
  </si>
  <si>
    <t>[2.04, 12.19]</t>
  </si>
  <si>
    <t>20230204-165137_348859cd-0c7c-4d38-8271-ee07aa4de376</t>
  </si>
  <si>
    <t>[34.3, 57.57]</t>
  </si>
  <si>
    <t>[20.02, 1.28]</t>
  </si>
  <si>
    <t>[9.57, 9.57]</t>
  </si>
  <si>
    <t>[6.88, 11.4]</t>
  </si>
  <si>
    <t>20230204-165137_aa322059-dd48-4ba5-b2f9-185ff55262df</t>
  </si>
  <si>
    <t>[24.48, 52.1]</t>
  </si>
  <si>
    <t>[19.97, 0.64]</t>
  </si>
  <si>
    <t>[9.17, 9.17]</t>
  </si>
  <si>
    <t>[2.02, 10.32]</t>
  </si>
  <si>
    <t>20230204-165137_1f05bf9e-1871-439a-bc77-80884210212d</t>
  </si>
  <si>
    <t>[46.45, 73.34]</t>
  </si>
  <si>
    <t>[20.05, 0.36]</t>
  </si>
  <si>
    <t>[6.17, 6.17]</t>
  </si>
  <si>
    <t>[7.33, 14.52]</t>
  </si>
  <si>
    <t>20230204-165137_cbcf051a-c141-4f24-afb4-f24ce0d0a08b</t>
  </si>
  <si>
    <t>[36.4, 58.36]</t>
  </si>
  <si>
    <t>[19.95, 2.72]</t>
  </si>
  <si>
    <t>[6.83, 11.56]</t>
  </si>
  <si>
    <t>20230204-165137_47ea079d-c421-401e-a746-50893cfefd28</t>
  </si>
  <si>
    <t>[38.41, 60.69]</t>
  </si>
  <si>
    <t>[19.97, 2.25]</t>
  </si>
  <si>
    <t>[9.2, 9.2]</t>
  </si>
  <si>
    <t>[7.47, 12.02]</t>
  </si>
  <si>
    <t>20230204-165137_600053d1-8ec0-4598-8a05-325750e6c84b</t>
  </si>
  <si>
    <t>[46.57, 74.4]</t>
  </si>
  <si>
    <t>[19.98, 0.15]</t>
  </si>
  <si>
    <t>[6.73, 14.73]</t>
  </si>
  <si>
    <t>20230204-165137_51dfde6a-b18d-4e17-b0ae-86defcc16b18</t>
  </si>
  <si>
    <t>[20.86, 47.67]</t>
  </si>
  <si>
    <t>[19.96, 0.09]</t>
  </si>
  <si>
    <t>[8.88, 8.88]</t>
  </si>
  <si>
    <t>[2.5, 9.44]</t>
  </si>
  <si>
    <t>20230204-165137_64528c0b-c434-498c-ba96-3fe28a466488</t>
  </si>
  <si>
    <t>[63.92, 87.62]</t>
  </si>
  <si>
    <t>[19.99, 7.71]</t>
  </si>
  <si>
    <t>[8.89, 8.89]</t>
  </si>
  <si>
    <t>[5.94, 17.37]</t>
  </si>
  <si>
    <t>20230204-165137_e48cf637-8546-40cf-8686-cc24dc108b34</t>
  </si>
  <si>
    <t>[45.12, 64.3]</t>
  </si>
  <si>
    <t>[19.99, 5.79]</t>
  </si>
  <si>
    <t>[6.4, 6.4]</t>
  </si>
  <si>
    <t>[7.77, 12.75]</t>
  </si>
  <si>
    <t>20230204-165137_6103b2d8-87eb-43a1-861e-f31ce45dd85e</t>
  </si>
  <si>
    <t>[34.24, 56.77]</t>
  </si>
  <si>
    <t>[20.06, 3.6]</t>
  </si>
  <si>
    <t>[7.13, 7.13]</t>
  </si>
  <si>
    <t>[5.19, 11.25]</t>
  </si>
  <si>
    <t>20230204-165137_ce5974f5-1ab8-43a8-9cf0-58cb35b8613a</t>
  </si>
  <si>
    <t>[47.68, 62.79]</t>
  </si>
  <si>
    <t>[14.97, 4.16]</t>
  </si>
  <si>
    <t>[7.72, 7.72]</t>
  </si>
  <si>
    <t>[8.15, 12.44]</t>
  </si>
  <si>
    <t>20230204-165137_701f1cfc-208c-4cf1-bce0-1049c6a0ea13</t>
  </si>
  <si>
    <t>[48.69, 75.61]</t>
  </si>
  <si>
    <t>[19.98, 1.19]</t>
  </si>
  <si>
    <t>[5.56, 5.56]</t>
  </si>
  <si>
    <t>[6.85, 14.97]</t>
  </si>
  <si>
    <t>20230204-165802_af3c21dd-bf35-48d1-8638-df86aa5dfe04</t>
  </si>
  <si>
    <t>[38.28, 57.05]</t>
  </si>
  <si>
    <t>[20.01, 4.69]</t>
  </si>
  <si>
    <t>[6.11, 6.11]</t>
  </si>
  <si>
    <t>[7.85, 11.31]</t>
  </si>
  <si>
    <t>20230204-165802_882cfc9b-5391-4bb1-9670-8bf01bddd76b</t>
  </si>
  <si>
    <t>[42.33, 68.74]</t>
  </si>
  <si>
    <t>[20.02, 0.35]</t>
  </si>
  <si>
    <t>[5.77, 5.77]</t>
  </si>
  <si>
    <t>[6.87, 13.61]</t>
  </si>
  <si>
    <t>20230204-165802_1a0064e4-d9c3-491e-a096-ef05933c299f</t>
  </si>
  <si>
    <t>[61.16, 86.54]</t>
  </si>
  <si>
    <t>[20.08, 1.82]</t>
  </si>
  <si>
    <t>[5.91, 5.91]</t>
  </si>
  <si>
    <t>[10.02, 17.14]</t>
  </si>
  <si>
    <t>20230204-165802_2d2cd15a-700d-48b2-af08-4b6af76811f8</t>
  </si>
  <si>
    <t>[46.57, 69.88]</t>
  </si>
  <si>
    <t>[19.92, 0.45]</t>
  </si>
  <si>
    <t>[5.78, 5.78]</t>
  </si>
  <si>
    <t>[9.99, 13.84]</t>
  </si>
  <si>
    <t>20230204-165802_632d1e26-5042-464a-8260-eedaac13669f</t>
  </si>
  <si>
    <t>[50.2, 77.05]</t>
  </si>
  <si>
    <t>[20.03, 1.14]</t>
  </si>
  <si>
    <t>[5.73, 5.73]</t>
  </si>
  <si>
    <t>[7.3, 15.26]</t>
  </si>
  <si>
    <t>20230204-165802_4afa75e7-47bc-470d-8b86-0bc9a5050d57</t>
  </si>
  <si>
    <t>[41.05, 69.52]</t>
  </si>
  <si>
    <t>[25.03, 0.3]</t>
  </si>
  <si>
    <t>[5.89, 5.89]</t>
  </si>
  <si>
    <t>[10.01, 13.77]</t>
  </si>
  <si>
    <t>20230204-165802_20f46fb5-c188-4943-95dc-6439ebb32ff6</t>
  </si>
  <si>
    <t>[24.43, 45.96]</t>
  </si>
  <si>
    <t>[24.97, 2.55]</t>
  </si>
  <si>
    <t>[6.14, 6.14]</t>
  </si>
  <si>
    <t>[9.99, 9.11]</t>
  </si>
  <si>
    <t>20230204-165802_1e69a806-01af-404d-8d27-3dcb8095113f</t>
  </si>
  <si>
    <t>[47.95, 74.87]</t>
  </si>
  <si>
    <t>[20.06, 0.75]</t>
  </si>
  <si>
    <t>[5.92, 5.92]</t>
  </si>
  <si>
    <t>[7.21, 14.83]</t>
  </si>
  <si>
    <t>20230204-165802_cb700177-30e7-4a4a-a460-a92cdad547b6</t>
  </si>
  <si>
    <t>[41.23, 57.37]</t>
  </si>
  <si>
    <t>[19.94, 5.16]</t>
  </si>
  <si>
    <t>[5.71, 5.71]</t>
  </si>
  <si>
    <t>[10.02, 11.37]</t>
  </si>
  <si>
    <t>20230204-165802_f84c5deb-0886-43dd-a481-fa2d80c75aca</t>
  </si>
  <si>
    <t>[55.34, 79.18]</t>
  </si>
  <si>
    <t>[19.95, 1.78]</t>
  </si>
  <si>
    <t>[5.3, 5.3]</t>
  </si>
  <si>
    <t>[10.01, 15.68]</t>
  </si>
  <si>
    <t>20230204-165802_68e7c892-cc79-4328-8501-4e2634f2ca75</t>
  </si>
  <si>
    <t>[53.77, 80.18]</t>
  </si>
  <si>
    <t>[19.98, 1.47]</t>
  </si>
  <si>
    <t>[5.69, 5.69]</t>
  </si>
  <si>
    <t>[7.98, 15.88]</t>
  </si>
  <si>
    <t>20230204-165802_3d66bad6-2018-4905-9424-37488e30796c</t>
  </si>
  <si>
    <t>[65.51, 96.36]</t>
  </si>
  <si>
    <t>[24.71, 2.94]</t>
  </si>
  <si>
    <t>[5.68, 5.68]</t>
  </si>
  <si>
    <t>[10.01, 19.09]</t>
  </si>
  <si>
    <t>20230204-165802_feb252c6-3db4-4791-9927-619e2f709f0e</t>
  </si>
  <si>
    <t>[23.37, 44.67]</t>
  </si>
  <si>
    <t>[25.0, 2.55]</t>
  </si>
  <si>
    <t>[10.0, 8.85]</t>
  </si>
  <si>
    <t>20230204-165802_70d42718-9c30-4d4f-ad14-5027e8a36bf3</t>
  </si>
  <si>
    <t>[40.88, 69.16]</t>
  </si>
  <si>
    <t>[20.05, 0.79]</t>
  </si>
  <si>
    <t>[4.67, 13.7]</t>
  </si>
  <si>
    <t>20230204-165802_4f0cadb0-e4dd-469a-98ec-db4abdf80a2a</t>
  </si>
  <si>
    <t>[44.83, 68.14]</t>
  </si>
  <si>
    <t>[20.0, 0.2]</t>
  </si>
  <si>
    <t>[5.87, 5.87]</t>
  </si>
  <si>
    <t>[9.99, 13.49]</t>
  </si>
  <si>
    <t>20230204-165802_046f84fc-1da3-4660-84d7-121831a90fdd</t>
  </si>
  <si>
    <t>[49.73, 73.39]</t>
  </si>
  <si>
    <t>[19.95, 0.82]</t>
  </si>
  <si>
    <t>[5.72, 5.72]</t>
  </si>
  <si>
    <t>[10.0, 14.53]</t>
  </si>
  <si>
    <t>20230204-165802_48dbed83-c165-48f4-b25c-bc3300aa41a1</t>
  </si>
  <si>
    <t>[21.0, 37.18]</t>
  </si>
  <si>
    <t>[20.07, 1.26]</t>
  </si>
  <si>
    <t>[5.76, 5.76]</t>
  </si>
  <si>
    <t>[10.0, 7.37]</t>
  </si>
  <si>
    <t>20230204-165802_2c91f3ca-5286-4a2e-ba04-95f0b8de2859</t>
  </si>
  <si>
    <t>[54.25, 78.53]</t>
  </si>
  <si>
    <t>[20.03, 1.3]</t>
  </si>
  <si>
    <t>[10.01, 15.55]</t>
  </si>
  <si>
    <t>20230204-165802_0f7d7f89-c0d1-4098-b821-85ce886c8d82</t>
  </si>
  <si>
    <t>[52.79, 76.54]</t>
  </si>
  <si>
    <t>[20.01, 1.41]</t>
  </si>
  <si>
    <t>[5.42, 5.42]</t>
  </si>
  <si>
    <t>[10.01, 15.16]</t>
  </si>
  <si>
    <t>20230204-165802_f7152b24-dade-4b2f-a908-ae9ed2bf1916</t>
  </si>
  <si>
    <t>[48.35, 72.95]</t>
  </si>
  <si>
    <t>[20.02, 0.65]</t>
  </si>
  <si>
    <t>[5.86, 5.86]</t>
  </si>
  <si>
    <t>[9.22, 14.45]</t>
  </si>
  <si>
    <t>20230204-165802_cce58037-06c7-4a8f-ac9b-6477d5d91f1a</t>
  </si>
  <si>
    <t>[37.02, 56.43]</t>
  </si>
  <si>
    <t>[20.06, 4.96]</t>
  </si>
  <si>
    <t>[5.74, 5.74]</t>
  </si>
  <si>
    <t>[6.88, 11.19]</t>
  </si>
  <si>
    <t>20230204-165802_59065f76-cfd4-413d-a65a-cbdf29b6e001</t>
  </si>
  <si>
    <t>[29.78, 45.92]</t>
  </si>
  <si>
    <t>[19.98, 2.94]</t>
  </si>
  <si>
    <t>[10.0, 9.1]</t>
  </si>
  <si>
    <t>20230204-165802_f7f43ea9-5675-4faa-a1dd-42022485d25e</t>
  </si>
  <si>
    <t>[54.32, 81.2]</t>
  </si>
  <si>
    <t>[19.9, 1.91]</t>
  </si>
  <si>
    <t>[5.35, 5.35]</t>
  </si>
  <si>
    <t>[7.2, 16.08]</t>
  </si>
  <si>
    <t>20230204-165802_e376ac16-adb0-42f1-b114-5a1e16710594</t>
  </si>
  <si>
    <t>[33.19, 54.93]</t>
  </si>
  <si>
    <t>[19.89, 4.78]</t>
  </si>
  <si>
    <t>[5.63, 5.63]</t>
  </si>
  <si>
    <t>[4.26, 10.89]</t>
  </si>
  <si>
    <t>20230204-165802_d136b641-334d-4e33-8270-2e0107193261</t>
  </si>
  <si>
    <t>[29.54, 47.15]</t>
  </si>
  <si>
    <t>[20.12, 3.77]</t>
  </si>
  <si>
    <t>[5.16, 5.16]</t>
  </si>
  <si>
    <t>[8.09, 9.35]</t>
  </si>
  <si>
    <t>20230204-165802_a9d867fd-059a-49c4-b4c6-f5974bd1e860</t>
  </si>
  <si>
    <t>[39.17, 71.38]</t>
  </si>
  <si>
    <t>[25.02, 0.04]</t>
  </si>
  <si>
    <t>[6.9, 14.13]</t>
  </si>
  <si>
    <t>20230204-170424_54b7406b-43da-4c52-8fcd-f02c96498806</t>
  </si>
  <si>
    <t>[38.04, 67.71]</t>
  </si>
  <si>
    <t>[25.01, 5.89]</t>
  </si>
  <si>
    <t>[6.94, 6.94]</t>
  </si>
  <si>
    <t>[2.87, 13.42]</t>
  </si>
  <si>
    <t>20230204-170424_9a50a1da-46a2-4735-a07c-50b260a7aa24</t>
  </si>
  <si>
    <t>[32.29, 62.1]</t>
  </si>
  <si>
    <t>[24.98, 5.48]</t>
  </si>
  <si>
    <t>[6.29, 6.29]</t>
  </si>
  <si>
    <t>[2.0, 12.31]</t>
  </si>
  <si>
    <t>20230204-170424_a11df79a-fc8a-4c36-a17b-adaccff252b7</t>
  </si>
  <si>
    <t>[23.84, 53.59]</t>
  </si>
  <si>
    <t>[24.97, 3.85]</t>
  </si>
  <si>
    <t>[2.0, 10.62]</t>
  </si>
  <si>
    <t>20230204-170424_b3dfb02b-0d82-43ed-89d6-16c4e5b19db6</t>
  </si>
  <si>
    <t>[34.48, 71.76]</t>
  </si>
  <si>
    <t>[25.24, 0.17]</t>
  </si>
  <si>
    <t>[6.22, 6.22]</t>
  </si>
  <si>
    <t>[2.0, 14.21]</t>
  </si>
  <si>
    <t>20230204-170424_1a46f6b8-1464-4cb7-87b0-f4933f8b8ee9</t>
  </si>
  <si>
    <t>[28.0, 57.7]</t>
  </si>
  <si>
    <t>[24.99, 4.73]</t>
  </si>
  <si>
    <t>[6.2, 6.2]</t>
  </si>
  <si>
    <t>20230204-170424_45702f56-98ef-4175-821b-24c362c7ae69</t>
  </si>
  <si>
    <t>[34.09, 64.49]</t>
  </si>
  <si>
    <t>[24.99, 5.38]</t>
  </si>
  <si>
    <t>[2.0, 12.78]</t>
  </si>
  <si>
    <t>20230204-170424_adf315d3-4bd4-47b8-9fb0-3bea9cab5887</t>
  </si>
  <si>
    <t>[47.73, 87.09]</t>
  </si>
  <si>
    <t>[25.04, 0.93]</t>
  </si>
  <si>
    <t>[2.0, 17.25]</t>
  </si>
  <si>
    <t>20230204-170424_91035fab-2679-43fb-8bff-4fe8414e0a73</t>
  </si>
  <si>
    <t>[24.29, 54.49]</t>
  </si>
  <si>
    <t>[24.95, 3.55]</t>
  </si>
  <si>
    <t>[6.75, 6.75]</t>
  </si>
  <si>
    <t>20230204-170424_403ce1e5-02dc-4995-9410-f179587df1b6</t>
  </si>
  <si>
    <t>[29.71, 60.15]</t>
  </si>
  <si>
    <t>[24.92, 4.4]</t>
  </si>
  <si>
    <t>[6.99, 6.99]</t>
  </si>
  <si>
    <t>[2.0, 11.92]</t>
  </si>
  <si>
    <t>20230204-170424_43d46bff-d2dc-423d-8a07-53fc2cd2d5cb</t>
  </si>
  <si>
    <t>[44.42, 73.54]</t>
  </si>
  <si>
    <t>[25.04, 0.48]</t>
  </si>
  <si>
    <t>[10.01, 14.56]</t>
  </si>
  <si>
    <t>20230204-170424_5fbf016b-9724-4156-858a-b9c47159f7f2</t>
  </si>
  <si>
    <t>[33.61, 63.64]</t>
  </si>
  <si>
    <t>[24.74, 5.33]</t>
  </si>
  <si>
    <t>[2.0, 12.62]</t>
  </si>
  <si>
    <t>20230204-170424_fa6294b6-2f51-4461-b156-ad963cb3ab95</t>
  </si>
  <si>
    <t>[37.01, 74.2]</t>
  </si>
  <si>
    <t>[25.06, 0.56]</t>
  </si>
  <si>
    <t>[6.06, 6.06]</t>
  </si>
  <si>
    <t>[2.0, 14.69]</t>
  </si>
  <si>
    <t>20230204-170424_3098fa35-14be-4597-88a1-0d6057d5753d</t>
  </si>
  <si>
    <t>[30.08, 59.88]</t>
  </si>
  <si>
    <t>[24.99, 5.06]</t>
  </si>
  <si>
    <t>[6.28, 6.28]</t>
  </si>
  <si>
    <t>[2.0, 11.87]</t>
  </si>
  <si>
    <t>20230204-170424_2d126446-68db-4688-afa5-5b4affe3d0bd</t>
  </si>
  <si>
    <t>[30.5, 60.29]</t>
  </si>
  <si>
    <t>[24.96, 5.12]</t>
  </si>
  <si>
    <t>[6.3, 6.3]</t>
  </si>
  <si>
    <t>[2.0, 11.95]</t>
  </si>
  <si>
    <t>20230204-170424_9be8e52a-556d-4e62-bb92-66462da13b61</t>
  </si>
  <si>
    <t>[18.21, 48.53]</t>
  </si>
  <si>
    <t>[25.23, 2.53]</t>
  </si>
  <si>
    <t>[6.64, 6.64]</t>
  </si>
  <si>
    <t>[2.0, 9.62]</t>
  </si>
  <si>
    <t>20230204-170424_1be70015-0bd5-408c-b698-70e5caad58e7</t>
  </si>
  <si>
    <t>[27.45, 37.42]</t>
  </si>
  <si>
    <t>[25.01, 16.97]</t>
  </si>
  <si>
    <t>[12.72, 12.72]</t>
  </si>
  <si>
    <t>[5.53, 7.46]</t>
  </si>
  <si>
    <t>[27.13, 31.52]</t>
  </si>
  <si>
    <t>[24.86, 22.04]</t>
  </si>
  <si>
    <t>[12.61, 12.61]</t>
  </si>
  <si>
    <t>[4.73, 6.3]</t>
  </si>
  <si>
    <t>[28.59, 28.28]</t>
  </si>
  <si>
    <t>[24.91, 24.56]</t>
  </si>
  <si>
    <t>[12.34, 12.34]</t>
  </si>
  <si>
    <t>[6.32, 5.67]</t>
  </si>
  <si>
    <t>[21.5, 23.7]</t>
  </si>
  <si>
    <t>[25.01, 20.96]</t>
  </si>
  <si>
    <t>[12.35, 12.35]</t>
  </si>
  <si>
    <t>[6.61, 4.75]</t>
  </si>
  <si>
    <t>[27.82, 27.85]</t>
  </si>
  <si>
    <t>[25.02, 24.13]</t>
  </si>
  <si>
    <t>[12.21, 12.21]</t>
  </si>
  <si>
    <t>[6.45, 5.58]</t>
  </si>
  <si>
    <t>[28.09, 27.82]</t>
  </si>
  <si>
    <t>[24.93, 24.14]</t>
  </si>
  <si>
    <t>[12.17, 12.17]</t>
  </si>
  <si>
    <t>[6.63, 5.58]</t>
  </si>
  <si>
    <t>[27.07, 30.54]</t>
  </si>
  <si>
    <t>[24.97, 21.2]</t>
  </si>
  <si>
    <t>[12.37, 12.37]</t>
  </si>
  <si>
    <t>[6.4, 6.11]</t>
  </si>
  <si>
    <t>[30.3, 34.05]</t>
  </si>
  <si>
    <t>[25.08, 21.65]</t>
  </si>
  <si>
    <t>[12.33, 12.33]</t>
  </si>
  <si>
    <t>[6.48, 6.8]</t>
  </si>
  <si>
    <t>[23.04, 29.86]</t>
  </si>
  <si>
    <t>[25.09, 20.35]</t>
  </si>
  <si>
    <t>[12.47, 12.47]</t>
  </si>
  <si>
    <t>[3.88, 5.97]</t>
  </si>
  <si>
    <t>[26.97, 48.67]</t>
  </si>
  <si>
    <t>[24.94, 6.57]</t>
  </si>
  <si>
    <t>[6.33, 9.65]</t>
  </si>
  <si>
    <t>20230204-160652_c45e770a-13ee-47de-8283-022dba0e284a</t>
  </si>
  <si>
    <t>[28.48, 29.63]</t>
  </si>
  <si>
    <t>[25.02, 23.1]</t>
  </si>
  <si>
    <t>[12.51, 12.51]</t>
  </si>
  <si>
    <t>[6.7, 5.93]</t>
  </si>
  <si>
    <t>[26.19, 28.69]</t>
  </si>
  <si>
    <t>[25.09, 22.01]</t>
  </si>
  <si>
    <t>[6.32, 5.74]</t>
  </si>
  <si>
    <t>[20.23, 21.17]</t>
  </si>
  <si>
    <t>[25.02, 21.82]</t>
  </si>
  <si>
    <t>[12.3, 12.3]</t>
  </si>
  <si>
    <t>[6.51, 4.25]</t>
  </si>
  <si>
    <t>[27.77, 29.16]</t>
  </si>
  <si>
    <t>[24.93, 22.74]</t>
  </si>
  <si>
    <t>[12.31, 12.31]</t>
  </si>
  <si>
    <t>[6.64, 5.84]</t>
  </si>
  <si>
    <t>[30.2, 30.38]</t>
  </si>
  <si>
    <t>[24.9, 24.34]</t>
  </si>
  <si>
    <t>[12.2, 12.2]</t>
  </si>
  <si>
    <t>[6.45, 6.08]</t>
  </si>
  <si>
    <t>[24.57, 29.13]</t>
  </si>
  <si>
    <t>[24.95, 19.86]</t>
  </si>
  <si>
    <t>[12.15, 12.15]</t>
  </si>
  <si>
    <t>[6.36, 5.82]</t>
  </si>
  <si>
    <t>[27.95, 29.74]</t>
  </si>
  <si>
    <t>[24.91, 23.22]</t>
  </si>
  <si>
    <t>[12.54, 12.54]</t>
  </si>
  <si>
    <t>[5.85, 5.95]</t>
  </si>
  <si>
    <t>[24.25, 41.37]</t>
  </si>
  <si>
    <t>[25.06, 11.86]</t>
  </si>
  <si>
    <t>[12.57, 12.57]</t>
  </si>
  <si>
    <t>[4.3, 8.22]</t>
  </si>
  <si>
    <t>[25.3, 24.4]</t>
  </si>
  <si>
    <t>[25.11, 24.53]</t>
  </si>
  <si>
    <t>[12.32, 12.32]</t>
  </si>
  <si>
    <t>[6.38, 4.9]</t>
  </si>
  <si>
    <t>[27.21, 35.22]</t>
  </si>
  <si>
    <t>[25.09, 18.91]</t>
  </si>
  <si>
    <t>[12.62, 12.62]</t>
  </si>
  <si>
    <t>[5.2, 7.03]</t>
  </si>
  <si>
    <t>[27.84, 30.76]</t>
  </si>
  <si>
    <t>[25.02, 21.56]</t>
  </si>
  <si>
    <t>[12.26, 12.26]</t>
  </si>
  <si>
    <t>[6.69, 6.15]</t>
  </si>
  <si>
    <t>[30.49, 36.51]</t>
  </si>
  <si>
    <t>[25.1, 20.18]</t>
  </si>
  <si>
    <t>[12.53, 12.53]</t>
  </si>
  <si>
    <t>[6.19, 7.29]</t>
  </si>
  <si>
    <t>[24.55, 26.36]</t>
  </si>
  <si>
    <t>[24.99, 21.84]</t>
  </si>
  <si>
    <t>[12.52, 12.52]</t>
  </si>
  <si>
    <t>[6.62, 5.28]</t>
  </si>
  <si>
    <t>[28.3, 34.97]</t>
  </si>
  <si>
    <t>[24.98, 18.93]</t>
  </si>
  <si>
    <t>[12.38, 12.38]</t>
  </si>
  <si>
    <t>[6.35, 6.98]</t>
  </si>
  <si>
    <t>[24.12, 27.57]</t>
  </si>
  <si>
    <t>[25.05, 20.64]</t>
  </si>
  <si>
    <t>[6.47, 5.52]</t>
  </si>
  <si>
    <t>[27.93, 26.6]</t>
  </si>
  <si>
    <t>[25.07, 25.16]</t>
  </si>
  <si>
    <t>[12.29, 12.29]</t>
  </si>
  <si>
    <t>[6.56, 5.34]</t>
  </si>
  <si>
    <t>[23.28, 50.11]</t>
  </si>
  <si>
    <t>[25.2, 2.13]</t>
  </si>
  <si>
    <t>[6.17, 9.93]</t>
  </si>
  <si>
    <t>[29.95, 37.74]</t>
  </si>
  <si>
    <t>[24.5, 17.62]</t>
  </si>
  <si>
    <t>[6.62, 7.52]</t>
  </si>
  <si>
    <t>[20.04, 50.06]</t>
  </si>
  <si>
    <t>[24.8, 2.03]</t>
  </si>
  <si>
    <t>[2.67, 9.92]</t>
  </si>
  <si>
    <t>[22.72, 52.37]</t>
  </si>
  <si>
    <t>[25.06, 2.78]</t>
  </si>
  <si>
    <t>[3.01, 10.38]</t>
  </si>
  <si>
    <t>[19.91, 48.94]</t>
  </si>
  <si>
    <t>[25.1, 1.6]</t>
  </si>
  <si>
    <t>[4.17, 9.69]</t>
  </si>
  <si>
    <t>[27.98, 33.61]</t>
  </si>
  <si>
    <t>[24.74, 21.21]</t>
  </si>
  <si>
    <t>[4.61, 6.71]</t>
  </si>
  <si>
    <t>[21.18, 30.79]</t>
  </si>
  <si>
    <t>[25.0, 18.32]</t>
  </si>
  <si>
    <t>[3.22, 6.15]</t>
  </si>
  <si>
    <t>[24.35, 46.72]</t>
  </si>
  <si>
    <t>[25.0, 5.69]</t>
  </si>
  <si>
    <t>[12.45, 12.45]</t>
  </si>
  <si>
    <t>[6.21, 9.27]</t>
  </si>
  <si>
    <t>[19.7, 50.47]</t>
  </si>
  <si>
    <t>[25.15, 2.2]</t>
  </si>
  <si>
    <t>[2.19, 10.0]</t>
  </si>
  <si>
    <t>20230204-161315_abeba2c6-e346-4579-9497-9f57a5a2e960</t>
  </si>
  <si>
    <t>[20.01, 42.72]</t>
  </si>
  <si>
    <t>[25.01, 4.2]</t>
  </si>
  <si>
    <t>[6.58, 8.47]</t>
  </si>
  <si>
    <t>[16.69, 32.53]</t>
  </si>
  <si>
    <t>[24.82, 13.31]</t>
  </si>
  <si>
    <t>[2.15, 6.48]</t>
  </si>
  <si>
    <t>[19.42, 50.32]</t>
  </si>
  <si>
    <t>[24.87, 1.93]</t>
  </si>
  <si>
    <t>[2.0, 9.97]</t>
  </si>
  <si>
    <t>[24.95, 41.02]</t>
  </si>
  <si>
    <t>[25.0, 11.85]</t>
  </si>
  <si>
    <t>[5.23, 8.16]</t>
  </si>
  <si>
    <t>[24.41, 28.17]</t>
  </si>
  <si>
    <t>[25.0, 21.13]</t>
  </si>
  <si>
    <t>[12.7, 12.7]</t>
  </si>
  <si>
    <t>[5.74, 5.64]</t>
  </si>
  <si>
    <t>[20.97, 33.04]</t>
  </si>
  <si>
    <t>[25.0, 13.7]</t>
  </si>
  <si>
    <t>[12.48, 12.48]</t>
  </si>
  <si>
    <t>[5.81, 6.58]</t>
  </si>
  <si>
    <t>[31.97, 42.17]</t>
  </si>
  <si>
    <t>[25.38, 16.83]</t>
  </si>
  <si>
    <t>[6.74, 8.4]</t>
  </si>
  <si>
    <t>[24.6, 46.53]</t>
  </si>
  <si>
    <t>[24.99, 5.81]</t>
  </si>
  <si>
    <t>[12.27, 12.27]</t>
  </si>
  <si>
    <t>[6.48, 9.23]</t>
  </si>
  <si>
    <t>[23.85, 23.85]</t>
  </si>
  <si>
    <t>[25.2, 25.2]</t>
  </si>
  <si>
    <t>[3.88, 3.88]</t>
  </si>
  <si>
    <t>[20.57, 35.12]</t>
  </si>
  <si>
    <t>[25.14, 15.57]</t>
  </si>
  <si>
    <t>[2.01, 7.0]</t>
  </si>
  <si>
    <t>[29.07, 55.0]</t>
  </si>
  <si>
    <t>[24.61, 3.0]</t>
  </si>
  <si>
    <t>[12.84, 12.84]</t>
  </si>
  <si>
    <t>[6.58, 10.9]</t>
  </si>
  <si>
    <t>[16.55, 47.4]</t>
  </si>
  <si>
    <t>[25.06, 1.11]</t>
  </si>
  <si>
    <t>[2.49, 9.39]</t>
  </si>
  <si>
    <t>[22.67, 51.04]</t>
  </si>
  <si>
    <t>[25.28, 2.3]</t>
  </si>
  <si>
    <t>[12.39, 12.39]</t>
  </si>
  <si>
    <t>[4.71, 10.11]</t>
  </si>
  <si>
    <t>[21.23, 24.96]</t>
  </si>
  <si>
    <t>[24.56, 20.29]</t>
  </si>
  <si>
    <t>[12.23, 12.23]</t>
  </si>
  <si>
    <t>[5.54, 5.0]</t>
  </si>
  <si>
    <t>[21.44, 25.79]</t>
  </si>
  <si>
    <t>[25.37, 20.95]</t>
  </si>
  <si>
    <t>[12.66, 12.66]</t>
  </si>
  <si>
    <t>[5.24, 5.17]</t>
  </si>
  <si>
    <t>[19.3, 50.44]</t>
  </si>
  <si>
    <t>[24.95, 1.81]</t>
  </si>
  <si>
    <t>[2.0, 9.99]</t>
  </si>
  <si>
    <t>20230204-161315_d9e3c717-33a5-4af7-99f2-d8211b14a626</t>
  </si>
  <si>
    <t>[18.2, 47.81]</t>
  </si>
  <si>
    <t>[24.85, 1.11]</t>
  </si>
  <si>
    <t>[12.63, 12.63]</t>
  </si>
  <si>
    <t>[3.59, 9.47]</t>
  </si>
  <si>
    <t>[26.63, 30.5]</t>
  </si>
  <si>
    <t>[25.25, 21.47]</t>
  </si>
  <si>
    <t>[12.07, 12.07]</t>
  </si>
  <si>
    <t>[6.01, 6.1]</t>
  </si>
  <si>
    <t>[11.61, 50.41]</t>
  </si>
  <si>
    <t>[35.0, 2.95]</t>
  </si>
  <si>
    <t>[11.57, 11.57]</t>
  </si>
  <si>
    <t>[3.25, 9.99]</t>
  </si>
  <si>
    <t>20230204-161940_5215ea75-d554-4ddf-8c6c-29b51d7b9639</t>
  </si>
  <si>
    <t>[15.01, 20.27]</t>
  </si>
  <si>
    <t>[25.52, 18.68]</t>
  </si>
  <si>
    <t>[11.87, 11.87]</t>
  </si>
  <si>
    <t>[5.66, 4.07]</t>
  </si>
  <si>
    <t>[25.8, 52.15]</t>
  </si>
  <si>
    <t>[25.01, 3.26]</t>
  </si>
  <si>
    <t>[11.77, 11.77]</t>
  </si>
  <si>
    <t>[5.73, 10.34]</t>
  </si>
  <si>
    <t>[8.47, 47.47]</t>
  </si>
  <si>
    <t>[34.93, 1.74]</t>
  </si>
  <si>
    <t>[11.91, 11.91]</t>
  </si>
  <si>
    <t>[3.59, 9.4]</t>
  </si>
  <si>
    <t>[24.27, 27.54]</t>
  </si>
  <si>
    <t>[25.0, 21.52]</t>
  </si>
  <si>
    <t>[11.58, 11.58]</t>
  </si>
  <si>
    <t>[5.72, 5.51]</t>
  </si>
  <si>
    <t>[8.98, 49.05]</t>
  </si>
  <si>
    <t>[35.01, 2.65]</t>
  </si>
  <si>
    <t>[11.48, 11.48]</t>
  </si>
  <si>
    <t>[2.0, 9.72]</t>
  </si>
  <si>
    <t>20230204-161940_f5f80809-4d1f-4fc5-b958-c04a0e03ef20</t>
  </si>
  <si>
    <t>[26.88, 41.72]</t>
  </si>
  <si>
    <t>[25.1, 12.81]</t>
  </si>
  <si>
    <t>[11.85, 11.85]</t>
  </si>
  <si>
    <t>[5.75, 8.3]</t>
  </si>
  <si>
    <t>[25.98, 52.47]</t>
  </si>
  <si>
    <t>[25.06, 2.76]</t>
  </si>
  <si>
    <t>[6.2, 10.4]</t>
  </si>
  <si>
    <t>[25.46, 33.22]</t>
  </si>
  <si>
    <t>[24.67, 17.71]</t>
  </si>
  <si>
    <t>[12.02, 12.02]</t>
  </si>
  <si>
    <t>[5.83, 6.63]</t>
  </si>
  <si>
    <t>[22.22, 49.54]</t>
  </si>
  <si>
    <t>[25.2, 2.16]</t>
  </si>
  <si>
    <t>[12.1, 12.1]</t>
  </si>
  <si>
    <t>[5.54, 9.81]</t>
  </si>
  <si>
    <t>[5.9, 46.03]</t>
  </si>
  <si>
    <t>[34.98, 1.36]</t>
  </si>
  <si>
    <t>[11.88, 11.88]</t>
  </si>
  <si>
    <t>[2.61, 9.12]</t>
  </si>
  <si>
    <t>[25.44, 52.22]</t>
  </si>
  <si>
    <t>[25.28, 2.49]</t>
  </si>
  <si>
    <t>[6.36, 10.35]</t>
  </si>
  <si>
    <t>[20.65, 47.32]</t>
  </si>
  <si>
    <t>[25.01, 1.9]</t>
  </si>
  <si>
    <t>[5.81, 9.38]</t>
  </si>
  <si>
    <t>[17.37, 44.43]</t>
  </si>
  <si>
    <t>[24.89, 0.96]</t>
  </si>
  <si>
    <t>[11.81, 11.81]</t>
  </si>
  <si>
    <t>[5.67, 8.8]</t>
  </si>
  <si>
    <t>[9.6, 50.26]</t>
  </si>
  <si>
    <t>[35.06, 2.35]</t>
  </si>
  <si>
    <t>[12.12, 12.12]</t>
  </si>
  <si>
    <t>[2.0, 9.96]</t>
  </si>
  <si>
    <t>[9.5, 48.38]</t>
  </si>
  <si>
    <t>[33.47, 2.18]</t>
  </si>
  <si>
    <t>[11.74, 11.74]</t>
  </si>
  <si>
    <t>[2.0, 9.58]</t>
  </si>
  <si>
    <t>20230204-161940_78126632-cfb1-4c76-bca9-725a05622f37</t>
  </si>
  <si>
    <t>[13.5, 50.88]</t>
  </si>
  <si>
    <t>[34.88, 2.4]</t>
  </si>
  <si>
    <t>[12.25, 12.25]</t>
  </si>
  <si>
    <t>[5.19, 10.08]</t>
  </si>
  <si>
    <t>[7.67, 47.83]</t>
  </si>
  <si>
    <t>[35.0, 2.32]</t>
  </si>
  <si>
    <t>[11.45, 11.45]</t>
  </si>
  <si>
    <t>[2.0, 9.48]</t>
  </si>
  <si>
    <t>[9.21, 48.88]</t>
  </si>
  <si>
    <t>[34.95, 2.97]</t>
  </si>
  <si>
    <t>[11.11, 11.11]</t>
  </si>
  <si>
    <t>[2.0, 9.69]</t>
  </si>
  <si>
    <t>20230204-161940_55dd3712-5842-40af-bdac-f0237564dada</t>
  </si>
  <si>
    <t>[6.83, 47.29]</t>
  </si>
  <si>
    <t>[35.0, 1.9]</t>
  </si>
  <si>
    <t>[11.71, 11.71]</t>
  </si>
  <si>
    <t>[2.0, 9.37]</t>
  </si>
  <si>
    <t>20230204-161940_7f6e81ff-6745-494e-aae9-8fb1819f0153</t>
  </si>
  <si>
    <t>[7.36, 44.62]</t>
  </si>
  <si>
    <t>[34.93, 1.94]</t>
  </si>
  <si>
    <t>[10.91, 10.91]</t>
  </si>
  <si>
    <t>[4.58, 8.84]</t>
  </si>
  <si>
    <t>[6.59, 46.82]</t>
  </si>
  <si>
    <t>[34.98, 1.99]</t>
  </si>
  <si>
    <t>[11.49, 11.49]</t>
  </si>
  <si>
    <t>[2.04, 9.28]</t>
  </si>
  <si>
    <t>[29.02, 35.11]</t>
  </si>
  <si>
    <t>[24.7, 19.51]</t>
  </si>
  <si>
    <t>[11.94, 11.94]</t>
  </si>
  <si>
    <t>[6.11, 7.01]</t>
  </si>
  <si>
    <t>[19.06, 42.25]</t>
  </si>
  <si>
    <t>[25.0, 4.49]</t>
  </si>
  <si>
    <t>[5.71, 8.38]</t>
  </si>
  <si>
    <t>[16.3, 46.91]</t>
  </si>
  <si>
    <t>[25.04, 1.72]</t>
  </si>
  <si>
    <t>[2.0, 9.29]</t>
  </si>
  <si>
    <t>[25.85, 32.58]</t>
  </si>
  <si>
    <t>[24.69, 17.5]</t>
  </si>
  <si>
    <t>[11.66, 11.66]</t>
  </si>
  <si>
    <t>[6.96, 6.5]</t>
  </si>
  <si>
    <t>[23.27, 49.03]</t>
  </si>
  <si>
    <t>[24.79, 2.43]</t>
  </si>
  <si>
    <t>[11.69, 11.69]</t>
  </si>
  <si>
    <t>[6.32, 9.72]</t>
  </si>
  <si>
    <t>[14.95, 45.74]</t>
  </si>
  <si>
    <t>[25.24, 1.5]</t>
  </si>
  <si>
    <t>[11.65, 11.65]</t>
  </si>
  <si>
    <t>20230204-162602_a0537208-1951-4fe6-b9d7-d3f77f3698b1</t>
  </si>
  <si>
    <t>[14.49, 18.65]</t>
  </si>
  <si>
    <t>[24.99, 22.58]</t>
  </si>
  <si>
    <t>[11.36, 11.36]</t>
  </si>
  <si>
    <t>[2.0, 3.76]</t>
  </si>
  <si>
    <t>[18.46, 48.67]</t>
  </si>
  <si>
    <t>[25.32, 2.24]</t>
  </si>
  <si>
    <t>[2.51, 9.64]</t>
  </si>
  <si>
    <t>[21.51, 47.37]</t>
  </si>
  <si>
    <t>[25.04, 1.97]</t>
  </si>
  <si>
    <t>[11.67, 11.67]</t>
  </si>
  <si>
    <t>[6.6, 9.38]</t>
  </si>
  <si>
    <t>[18.78, 18.78]</t>
  </si>
  <si>
    <t>[25.29, 25.29]</t>
  </si>
  <si>
    <t>[16.96, 42.46]</t>
  </si>
  <si>
    <t>[24.64, 4.77]</t>
  </si>
  <si>
    <t>[2.79, 8.42]</t>
  </si>
  <si>
    <t>[23.58, 39.37]</t>
  </si>
  <si>
    <t>[25.33, 11.46]</t>
  </si>
  <si>
    <t>[11.79, 11.79]</t>
  </si>
  <si>
    <t>[5.9, 7.83]</t>
  </si>
  <si>
    <t>[25.17, 39.71]</t>
  </si>
  <si>
    <t>[25.0, 12.05]</t>
  </si>
  <si>
    <t>[11.41, 11.41]</t>
  </si>
  <si>
    <t>[6.3, 7.9]</t>
  </si>
  <si>
    <t>[22.31, 39.09]</t>
  </si>
  <si>
    <t>[25.34, 11.48]</t>
  </si>
  <si>
    <t>[11.61, 11.61]</t>
  </si>
  <si>
    <t>[4.86, 7.77]</t>
  </si>
  <si>
    <t>[22.25, 35.63]</t>
  </si>
  <si>
    <t>[24.64, 12.92]</t>
  </si>
  <si>
    <t>[5.42, 7.09]</t>
  </si>
  <si>
    <t>[18.31, 48.24]</t>
  </si>
  <si>
    <t>[24.8, 2.17]</t>
  </si>
  <si>
    <t>[2.26, 9.56]</t>
  </si>
  <si>
    <t>20230204-162602_8be5066a-76cd-4808-9a0c-89cdb3de2d8a</t>
  </si>
  <si>
    <t>[27.46, 31.72]</t>
  </si>
  <si>
    <t>[24.73, 20.0]</t>
  </si>
  <si>
    <t>[11.64, 11.64]</t>
  </si>
  <si>
    <t>[6.81, 6.34]</t>
  </si>
  <si>
    <t>[24.64, 50.11]</t>
  </si>
  <si>
    <t>[25.14, 2.8]</t>
  </si>
  <si>
    <t>[11.63, 11.63]</t>
  </si>
  <si>
    <t>[6.8, 9.93]</t>
  </si>
  <si>
    <t>[14.73, 45.19]</t>
  </si>
  <si>
    <t>[24.99, 1.4]</t>
  </si>
  <si>
    <t>[11.6, 11.6]</t>
  </si>
  <si>
    <t>[2.08, 8.95]</t>
  </si>
  <si>
    <t>20230204-162602_df9e1869-b550-4c2b-8981-f7679fbcbf21</t>
  </si>
  <si>
    <t>[19.86, 47.64]</t>
  </si>
  <si>
    <t>[24.64, 2.08]</t>
  </si>
  <si>
    <t>[4.22, 9.44]</t>
  </si>
  <si>
    <t>[16.06, 38.23]</t>
  </si>
  <si>
    <t>[25.18, 7.03]</t>
  </si>
  <si>
    <t>[3.57, 7.59]</t>
  </si>
  <si>
    <t>[17.39, 43.5]</t>
  </si>
  <si>
    <t>[24.71, 5.23]</t>
  </si>
  <si>
    <t>[2.0, 8.63]</t>
  </si>
  <si>
    <t>[28.51, 39.17]</t>
  </si>
  <si>
    <t>[25.0, 15.51]</t>
  </si>
  <si>
    <t>[6.63, 7.8]</t>
  </si>
  <si>
    <t>[16.2, 36.6]</t>
  </si>
  <si>
    <t>[25.0, 9.88]</t>
  </si>
  <si>
    <t>[2.0, 7.27]</t>
  </si>
  <si>
    <t>[14.11, 44.05]</t>
  </si>
  <si>
    <t>[25.17, 0.92]</t>
  </si>
  <si>
    <t>[3.04, 8.72]</t>
  </si>
  <si>
    <t>[26.16, 38.27]</t>
  </si>
  <si>
    <t>[24.98, 14.6]</t>
  </si>
  <si>
    <t>[11.89, 11.89]</t>
  </si>
  <si>
    <t>[5.89, 7.62]</t>
  </si>
  <si>
    <t>[17.56, 47.99]</t>
  </si>
  <si>
    <t>[25.01, 2.08]</t>
  </si>
  <si>
    <t>[2.0, 9.51]</t>
  </si>
  <si>
    <t>[22.58, 27.79]</t>
  </si>
  <si>
    <t>[25.25, 18.65]</t>
  </si>
  <si>
    <t>[6.95, 5.55]</t>
  </si>
  <si>
    <t>[14.57, 39.57]</t>
  </si>
  <si>
    <t>[25.42, 2.53]</t>
  </si>
  <si>
    <t>[12.8, 12.8]</t>
  </si>
  <si>
    <t>[5.73, 7.84]</t>
  </si>
  <si>
    <t>[21.72, 28.88]</t>
  </si>
  <si>
    <t>[24.99, 19.89]</t>
  </si>
  <si>
    <t>[3.71, 5.77]</t>
  </si>
  <si>
    <t>[23.86, 28.1]</t>
  </si>
  <si>
    <t>[24.99, 22.1]</t>
  </si>
  <si>
    <t>[11.68, 11.68]</t>
  </si>
  <si>
    <t>[4.27, 5.63]</t>
  </si>
  <si>
    <t>[18.84, 48.62]</t>
  </si>
  <si>
    <t>[24.88, 1.11]</t>
  </si>
  <si>
    <t>[12.86, 12.86]</t>
  </si>
  <si>
    <t>[3.62, 9.63]</t>
  </si>
  <si>
    <t>[22.53, 30.59]</t>
  </si>
  <si>
    <t>[24.96, 17.46]</t>
  </si>
  <si>
    <t>[13.0, 13.0]</t>
  </si>
  <si>
    <t>[5.54, 6.11]</t>
  </si>
  <si>
    <t>[18.11, 47.74]</t>
  </si>
  <si>
    <t>[24.83, 0.92]</t>
  </si>
  <si>
    <t>[3.73, 9.45]</t>
  </si>
  <si>
    <t>[17.02, 29.66]</t>
  </si>
  <si>
    <t>[24.96, 13.71]</t>
  </si>
  <si>
    <t>[12.79, 12.79]</t>
  </si>
  <si>
    <t>[4.52, 5.91]</t>
  </si>
  <si>
    <t>[27.38, 30.8]</t>
  </si>
  <si>
    <t>[24.98, 22.24]</t>
  </si>
  <si>
    <t>[5.47, 6.16]</t>
  </si>
  <si>
    <t>[17.65, 46.83]</t>
  </si>
  <si>
    <t>[24.9, 0.54]</t>
  </si>
  <si>
    <t>[12.91, 12.91]</t>
  </si>
  <si>
    <t>[4.46, 9.27]</t>
  </si>
  <si>
    <t>[22.3, 49.39]</t>
  </si>
  <si>
    <t>[25.08, 1.82]</t>
  </si>
  <si>
    <t>[5.96, 9.78]</t>
  </si>
  <si>
    <t>20230204-163228_8e8ac34c-987e-4707-bd39-e67a22fd5063</t>
  </si>
  <si>
    <t>[19.94, 47.49]</t>
  </si>
  <si>
    <t>[24.64, 0.96]</t>
  </si>
  <si>
    <t>[12.69, 12.69]</t>
  </si>
  <si>
    <t>[5.53, 9.41]</t>
  </si>
  <si>
    <t>[19.63, 25.6]</t>
  </si>
  <si>
    <t>[25.38, 20.65]</t>
  </si>
  <si>
    <t>[3.89, 5.13]</t>
  </si>
  <si>
    <t>[17.44, 20.22]</t>
  </si>
  <si>
    <t>[25.11, 21.8]</t>
  </si>
  <si>
    <t>[12.85, 12.85]</t>
  </si>
  <si>
    <t>[4.59, 4.07]</t>
  </si>
  <si>
    <t>[20.2, 50.0]</t>
  </si>
  <si>
    <t>[25.01, 1.6]</t>
  </si>
  <si>
    <t>[12.78, 12.78]</t>
  </si>
  <si>
    <t>[3.53, 9.9]</t>
  </si>
  <si>
    <t>[29.93, 55.82]</t>
  </si>
  <si>
    <t>[24.5, 3.43]</t>
  </si>
  <si>
    <t>[12.65, 12.65]</t>
  </si>
  <si>
    <t>[6.24, 11.06]</t>
  </si>
  <si>
    <t>[26.35, 48.56]</t>
  </si>
  <si>
    <t>[25.04, 7.41]</t>
  </si>
  <si>
    <t>[5.06, 9.63]</t>
  </si>
  <si>
    <t>[23.87, 43.35]</t>
  </si>
  <si>
    <t>[25.01, 9.46]</t>
  </si>
  <si>
    <t>[11.76, 11.76]</t>
  </si>
  <si>
    <t>[4.67, 8.61]</t>
  </si>
  <si>
    <t>[23.45, 23.18]</t>
  </si>
  <si>
    <t>[25.33, 24.3]</t>
  </si>
  <si>
    <t>[13.06, 13.06]</t>
  </si>
  <si>
    <t>[5.96, 4.66]</t>
  </si>
  <si>
    <t>[20.44, 24.76]</t>
  </si>
  <si>
    <t>[25.04, 22.12]</t>
  </si>
  <si>
    <t>[3.57, 4.96]</t>
  </si>
  <si>
    <t>[24.37, 36.17]</t>
  </si>
  <si>
    <t>[25.26, 15.83]</t>
  </si>
  <si>
    <t>[4.84, 7.21]</t>
  </si>
  <si>
    <t>[19.78, 35.32]</t>
  </si>
  <si>
    <t>[25.2, 11.61]</t>
  </si>
  <si>
    <t>[5.07, 7.03]</t>
  </si>
  <si>
    <t>[26.42, 26.42]</t>
  </si>
  <si>
    <t>[24.74, 24.74]</t>
  </si>
  <si>
    <t>[5.17, 5.17]</t>
  </si>
  <si>
    <t>[22.51, 52.34]</t>
  </si>
  <si>
    <t>[25.34, 2.3]</t>
  </si>
  <si>
    <t>[12.76, 12.76]</t>
  </si>
  <si>
    <t>[3.57, 10.37]</t>
  </si>
  <si>
    <t>20230204-163228_084d391c-0574-44fc-983f-3db91734c9a8</t>
  </si>
  <si>
    <t>[22.47, 36.95]</t>
  </si>
  <si>
    <t>[25.01, 13.92]</t>
  </si>
  <si>
    <t>[3.96, 7.36]</t>
  </si>
  <si>
    <t>[20.9, 24.53]</t>
  </si>
  <si>
    <t>[24.66, 21.7]</t>
  </si>
  <si>
    <t>[4.26, 4.92]</t>
  </si>
  <si>
    <t>[25.97, 53.29]</t>
  </si>
  <si>
    <t>[25.0, 2.06]</t>
  </si>
  <si>
    <t>[13.27, 13.27]</t>
  </si>
  <si>
    <t>[6.18, 10.56]</t>
  </si>
  <si>
    <t>20230204-163228_211f9cc0-c6b3-48d3-91a3-1ed4d03c7f63</t>
  </si>
  <si>
    <t>[13.3, 37.05]</t>
  </si>
  <si>
    <t>[19.92, 1.51]</t>
  </si>
  <si>
    <t>[12.82, 12.82]</t>
  </si>
  <si>
    <t>[2.01, 7.34]</t>
  </si>
  <si>
    <t>[16.33, 39.26]</t>
  </si>
  <si>
    <t>[19.84, 2.44]</t>
  </si>
  <si>
    <t>[2.26, 7.78]</t>
  </si>
  <si>
    <t>[35.68, 49.83]</t>
  </si>
  <si>
    <t>[15.04, 1.44]</t>
  </si>
  <si>
    <t>[12.89, 12.89]</t>
  </si>
  <si>
    <t>[9.33, 9.87]</t>
  </si>
  <si>
    <t>[25.79, 25.79]</t>
  </si>
  <si>
    <t>[12.73, 12.73]</t>
  </si>
  <si>
    <t>[2.22, 2.22]</t>
  </si>
  <si>
    <t>[39.16, 51.75]</t>
  </si>
  <si>
    <t>[15.03, 2.69]</t>
  </si>
  <si>
    <t>[10.0, 10.25]</t>
  </si>
  <si>
    <t>[41.49, 56.86]</t>
  </si>
  <si>
    <t>[14.99, 0.88]</t>
  </si>
  <si>
    <t>[9.82, 9.82]</t>
  </si>
  <si>
    <t>[10.0, 11.26]</t>
  </si>
  <si>
    <t>[39.52, 52.26]</t>
  </si>
  <si>
    <t>[15.03, 2.65]</t>
  </si>
  <si>
    <t>[12.4, 12.4]</t>
  </si>
  <si>
    <t>[10.0, 10.36]</t>
  </si>
  <si>
    <t>[37.15, 37.93]</t>
  </si>
  <si>
    <t>[14.82, 13.55]</t>
  </si>
  <si>
    <t>[12.68, 12.68]</t>
  </si>
  <si>
    <t>[8.04, 7.55]</t>
  </si>
  <si>
    <t>[45.97, 45.97]</t>
  </si>
  <si>
    <t>[15.0, 15.0]</t>
  </si>
  <si>
    <t>[22.29, 43.97]</t>
  </si>
  <si>
    <t>[24.99, 8.96]</t>
  </si>
  <si>
    <t>[12.56, 12.56]</t>
  </si>
  <si>
    <t>[3.09, 8.73]</t>
  </si>
  <si>
    <t>[44.75, 44.75]</t>
  </si>
  <si>
    <t>[14.99, 14.99]</t>
  </si>
  <si>
    <t>[43.5, 57.13]</t>
  </si>
  <si>
    <t>[15.1, 4.06]</t>
  </si>
  <si>
    <t>[12.41, 12.41]</t>
  </si>
  <si>
    <t>[8.74, 11.32]</t>
  </si>
  <si>
    <t>[20.65, 37.55]</t>
  </si>
  <si>
    <t>[24.96, 12.92]</t>
  </si>
  <si>
    <t>[13.03, 13.03]</t>
  </si>
  <si>
    <t>[2.61, 7.47]</t>
  </si>
  <si>
    <t>[20.59, 44.28]</t>
  </si>
  <si>
    <t>[18.03, 0.17]</t>
  </si>
  <si>
    <t>[12.55, 12.55]</t>
  </si>
  <si>
    <t>[2.95, 8.77]</t>
  </si>
  <si>
    <t>20230204-163852_8ff3e106-9b4e-4f3c-a4e5-10f8fd65d6c8</t>
  </si>
  <si>
    <t>[44.51, 56.87]</t>
  </si>
  <si>
    <t>[15.0, 3.91]</t>
  </si>
  <si>
    <t>[6.85, 6.85]</t>
  </si>
  <si>
    <t>[10.0, 11.27]</t>
  </si>
  <si>
    <t>[21.47, 50.88]</t>
  </si>
  <si>
    <t>[24.87, 1.85]</t>
  </si>
  <si>
    <t>[3.7, 10.08]</t>
  </si>
  <si>
    <t>20230204-163852_b4201c25-4eac-4d7f-b1da-c17070788bbc</t>
  </si>
  <si>
    <t>[25.89, 25.89]</t>
  </si>
  <si>
    <t>[20.17, 20.17]</t>
  </si>
  <si>
    <t>[2.01, 2.01]</t>
  </si>
  <si>
    <t>[29.71, 43.47]</t>
  </si>
  <si>
    <t>[14.81, 3.99]</t>
  </si>
  <si>
    <t>[12.87, 12.87]</t>
  </si>
  <si>
    <t>[5.67, 8.62]</t>
  </si>
  <si>
    <t>[25.94, 54.73]</t>
  </si>
  <si>
    <t>[25.17, 3.05]</t>
  </si>
  <si>
    <t>[4.18, 10.84]</t>
  </si>
  <si>
    <t>20230204-163852_93192c66-2e60-4b7d-9c3f-3cbb3931a92c</t>
  </si>
  <si>
    <t>[27.49, 47.56]</t>
  </si>
  <si>
    <t>[15.16, 0.68]</t>
  </si>
  <si>
    <t>[12.98, 12.98]</t>
  </si>
  <si>
    <t>[3.84, 9.42]</t>
  </si>
  <si>
    <t>20230204-163852_54809292-d8b5-488b-b6f3-8afb0c7150f5</t>
  </si>
  <si>
    <t>[38.43, 37.3]</t>
  </si>
  <si>
    <t>[14.96, 13.51]</t>
  </si>
  <si>
    <t>[12.28, 12.28]</t>
  </si>
  <si>
    <t>[10.0, 7.42]</t>
  </si>
  <si>
    <t>[37.86, 50.81]</t>
  </si>
  <si>
    <t>[14.95, 2.18]</t>
  </si>
  <si>
    <t>[12.44, 12.44]</t>
  </si>
  <si>
    <t>[9.88, 10.07]</t>
  </si>
  <si>
    <t>[33.4, 36.76]</t>
  </si>
  <si>
    <t>[15.19, 12.68]</t>
  </si>
  <si>
    <t>[6.48, 7.31]</t>
  </si>
  <si>
    <t>[38.85, 51.56]</t>
  </si>
  <si>
    <t>[15.0, 2.5]</t>
  </si>
  <si>
    <t>[10.0, 10.22]</t>
  </si>
  <si>
    <t>[34.73, 46.92]</t>
  </si>
  <si>
    <t>[15.01, 4.82]</t>
  </si>
  <si>
    <t>[13.38, 13.38]</t>
  </si>
  <si>
    <t>[7.3, 9.3]</t>
  </si>
  <si>
    <t>[32.03, 50.04]</t>
  </si>
  <si>
    <t>[15.02, 2.1]</t>
  </si>
  <si>
    <t>[4.83, 9.91]</t>
  </si>
  <si>
    <t>[42.73, 42.73]</t>
  </si>
  <si>
    <t>[5.0, 5.0]</t>
  </si>
  <si>
    <t>[35.41, 35.41]</t>
  </si>
  <si>
    <t>[42.7, 59.33]</t>
  </si>
  <si>
    <t>[15.0, 2.92]</t>
  </si>
  <si>
    <t>[7.2, 11.76]</t>
  </si>
  <si>
    <t>[29.33, 44.12]</t>
  </si>
  <si>
    <t>[14.99, 3.95]</t>
  </si>
  <si>
    <t>[5.0, 8.75]</t>
  </si>
  <si>
    <t>[35.73, 45.79]</t>
  </si>
  <si>
    <t>[14.99, 9.02]</t>
  </si>
  <si>
    <t>[5.0, 9.09]</t>
  </si>
  <si>
    <t>[43.57, 48.7]</t>
  </si>
  <si>
    <t>[15.03, 10.08]</t>
  </si>
  <si>
    <t>[9.5, 9.67]</t>
  </si>
  <si>
    <t>[33.3, 52.98]</t>
  </si>
  <si>
    <t>[14.98, 0.79]</t>
  </si>
  <si>
    <t>[9.18, 9.18]</t>
  </si>
  <si>
    <t>[5.0, 10.49]</t>
  </si>
  <si>
    <t>[32.17, 47.12]</t>
  </si>
  <si>
    <t>[15.0, 4.39]</t>
  </si>
  <si>
    <t>[9.21, 9.21]</t>
  </si>
  <si>
    <t>[5.0, 9.34]</t>
  </si>
  <si>
    <t>[35.69, 55.33]</t>
  </si>
  <si>
    <t>[15.04, 1.36]</t>
  </si>
  <si>
    <t>[5.0, 10.96]</t>
  </si>
  <si>
    <t>[46.91, 46.91]</t>
  </si>
  <si>
    <t>[8.87, 8.87]</t>
  </si>
  <si>
    <t>[51.97, 69.77]</t>
  </si>
  <si>
    <t>[15.0, 4.57]</t>
  </si>
  <si>
    <t>[8.63, 8.63]</t>
  </si>
  <si>
    <t>[6.46, 13.83]</t>
  </si>
  <si>
    <t>20230204-164514_65e59cc7-a64c-4e45-b834-7fef7b1ebdfa</t>
  </si>
  <si>
    <t>[34.29, 34.29]</t>
  </si>
  <si>
    <t>[39.83, 55.85]</t>
  </si>
  <si>
    <t>[8.81, 8.81]</t>
  </si>
  <si>
    <t>[8.33, 11.06]</t>
  </si>
  <si>
    <t>[37.49, 56.89]</t>
  </si>
  <si>
    <t>[14.98, 1.84]</t>
  </si>
  <si>
    <t>[5.0, 11.27]</t>
  </si>
  <si>
    <t>[36.36, 55.93]</t>
  </si>
  <si>
    <t>[15.0, 1.97]</t>
  </si>
  <si>
    <t>[8.58, 8.58]</t>
  </si>
  <si>
    <t>[4.54, 11.08]</t>
  </si>
  <si>
    <t>[44.38, 48.96]</t>
  </si>
  <si>
    <t>[14.97, 10.11]</t>
  </si>
  <si>
    <t>[8.98, 8.98]</t>
  </si>
  <si>
    <t>[10.0, 9.72]</t>
  </si>
  <si>
    <t>[40.54, 40.54]</t>
  </si>
  <si>
    <t>[9.19, 9.19]</t>
  </si>
  <si>
    <t>[44.48, 53.49]</t>
  </si>
  <si>
    <t>[14.98, 6.58]</t>
  </si>
  <si>
    <t>[10.0, 10.61]</t>
  </si>
  <si>
    <t>[43.39, 57.92]</t>
  </si>
  <si>
    <t>[15.0, 1.95]</t>
  </si>
  <si>
    <t>[10.0, 11.47]</t>
  </si>
  <si>
    <t>[41.95, 56.5]</t>
  </si>
  <si>
    <t>[15.01, 1.66]</t>
  </si>
  <si>
    <t>[10.0, 11.19]</t>
  </si>
  <si>
    <t>[36.96, 56.38]</t>
  </si>
  <si>
    <t>[14.88, 1.63]</t>
  </si>
  <si>
    <t>[5.0, 11.17]</t>
  </si>
  <si>
    <t>[24.91, 40.34]</t>
  </si>
  <si>
    <t>[15.1, 2.66]</t>
  </si>
  <si>
    <t>[5.0, 8.0]</t>
  </si>
  <si>
    <t>[37.8, 57.2]</t>
  </si>
  <si>
    <t>[15.0, 1.93]</t>
  </si>
  <si>
    <t>[5.0, 11.33]</t>
  </si>
  <si>
    <t>[36.64, 36.64]</t>
  </si>
  <si>
    <t>[34.03, 55.55]</t>
  </si>
  <si>
    <t>[15.0, 1.49]</t>
  </si>
  <si>
    <t>[2.99, 11.0]</t>
  </si>
  <si>
    <t>[41.09, 41.09]</t>
  </si>
  <si>
    <t>[50.95, 65.25]</t>
  </si>
  <si>
    <t>[20.27, 8.88]</t>
  </si>
  <si>
    <t>[10.01, 10.01]</t>
  </si>
  <si>
    <t>[10.04, 12.94]</t>
  </si>
  <si>
    <t>[36.27, 39.66]</t>
  </si>
  <si>
    <t>[20.01, 14.52]</t>
  </si>
  <si>
    <t>[10.0, 7.89]</t>
  </si>
  <si>
    <t>[50.95, 71.86]</t>
  </si>
  <si>
    <t>[20.27, 3.56]</t>
  </si>
  <si>
    <t>[10.04, 14.24]</t>
  </si>
  <si>
    <t>[42.8, 47.61]</t>
  </si>
  <si>
    <t>[15.01, 9.65]</t>
  </si>
  <si>
    <t>[10.0, 9.45]</t>
  </si>
  <si>
    <t>[37.71, 57.16]</t>
  </si>
  <si>
    <t>[19.96, 1.83]</t>
  </si>
  <si>
    <t>[10.0, 11.32]</t>
  </si>
  <si>
    <t>[37.54, 50.54]</t>
  </si>
  <si>
    <t>[20.02, 7.05]</t>
  </si>
  <si>
    <t>[7.59, 7.59]</t>
  </si>
  <si>
    <t>[10.0, 10.03]</t>
  </si>
  <si>
    <t>[32.95, 50.99]</t>
  </si>
  <si>
    <t>[18.64, 0.7]</t>
  </si>
  <si>
    <t>[10.0, 10.1]</t>
  </si>
  <si>
    <t>[34.97, 51.9]</t>
  </si>
  <si>
    <t>[19.95, 3.32]</t>
  </si>
  <si>
    <t>[10.0, 10.29]</t>
  </si>
  <si>
    <t>[42.09, 45.36]</t>
  </si>
  <si>
    <t>[20.0, 15.75]</t>
  </si>
  <si>
    <t>[10.0, 9.03]</t>
  </si>
  <si>
    <t>[41.31, 48.57]</t>
  </si>
  <si>
    <t>[20.03, 12.42]</t>
  </si>
  <si>
    <t>[10.0, 9.65]</t>
  </si>
  <si>
    <t>[39.25, 43.16]</t>
  </si>
  <si>
    <t>[19.96, 14.63]</t>
  </si>
  <si>
    <t>[6.61, 6.61]</t>
  </si>
  <si>
    <t>[10.0, 8.59]</t>
  </si>
  <si>
    <t>[37.9, 52.01]</t>
  </si>
  <si>
    <t>[20.01, 6.21]</t>
  </si>
  <si>
    <t>[10.0, 10.32]</t>
  </si>
  <si>
    <t>[38.85, 52.95]</t>
  </si>
  <si>
    <t>[19.97, 6.37]</t>
  </si>
  <si>
    <t>[8.94, 8.94]</t>
  </si>
  <si>
    <t>[10.0, 10.5]</t>
  </si>
  <si>
    <t>[42.89, 43.93]</t>
  </si>
  <si>
    <t>[15.01, 12.7]</t>
  </si>
  <si>
    <t>[10.0, 8.73]</t>
  </si>
  <si>
    <t>[35.37, 38.87]</t>
  </si>
  <si>
    <t>[20.01, 14.24]</t>
  </si>
  <si>
    <t>[8.78, 8.78]</t>
  </si>
  <si>
    <t>[10.0, 7.74]</t>
  </si>
  <si>
    <t>[33.43, 52.89]</t>
  </si>
  <si>
    <t>[20.0, 1.01]</t>
  </si>
  <si>
    <t>[10.0, 10.47]</t>
  </si>
  <si>
    <t>[41.93, 51.56]</t>
  </si>
  <si>
    <t>[20.08, 10.68]</t>
  </si>
  <si>
    <t>[9.43, 9.43]</t>
  </si>
  <si>
    <t>[10.01, 10.24]</t>
  </si>
  <si>
    <t>[38.63, 46.4]</t>
  </si>
  <si>
    <t>[20.13, 11.58]</t>
  </si>
  <si>
    <t>[10.0, 9.22]</t>
  </si>
  <si>
    <t>[36.47, 56.0]</t>
  </si>
  <si>
    <t>[20.02, 1.58]</t>
  </si>
  <si>
    <t>[10.0, 11.09]</t>
  </si>
  <si>
    <t>[40.85, 60.2]</t>
  </si>
  <si>
    <t>[19.97, 2.55]</t>
  </si>
  <si>
    <t>[10.0, 11.93]</t>
  </si>
  <si>
    <t>[38.8, 46.49]</t>
  </si>
  <si>
    <t>[20.04, 11.6]</t>
  </si>
  <si>
    <t>[10.0, 9.24]</t>
  </si>
  <si>
    <t>[40.43, 49.91]</t>
  </si>
  <si>
    <t>[19.91, 10.36]</t>
  </si>
  <si>
    <t>[9.99, 9.91]</t>
  </si>
  <si>
    <t>[38.78, 55.89]</t>
  </si>
  <si>
    <t>[20.0, 3.97]</t>
  </si>
  <si>
    <t>[10.0, 11.08]</t>
  </si>
  <si>
    <t>[42.06, 59.35]</t>
  </si>
  <si>
    <t>[20.1, 4.57]</t>
  </si>
  <si>
    <t>[6.66, 6.66]</t>
  </si>
  <si>
    <t>[10.0, 11.76]</t>
  </si>
  <si>
    <t>[40.73, 42.39]</t>
  </si>
  <si>
    <t>[14.93, 11.7]</t>
  </si>
  <si>
    <t>[10.0, 8.43]</t>
  </si>
  <si>
    <t>[38.63, 55.7]</t>
  </si>
  <si>
    <t>[20.0, 3.98]</t>
  </si>
  <si>
    <t>[6.56, 6.56]</t>
  </si>
  <si>
    <t>[10.0, 11.04]</t>
  </si>
  <si>
    <t>[38.18, 55.31]</t>
  </si>
  <si>
    <t>[20.01, 3.83]</t>
  </si>
  <si>
    <t>[6.63, 6.63]</t>
  </si>
  <si>
    <t>[10.0, 10.96]</t>
  </si>
  <si>
    <t>[39.26, 56.57]</t>
  </si>
  <si>
    <t>[20.09, 3.99]</t>
  </si>
  <si>
    <t>[6.72, 6.72]</t>
  </si>
  <si>
    <t>[10.0, 11.21]</t>
  </si>
  <si>
    <t>[43.19, 46.38]</t>
  </si>
  <si>
    <t>[20.02, 16.19]</t>
  </si>
  <si>
    <t>[9.88, 9.23]</t>
  </si>
  <si>
    <t>[36.49, 53.9]</t>
  </si>
  <si>
    <t>[19.96, 3.5]</t>
  </si>
  <si>
    <t>[6.7, 6.7]</t>
  </si>
  <si>
    <t>[9.73, 10.68]</t>
  </si>
  <si>
    <t>[38.4, 50.31]</t>
  </si>
  <si>
    <t>[19.9, 7.97]</t>
  </si>
  <si>
    <t>[10.0, 9.98]</t>
  </si>
  <si>
    <t>[34.58, 52.78]</t>
  </si>
  <si>
    <t>[20.03, 3.49]</t>
  </si>
  <si>
    <t>[6.49, 6.49]</t>
  </si>
  <si>
    <t>[8.8, 10.46]</t>
  </si>
  <si>
    <t>[35.9, 55.62]</t>
  </si>
  <si>
    <t>[19.96, 3.3]</t>
  </si>
  <si>
    <t>[7.21, 7.21]</t>
  </si>
  <si>
    <t>[7.96, 11.02]</t>
  </si>
  <si>
    <t>[37.16, 54.2]</t>
  </si>
  <si>
    <t>[19.99, 3.68]</t>
  </si>
  <si>
    <t>[10.0, 10.74]</t>
  </si>
  <si>
    <t>[34.76, 52.07]</t>
  </si>
  <si>
    <t>[19.98, 3.09]</t>
  </si>
  <si>
    <t>[9.9, 10.32]</t>
  </si>
  <si>
    <t>[34.02, 50.98]</t>
  </si>
  <si>
    <t>[19.99, 3.28]</t>
  </si>
  <si>
    <t>[9.86, 10.1]</t>
  </si>
  <si>
    <t>[38.32, 39.33]</t>
  </si>
  <si>
    <t>[20.0, 16.83]</t>
  </si>
  <si>
    <t>[10.0, 7.83]</t>
  </si>
  <si>
    <t>[38.39, 43.19]</t>
  </si>
  <si>
    <t>[19.96, 14.56]</t>
  </si>
  <si>
    <t>[9.18, 8.59]</t>
  </si>
  <si>
    <t>[31.1, 49.76]</t>
  </si>
  <si>
    <t>[19.97, 2.78]</t>
  </si>
  <si>
    <t>[6.62, 6.62]</t>
  </si>
  <si>
    <t>[8.38, 9.86]</t>
  </si>
  <si>
    <t>[32.97, 50.03]</t>
  </si>
  <si>
    <t>[19.91, 2.78]</t>
  </si>
  <si>
    <t>[6.68, 6.68]</t>
  </si>
  <si>
    <t>[10.0, 9.91]</t>
  </si>
  <si>
    <t>[41.03, 58.32]</t>
  </si>
  <si>
    <t>[20.04, 4.31]</t>
  </si>
  <si>
    <t>[10.0, 11.56]</t>
  </si>
  <si>
    <t>[39.03, 56.69]</t>
  </si>
  <si>
    <t>[19.98, 4.19]</t>
  </si>
  <si>
    <t>[6.54, 6.54]</t>
  </si>
  <si>
    <t>[9.37, 11.24]</t>
  </si>
  <si>
    <t>[28.93, 46.71]</t>
  </si>
  <si>
    <t>[20.02, 2.14]</t>
  </si>
  <si>
    <t>[9.36, 9.25]</t>
  </si>
  <si>
    <t>[37.01, 53.88]</t>
  </si>
  <si>
    <t>[19.94, 3.74]</t>
  </si>
  <si>
    <t>[6.45, 6.45]</t>
  </si>
  <si>
    <t>[10.0, 10.68]</t>
  </si>
  <si>
    <t>[37.42, 54.61]</t>
  </si>
  <si>
    <t>[20.05, 3.68]</t>
  </si>
  <si>
    <t>[6.65, 6.65]</t>
  </si>
  <si>
    <t>[9.99, 10.82]</t>
  </si>
  <si>
    <t>[41.44, 58.62]</t>
  </si>
  <si>
    <t>[19.95, 4.39]</t>
  </si>
  <si>
    <t>[10.0, 11.62]</t>
  </si>
  <si>
    <t>[39.17, 56.23]</t>
  </si>
  <si>
    <t>[20.01, 4.1]</t>
  </si>
  <si>
    <t>[10.0, 11.15]</t>
  </si>
  <si>
    <t>[34.96, 52.52]</t>
  </si>
  <si>
    <t>[20.01, 3.43]</t>
  </si>
  <si>
    <t>[9.42, 10.41]</t>
  </si>
  <si>
    <t>[38.27, 50.18]</t>
  </si>
  <si>
    <t>[19.98, 8.06]</t>
  </si>
  <si>
    <t>[9.98, 9.96]</t>
  </si>
  <si>
    <t>[38.54, 55.67]</t>
  </si>
  <si>
    <t>[19.97, 3.87]</t>
  </si>
  <si>
    <t>[10.0, 11.03]</t>
  </si>
  <si>
    <t>[40.21, 57.14]</t>
  </si>
  <si>
    <t>[20.07, 4.48]</t>
  </si>
  <si>
    <t>[9.99, 11.33]</t>
  </si>
  <si>
    <t>[33.41, 55.46]</t>
  </si>
  <si>
    <t>[20.05, 3.52]</t>
  </si>
  <si>
    <t>[6.97, 6.97]</t>
  </si>
  <si>
    <t>[5.47, 10.99]</t>
  </si>
  <si>
    <t>[34.07, 54.62]</t>
  </si>
  <si>
    <t>[19.9, 2.69]</t>
  </si>
  <si>
    <t>[7.63, 7.63]</t>
  </si>
  <si>
    <t>[7.49, 10.82]</t>
  </si>
  <si>
    <t>[31.35, 53.84]</t>
  </si>
  <si>
    <t>[20.0, 3.26]</t>
  </si>
  <si>
    <t>[6.92, 6.92]</t>
  </si>
  <si>
    <t>[4.92, 10.67]</t>
  </si>
  <si>
    <t>[30.72, 53.34]</t>
  </si>
  <si>
    <t>[19.99, 3.09]</t>
  </si>
  <si>
    <t>[4.85, 10.57]</t>
  </si>
  <si>
    <t>[25.23, 48.98]</t>
  </si>
  <si>
    <t>[20.5, 1.95]</t>
  </si>
  <si>
    <t>[4.5, 9.7]</t>
  </si>
  <si>
    <t>[35.53, 57.45]</t>
  </si>
  <si>
    <t>[19.98, 4.05]</t>
  </si>
  <si>
    <t>[5.39, 11.39]</t>
  </si>
  <si>
    <t>[30.06, 52.45]</t>
  </si>
  <si>
    <t>[20.0, 1.97]</t>
  </si>
  <si>
    <t>[7.92, 7.92]</t>
  </si>
  <si>
    <t>[6.03, 10.39]</t>
  </si>
  <si>
    <t>[38.97, 38.97]</t>
  </si>
  <si>
    <t>[7.81, 7.81]</t>
  </si>
  <si>
    <t>[29.67, 51.05]</t>
  </si>
  <si>
    <t>[19.87, 1.88]</t>
  </si>
  <si>
    <t>[7.75, 7.75]</t>
  </si>
  <si>
    <t>[6.73, 10.11]</t>
  </si>
  <si>
    <t>[30.89, 52.1]</t>
  </si>
  <si>
    <t>[19.81, 1.93]</t>
  </si>
  <si>
    <t>[7.9, 7.9]</t>
  </si>
  <si>
    <t>[6.99, 10.32]</t>
  </si>
  <si>
    <t>[35.98, 57.94]</t>
  </si>
  <si>
    <t>[20.04, 3.98]</t>
  </si>
  <si>
    <t>[6.98, 6.98]</t>
  </si>
  <si>
    <t>[5.57, 11.48]</t>
  </si>
  <si>
    <t>[32.53, 54.45]</t>
  </si>
  <si>
    <t>[19.49, 2.65]</t>
  </si>
  <si>
    <t>[5.7, 10.79]</t>
  </si>
  <si>
    <t>[31.55, 53.75]</t>
  </si>
  <si>
    <t>[20.07, 3.42]</t>
  </si>
  <si>
    <t>[5.1, 10.65]</t>
  </si>
  <si>
    <t>[29.45, 52.51]</t>
  </si>
  <si>
    <t>[20.0, 2.73]</t>
  </si>
  <si>
    <t>[7.19, 7.19]</t>
  </si>
  <si>
    <t>[4.61, 10.4]</t>
  </si>
  <si>
    <t>[30.25, 52.72]</t>
  </si>
  <si>
    <t>[19.99, 2.69]</t>
  </si>
  <si>
    <t>[7.27, 7.27]</t>
  </si>
  <si>
    <t>[5.28, 10.45]</t>
  </si>
  <si>
    <t>[33.12, 55.53]</t>
  </si>
  <si>
    <t>[20.49, 2.62]</t>
  </si>
  <si>
    <t>[7.86, 7.86]</t>
  </si>
  <si>
    <t>[6.47, 11.0]</t>
  </si>
  <si>
    <t>[30.31, 30.31]</t>
  </si>
  <si>
    <t>[10.26, 10.26]</t>
  </si>
  <si>
    <t>[2.59, 2.59]</t>
  </si>
  <si>
    <t>[30.5, 30.5]</t>
  </si>
  <si>
    <t>[24.88, 24.88]</t>
  </si>
  <si>
    <t>[2.36, 2.36]</t>
  </si>
  <si>
    <t>[34.0, 34.07]</t>
  </si>
  <si>
    <t>[24.93, 23.49]</t>
  </si>
  <si>
    <t>[10.56, 10.56]</t>
  </si>
  <si>
    <t>[8.18, 6.81]</t>
  </si>
  <si>
    <t>[28.02, 27.11]</t>
  </si>
  <si>
    <t>[25.01, 22.19]</t>
  </si>
  <si>
    <t>[10.43, 10.43]</t>
  </si>
  <si>
    <t>[9.16, 5.43]</t>
  </si>
  <si>
    <t>[33.53, 33.53]</t>
  </si>
  <si>
    <t>[25.01, 22.8]</t>
  </si>
  <si>
    <t>[10.7, 10.7]</t>
  </si>
  <si>
    <t>[8.91, 6.7]</t>
  </si>
  <si>
    <t>[33.62, 32.89]</t>
  </si>
  <si>
    <t>[24.94, 22.25]</t>
  </si>
  <si>
    <t>[10.61, 10.61]</t>
  </si>
  <si>
    <t>[10.0, 6.57]</t>
  </si>
  <si>
    <t>[31.41, 31.76]</t>
  </si>
  <si>
    <t>[24.97, 24.37]</t>
  </si>
  <si>
    <t>[6.61, 6.36]</t>
  </si>
  <si>
    <t>[31.48, 31.48]</t>
  </si>
  <si>
    <t>[4.87, 4.87]</t>
  </si>
  <si>
    <t>[26.73, 26.73]</t>
  </si>
  <si>
    <t>[10.63, 10.63]</t>
  </si>
  <si>
    <t>[2.11, 2.11]</t>
  </si>
  <si>
    <t>[28.85, 28.85]</t>
  </si>
  <si>
    <t>[24.94, 24.94]</t>
  </si>
  <si>
    <t>[4.15, 4.15]</t>
  </si>
  <si>
    <t>[34.2, 33.24]</t>
  </si>
  <si>
    <t>[25.01, 22.62]</t>
  </si>
  <si>
    <t>[10.59, 10.59]</t>
  </si>
  <si>
    <t>[10.0, 6.64]</t>
  </si>
  <si>
    <t>[33.62, 34.1]</t>
  </si>
  <si>
    <t>[25.08, 23.99]</t>
  </si>
  <si>
    <t>[10.1, 10.1]</t>
  </si>
  <si>
    <t>[7.43, 6.82]</t>
  </si>
  <si>
    <t>[26.47, 26.18]</t>
  </si>
  <si>
    <t>[25.02, 21.04]</t>
  </si>
  <si>
    <t>[10.45, 10.45]</t>
  </si>
  <si>
    <t>[9.51, 5.24]</t>
  </si>
  <si>
    <t>[34.62, 33.36]</t>
  </si>
  <si>
    <t>[24.95, 22.91]</t>
  </si>
  <si>
    <t>[10.42, 10.42]</t>
  </si>
  <si>
    <t>[9.97, 6.67]</t>
  </si>
  <si>
    <t>[31.73, 31.73]</t>
  </si>
  <si>
    <t>[24.91, 24.91]</t>
  </si>
  <si>
    <t>[10.88, 10.88]</t>
  </si>
  <si>
    <t>[32.47, 32.32]</t>
  </si>
  <si>
    <t>[24.96, 21.93]</t>
  </si>
  <si>
    <t>[10.35, 10.35]</t>
  </si>
  <si>
    <t>[9.64, 6.46]</t>
  </si>
  <si>
    <t>[28.67, 28.67]</t>
  </si>
  <si>
    <t>[24.92, 24.92]</t>
  </si>
  <si>
    <t>[2.79, 2.79]</t>
  </si>
  <si>
    <t>[29.97, 29.97]</t>
  </si>
  <si>
    <t>[2.24, 2.24]</t>
  </si>
  <si>
    <t>[31.91, 31.92]</t>
  </si>
  <si>
    <t>[25.1, 21.62]</t>
  </si>
  <si>
    <t>[10.27, 10.27]</t>
  </si>
  <si>
    <t>[9.85, 6.38]</t>
  </si>
  <si>
    <t>[31.12, 31.12]</t>
  </si>
  <si>
    <t>[9.86, 9.86]</t>
  </si>
  <si>
    <t>[2.49, 2.49]</t>
  </si>
  <si>
    <t>[34.11, 33.26]</t>
  </si>
  <si>
    <t>[25.02, 22.52]</t>
  </si>
  <si>
    <t>[10.0, 6.65]</t>
  </si>
  <si>
    <t>[31.43, 31.43]</t>
  </si>
  <si>
    <t>[25.1, 25.1]</t>
  </si>
  <si>
    <t>[10.71, 10.71]</t>
  </si>
  <si>
    <t>[3.15, 3.15]</t>
  </si>
  <si>
    <t>[32.12, 32.8]</t>
  </si>
  <si>
    <t>[24.99, 22.34]</t>
  </si>
  <si>
    <t>[8.53, 6.56]</t>
  </si>
  <si>
    <t>[28.9, 28.9]</t>
  </si>
  <si>
    <t>[24.98, 24.98]</t>
  </si>
  <si>
    <t>[10.82, 10.82]</t>
  </si>
  <si>
    <t>[3.6, 3.6]</t>
  </si>
  <si>
    <t>[32.8, 32.36]</t>
  </si>
  <si>
    <t>[25.04, 21.98]</t>
  </si>
  <si>
    <t>[10.34, 10.34]</t>
  </si>
  <si>
    <t>[9.97, 6.47]</t>
  </si>
  <si>
    <t>[34.49, 35.74]</t>
  </si>
  <si>
    <t>[25.06, 21.41]</t>
  </si>
  <si>
    <t>[9.54, 7.14]</t>
  </si>
  <si>
    <t>[27.76, 27.39]</t>
  </si>
  <si>
    <t>[25.17, 25.27]</t>
  </si>
  <si>
    <t>[5.76, 5.49]</t>
  </si>
  <si>
    <t>[28.08, 28.08]</t>
  </si>
  <si>
    <t>[24.55, 24.55]</t>
  </si>
  <si>
    <t>[10.41, 10.41]</t>
  </si>
  <si>
    <t>[23.06, 40.44]</t>
  </si>
  <si>
    <t>[24.82, 13.48]</t>
  </si>
  <si>
    <t>[10.44, 10.44]</t>
  </si>
  <si>
    <t>[22.03, 34.69]</t>
  </si>
  <si>
    <t>[25.06, 17.21]</t>
  </si>
  <si>
    <t>[2.1, 6.92]</t>
  </si>
  <si>
    <t>[25.43, 58.72]</t>
  </si>
  <si>
    <t>[24.88, 0.68]</t>
  </si>
  <si>
    <t>[10.37, 10.37]</t>
  </si>
  <si>
    <t>[2.54, 11.63]</t>
  </si>
  <si>
    <t>[27.76, 27.76]</t>
  </si>
  <si>
    <t>[24.77, 24.77]</t>
  </si>
  <si>
    <t>[22.91, 22.91]</t>
  </si>
  <si>
    <t>[10.54, 10.54]</t>
  </si>
  <si>
    <t>[23.63, 23.63]</t>
  </si>
  <si>
    <t>[3.02, 3.02]</t>
  </si>
  <si>
    <t>[24.48, 58.56]</t>
  </si>
  <si>
    <t>[25.13, 0.64]</t>
  </si>
  <si>
    <t>[10.38, 10.38]</t>
  </si>
  <si>
    <t>[2.0, 11.6]</t>
  </si>
  <si>
    <t>[27.31, 27.44]</t>
  </si>
  <si>
    <t>[25.01, 22.63]</t>
  </si>
  <si>
    <t>[10.39, 10.39]</t>
  </si>
  <si>
    <t>[7.75, 5.5]</t>
  </si>
  <si>
    <t>[21.47, 21.47]</t>
  </si>
  <si>
    <t>[24.84, 24.84]</t>
  </si>
  <si>
    <t>[10.46, 10.46]</t>
  </si>
  <si>
    <t>[24.09, 48.24]</t>
  </si>
  <si>
    <t>[24.88, 8.31]</t>
  </si>
  <si>
    <t>[10.47, 10.47]</t>
  </si>
  <si>
    <t>[2.0, 9.57]</t>
  </si>
  <si>
    <t>[2.8, 2.8]</t>
  </si>
  <si>
    <t>[26.44, 26.44]</t>
  </si>
  <si>
    <t>[2.92, 2.92]</t>
  </si>
  <si>
    <t>[4.56, 4.56]</t>
  </si>
  <si>
    <t>[30.54, 30.54]</t>
  </si>
  <si>
    <t>[25.35, 25.35]</t>
  </si>
  <si>
    <t>[3.25, 3.25]</t>
  </si>
  <si>
    <t>[26.88, 27.68]</t>
  </si>
  <si>
    <t>[24.99, 22.88]</t>
  </si>
  <si>
    <t>[6.86, 5.54]</t>
  </si>
  <si>
    <t>[26.86, 26.86]</t>
  </si>
  <si>
    <t>[25.18, 25.18]</t>
  </si>
  <si>
    <t>[25.3, 25.3]</t>
  </si>
  <si>
    <t>[25.12, 25.12]</t>
  </si>
  <si>
    <t>[31.69, 31.69]</t>
  </si>
  <si>
    <t>[24.66, 24.66]</t>
  </si>
  <si>
    <t>[3.29, 3.29]</t>
  </si>
  <si>
    <t>[18.44, 27.33]</t>
  </si>
  <si>
    <t>[25.04, 19.6]</t>
  </si>
  <si>
    <t>[2.01, 5.47]</t>
  </si>
  <si>
    <t>[26.36, 35.0]</t>
  </si>
  <si>
    <t>[25.25, 20.95]</t>
  </si>
  <si>
    <t>[2.65, 6.99]</t>
  </si>
  <si>
    <t>[23.31, 23.31]</t>
  </si>
  <si>
    <t>[24.61, 24.61]</t>
  </si>
  <si>
    <t>[3.5, 3.5]</t>
  </si>
  <si>
    <t>[22.63, 22.63]</t>
  </si>
  <si>
    <t>[25.33, 25.33]</t>
  </si>
  <si>
    <t>[2.61, 2.61]</t>
  </si>
  <si>
    <t>[23.91, 57.84]</t>
  </si>
  <si>
    <t>[24.96, 0.48]</t>
  </si>
  <si>
    <t>[10.4, 10.4]</t>
  </si>
  <si>
    <t>[2.0, 11.45]</t>
  </si>
  <si>
    <t>[23.42, 51.81]</t>
  </si>
  <si>
    <t>[24.87, 4.47]</t>
  </si>
  <si>
    <t>[10.48, 10.48]</t>
  </si>
  <si>
    <t>[2.28, 10.27]</t>
  </si>
  <si>
    <t>[30.26, 30.26]</t>
  </si>
  <si>
    <t>[25.22, 25.22]</t>
  </si>
  <si>
    <t>[20.83, 59.94]</t>
  </si>
  <si>
    <t>[35.0, 1.26]</t>
  </si>
  <si>
    <t>[10.03, 10.03]</t>
  </si>
  <si>
    <t>[6.5, 11.87]</t>
  </si>
  <si>
    <t>[22.67, 22.32]</t>
  </si>
  <si>
    <t>[25.48, 20.87]</t>
  </si>
  <si>
    <t>[10.55, 10.55]</t>
  </si>
  <si>
    <t>[9.43, 4.48]</t>
  </si>
  <si>
    <t>[33.05, 34.47]</t>
  </si>
  <si>
    <t>[25.0, 20.46]</t>
  </si>
  <si>
    <t>[10.0, 6.88]</t>
  </si>
  <si>
    <t>[6.1, 39.67]</t>
  </si>
  <si>
    <t>[34.98, 1.33]</t>
  </si>
  <si>
    <t>[10.07, 10.07]</t>
  </si>
  <si>
    <t>[7.93, 7.86]</t>
  </si>
  <si>
    <t>[16.46, 54.95]</t>
  </si>
  <si>
    <t>[34.99, 0.1]</t>
  </si>
  <si>
    <t>[10.23, 10.23]</t>
  </si>
  <si>
    <t>[7.28, 10.88]</t>
  </si>
  <si>
    <t>[36.36, 36.42]</t>
  </si>
  <si>
    <t>[25.01, 22.22]</t>
  </si>
  <si>
    <t>[10.0, 7.27]</t>
  </si>
  <si>
    <t>[12.01, 55.97]</t>
  </si>
  <si>
    <t>[35.01, 0.13]</t>
  </si>
  <si>
    <t>[2.0, 11.08]</t>
  </si>
  <si>
    <t>[27.96, 27.96]</t>
  </si>
  <si>
    <t>[25.09, 25.09]</t>
  </si>
  <si>
    <t>[5.08, 5.08]</t>
  </si>
  <si>
    <t>[26.33, 36.48]</t>
  </si>
  <si>
    <t>[25.05, 18.63]</t>
  </si>
  <si>
    <t>[3.55, 7.27]</t>
  </si>
  <si>
    <t>[25.57, 25.57]</t>
  </si>
  <si>
    <t>[24.7, 24.7]</t>
  </si>
  <si>
    <t>[10.83, 10.83]</t>
  </si>
  <si>
    <t>[4.51, 4.51]</t>
  </si>
  <si>
    <t>[29.53, 55.62]</t>
  </si>
  <si>
    <t>[25.17, 0.15]</t>
  </si>
  <si>
    <t>[9.94, 11.01]</t>
  </si>
  <si>
    <t>[15.38, 55.72]</t>
  </si>
  <si>
    <t>[35.0, 0.4]</t>
  </si>
  <si>
    <t>[5.29, 11.03]</t>
  </si>
  <si>
    <t>[25.98, 48.86]</t>
  </si>
  <si>
    <t>[25.24, 8.72]</t>
  </si>
  <si>
    <t>[10.31, 10.31]</t>
  </si>
  <si>
    <t>[3.35, 9.7]</t>
  </si>
  <si>
    <t>[27.18, 55.53]</t>
  </si>
  <si>
    <t>[25.0, 0.05]</t>
  </si>
  <si>
    <t>[7.6, 11.0]</t>
  </si>
  <si>
    <t>[21.56, 46.58]</t>
  </si>
  <si>
    <t>[24.89, 2.91]</t>
  </si>
  <si>
    <t>[6.21, 9.23]</t>
  </si>
  <si>
    <t>[13.03, 15.89]</t>
  </si>
  <si>
    <t>[35.04, 33.42]</t>
  </si>
  <si>
    <t>[2.0, 3.24]</t>
  </si>
  <si>
    <t>[12.77, 55.53]</t>
  </si>
  <si>
    <t>[34.06, 0.3]</t>
  </si>
  <si>
    <t>[10.15, 10.15]</t>
  </si>
  <si>
    <t>[23.25, 54.01]</t>
  </si>
  <si>
    <t>[34.88, 5.21]</t>
  </si>
  <si>
    <t>[9.63, 10.71]</t>
  </si>
  <si>
    <t>[12.5, 19.75]</t>
  </si>
  <si>
    <t>[35.0, 29.75]</t>
  </si>
  <si>
    <t>[2.0, 3.99]</t>
  </si>
  <si>
    <t>[13.83, 57.19]</t>
  </si>
  <si>
    <t>[34.96, 0.59]</t>
  </si>
  <si>
    <t>[10.17, 10.17]</t>
  </si>
  <si>
    <t>[2.33, 11.33]</t>
  </si>
  <si>
    <t>[12.8, 56.75]</t>
  </si>
  <si>
    <t>[35.0, 0.28]</t>
  </si>
  <si>
    <t>[2.0, 11.24]</t>
  </si>
  <si>
    <t>[18.57, 55.29]</t>
  </si>
  <si>
    <t>[35.01, 0.39]</t>
  </si>
  <si>
    <t>[8.85, 10.95]</t>
  </si>
  <si>
    <t>[15.34, 57.08]</t>
  </si>
  <si>
    <t>[34.99, 0.73]</t>
  </si>
  <si>
    <t>[3.83, 11.3]</t>
  </si>
  <si>
    <t>[30.71, 30.71]</t>
  </si>
  <si>
    <t>[3.84, 3.84]</t>
  </si>
  <si>
    <t>[28.52, 27.68]</t>
  </si>
  <si>
    <t>[25.0, 22.88]</t>
  </si>
  <si>
    <t>[8.51, 5.54]</t>
  </si>
  <si>
    <t>[15.96, 49.86]</t>
  </si>
  <si>
    <t>[30.03, 4.01]</t>
  </si>
  <si>
    <t>[2.0, 9.88]</t>
  </si>
  <si>
    <t>[16.28, 16.28]</t>
  </si>
  <si>
    <t>[29.73, 29.73]</t>
  </si>
  <si>
    <t>[10.84, 10.84]</t>
  </si>
  <si>
    <t>[19.15, 28.63]</t>
  </si>
  <si>
    <t>[29.82, 24.08]</t>
  </si>
  <si>
    <t>[2.0, 5.74]</t>
  </si>
  <si>
    <t>[14.98, 49.2]</t>
  </si>
  <si>
    <t>[30.2, 3.73]</t>
  </si>
  <si>
    <t>[2.0, 9.75]</t>
  </si>
  <si>
    <t>[14.63, 14.63]</t>
  </si>
  <si>
    <t>[30.0, 30.0]</t>
  </si>
  <si>
    <t>[16.08, 23.71]</t>
  </si>
  <si>
    <t>[30.29, 25.42]</t>
  </si>
  <si>
    <t>[2.0, 4.77]</t>
  </si>
  <si>
    <t>[18.67, 35.79]</t>
  </si>
  <si>
    <t>[30.05, 18.07]</t>
  </si>
  <si>
    <t>[2.0, 7.14]</t>
  </si>
  <si>
    <t>[16.16, 16.16]</t>
  </si>
  <si>
    <t>[30.25, 30.25]</t>
  </si>
  <si>
    <t>[10.53, 10.53]</t>
  </si>
  <si>
    <t>[16.91, 16.91]</t>
  </si>
  <si>
    <t>[29.68, 29.68]</t>
  </si>
  <si>
    <t>[21.15, 21.15]</t>
  </si>
  <si>
    <t>[30.28, 30.28]</t>
  </si>
  <si>
    <t>[19.02, 19.02]</t>
  </si>
  <si>
    <t>[29.99, 29.99]</t>
  </si>
  <si>
    <t>[11.2, 11.2]</t>
  </si>
  <si>
    <t>[17.53, 17.53]</t>
  </si>
  <si>
    <t>[30.3, 30.3]</t>
  </si>
  <si>
    <t>[18.61, 18.61]</t>
  </si>
  <si>
    <t>[29.7, 29.7]</t>
  </si>
  <si>
    <t>[17.29, 50.99]</t>
  </si>
  <si>
    <t>[29.83, 4.23]</t>
  </si>
  <si>
    <t>[2.01, 10.11]</t>
  </si>
  <si>
    <t>[16.93, 16.93]</t>
  </si>
  <si>
    <t>[29.76, 29.76]</t>
  </si>
  <si>
    <t>[18.82, 25.08]</t>
  </si>
  <si>
    <t>[30.11, 26.89]</t>
  </si>
  <si>
    <t>[11.04, 11.04]</t>
  </si>
  <si>
    <t>[2.0, 5.04]</t>
  </si>
  <si>
    <t>[13.79, 47.87]</t>
  </si>
  <si>
    <t>[30.0, 3.41]</t>
  </si>
  <si>
    <t>[2.0, 9.49]</t>
  </si>
  <si>
    <t>[15.16, 15.16]</t>
  </si>
  <si>
    <t>[29.69, 29.69]</t>
  </si>
  <si>
    <t>[1.99, 1.99]</t>
  </si>
  <si>
    <t>[15.09, 15.09]</t>
  </si>
  <si>
    <t>[30.16, 30.16]</t>
  </si>
  <si>
    <t>[16.37, 16.37]</t>
  </si>
  <si>
    <t>[10.21, 10.21]</t>
  </si>
  <si>
    <t>[21.42, 21.42]</t>
  </si>
  <si>
    <t>[10.87, 10.87]</t>
  </si>
  <si>
    <t>[17.06, 17.06]</t>
  </si>
  <si>
    <t>[10.6, 10.6]</t>
  </si>
  <si>
    <t>[13.5, 13.5]</t>
  </si>
  <si>
    <t>[30.14, 30.14]</t>
  </si>
  <si>
    <t>[19.9, 19.9]</t>
  </si>
  <si>
    <t>[29.98, 29.98]</t>
  </si>
  <si>
    <t>[10.96, 10.96]</t>
  </si>
  <si>
    <t>[16.71, 36.95]</t>
  </si>
  <si>
    <t>[30.0, 15.12]</t>
  </si>
  <si>
    <t>[2.0, 7.36]</t>
  </si>
  <si>
    <t>[19.42, 19.42]</t>
  </si>
  <si>
    <t>[30.21, 30.21]</t>
  </si>
  <si>
    <t>[19.31, 19.31]</t>
  </si>
  <si>
    <t>[8.36, 8.36]</t>
  </si>
  <si>
    <t>[21.86, 21.86]</t>
  </si>
  <si>
    <t>[19.82, 19.82]</t>
  </si>
  <si>
    <t>[21.36, 34.67]</t>
  </si>
  <si>
    <t>[30.02, 21.63]</t>
  </si>
  <si>
    <t>[6.02, 6.02]</t>
  </si>
  <si>
    <t>[20.75, 20.75]</t>
  </si>
  <si>
    <t>[30.03, 30.03]</t>
  </si>
  <si>
    <t>[19.72, 19.72]</t>
  </si>
  <si>
    <t>[30.01, 30.01]</t>
  </si>
  <si>
    <t>[21.82, 21.82]</t>
  </si>
  <si>
    <t>[30.04, 30.04]</t>
  </si>
  <si>
    <t>[5.65, 5.65]</t>
  </si>
  <si>
    <t>[21.43, 21.43]</t>
  </si>
  <si>
    <t>[30.18, 30.18]</t>
  </si>
  <si>
    <t>[3.44, 3.44]</t>
  </si>
  <si>
    <t>[16.56, 16.56]</t>
  </si>
  <si>
    <t>[9.7, 9.7]</t>
  </si>
  <si>
    <t>[0.0, 0.0]</t>
  </si>
  <si>
    <t>[17.16, 17.16]</t>
  </si>
  <si>
    <t>[3.61, 3.61]</t>
  </si>
  <si>
    <t>[16.12, 16.12]</t>
  </si>
  <si>
    <t>[2.58, 2.58]</t>
  </si>
  <si>
    <t>[0.0, 0.92]</t>
  </si>
  <si>
    <t>[17.85, 13.36]</t>
  </si>
  <si>
    <t>[4.3, 0.73]</t>
  </si>
  <si>
    <t>[17.45, 17.45]</t>
  </si>
  <si>
    <t>[3.9, 3.9]</t>
  </si>
  <si>
    <t>[14.61, 13.36]</t>
  </si>
  <si>
    <t>[1.06, 0.73]</t>
  </si>
  <si>
    <t>[18.54, 18.54]</t>
  </si>
  <si>
    <t>[4.99, 4.99]</t>
  </si>
  <si>
    <t>[18.68, 13.36]</t>
  </si>
  <si>
    <t>[5.13, 0.73]</t>
  </si>
  <si>
    <t>[15.5, 15.5]</t>
  </si>
  <si>
    <t>[1.95, 1.95]</t>
  </si>
  <si>
    <t>[18.37, 13.36]</t>
  </si>
  <si>
    <t>[4.82, 0.73]</t>
  </si>
  <si>
    <t>[15.82, 13.36]</t>
  </si>
  <si>
    <t>[2.27, 0.73]</t>
  </si>
  <si>
    <t>[18.4, 18.4]</t>
  </si>
  <si>
    <t>[4.85, 4.85]</t>
  </si>
  <si>
    <t>[16.39, 13.36]</t>
  </si>
  <si>
    <t>[2.84, 0.73]</t>
  </si>
  <si>
    <t>[18.49, 13.36]</t>
  </si>
  <si>
    <t>[4.94, 0.73]</t>
  </si>
  <si>
    <t>[17.45, 13.36]</t>
  </si>
  <si>
    <t>[3.9, 0.73]</t>
  </si>
  <si>
    <t>[15.78, 13.36]</t>
  </si>
  <si>
    <t>[2.23, 0.73]</t>
  </si>
  <si>
    <t>[16.73, 13.36]</t>
  </si>
  <si>
    <t>[3.18, 0.73]</t>
  </si>
  <si>
    <t>[15.19, 13.36]</t>
  </si>
  <si>
    <t>[1.64, 0.73]</t>
  </si>
  <si>
    <t>[18.03, 18.03]</t>
  </si>
  <si>
    <t>[4.48, 4.48]</t>
  </si>
  <si>
    <t>[18.15, 18.15]</t>
  </si>
  <si>
    <t>[4.6, 4.6]</t>
  </si>
  <si>
    <t>[14.08, 13.36]</t>
  </si>
  <si>
    <t>[0.53, 0.73]</t>
  </si>
  <si>
    <t>[17.02, 17.02]</t>
  </si>
  <si>
    <t>[3.48, 3.48]</t>
  </si>
  <si>
    <t>[14.89, 13.36]</t>
  </si>
  <si>
    <t>[1.35, 0.73]</t>
  </si>
  <si>
    <t>[14.73, 14.73]</t>
  </si>
  <si>
    <t>[1.19, 1.19]</t>
  </si>
  <si>
    <t>[14.92, 13.36]</t>
  </si>
  <si>
    <t>[1.38, 0.73]</t>
  </si>
  <si>
    <t>[15.29, 13.36]</t>
  </si>
  <si>
    <t>[1.74, 0.73]</t>
  </si>
  <si>
    <t>[14.25, 13.36]</t>
  </si>
  <si>
    <t>[0.7, 0.73]</t>
  </si>
  <si>
    <t>[15.16, 13.36]</t>
  </si>
  <si>
    <t>[1.61, 0.73]</t>
  </si>
  <si>
    <t>[15.29, 15.29]</t>
  </si>
  <si>
    <t>[1.74, 1.74]</t>
  </si>
  <si>
    <t>[15.81, 13.36]</t>
  </si>
  <si>
    <t>[2.26, 0.73]</t>
  </si>
  <si>
    <t>[14.24, 13.36]</t>
  </si>
  <si>
    <t>[0.69, 0.73]</t>
  </si>
  <si>
    <t>[15.42, 13.36]</t>
  </si>
  <si>
    <t>[1.87, 0.73]</t>
  </si>
  <si>
    <t>[14.67, 14.67]</t>
  </si>
  <si>
    <t>[1.12, 1.12]</t>
  </si>
  <si>
    <t>[15.28, 13.36]</t>
  </si>
  <si>
    <t>[1.73, 0.73]</t>
  </si>
  <si>
    <t>[14.64, 13.36]</t>
  </si>
  <si>
    <t>[1.09, 0.73]</t>
  </si>
  <si>
    <t>[17.35, 13.36]</t>
  </si>
  <si>
    <t>[3.8, 0.73]</t>
  </si>
  <si>
    <t>[14.99, 13.36]</t>
  </si>
  <si>
    <t>[1.44, 0.73]</t>
  </si>
  <si>
    <t>[17.43, 13.36]</t>
  </si>
  <si>
    <t>[3.88, 0.73]</t>
  </si>
  <si>
    <t>[16.48, 16.48]</t>
  </si>
  <si>
    <t>[2.93, 2.93]</t>
  </si>
  <si>
    <t>[15.25, 13.36]</t>
  </si>
  <si>
    <t>[1.7, 0.73]</t>
  </si>
  <si>
    <t>[15.1, 13.36]</t>
  </si>
  <si>
    <t>[1.56, 0.73]</t>
  </si>
  <si>
    <t>[16.65, 13.36]</t>
  </si>
  <si>
    <t>[3.1, 0.73]</t>
  </si>
  <si>
    <t>[15.85, 13.36]</t>
  </si>
  <si>
    <t>[2.3, 0.73]</t>
  </si>
  <si>
    <t>[17.88, 13.36]</t>
  </si>
  <si>
    <t>[4.34, 0.73]</t>
  </si>
  <si>
    <t>[16.37, 13.36]</t>
  </si>
  <si>
    <t>[2.82, 0.73]</t>
  </si>
  <si>
    <t>[17.16, 13.36]</t>
  </si>
  <si>
    <t>[3.61, 0.73]</t>
  </si>
  <si>
    <t>[16.24, 13.36]</t>
  </si>
  <si>
    <t>[2.69, 0.73]</t>
  </si>
  <si>
    <t>[14.84, 13.36]</t>
  </si>
  <si>
    <t>[1.29, 0.73]</t>
  </si>
  <si>
    <t>[16.27, 13.36]</t>
  </si>
  <si>
    <t>[2.72, 0.73]</t>
  </si>
  <si>
    <t>[17.62, 13.36]</t>
  </si>
  <si>
    <t>[4.07, 0.73]</t>
  </si>
  <si>
    <t>[17.66, 13.36]</t>
  </si>
  <si>
    <t>[4.11, 0.73]</t>
  </si>
  <si>
    <t>[15.23, 15.23]</t>
  </si>
  <si>
    <t>[1.68, 1.68]</t>
  </si>
  <si>
    <t>[15.64, 13.36]</t>
  </si>
  <si>
    <t>[2.09, 0.73]</t>
  </si>
  <si>
    <t>[16.06, 13.36]</t>
  </si>
  <si>
    <t>[2.52, 0.73]</t>
  </si>
  <si>
    <t>[15.39, 15.39]</t>
  </si>
  <si>
    <t>[1.84, 1.84]</t>
  </si>
  <si>
    <t>[14.93, 13.36]</t>
  </si>
  <si>
    <t>[1.39, 0.73]</t>
  </si>
  <si>
    <t>[15.62, 13.36]</t>
  </si>
  <si>
    <t>[2.07, 0.73]</t>
  </si>
  <si>
    <t>[15.86, 13.36]</t>
  </si>
  <si>
    <t>[2.31, 0.73]</t>
  </si>
  <si>
    <t>[14.81, 13.36]</t>
  </si>
  <si>
    <t>[1.26, 0.73]</t>
  </si>
  <si>
    <t>[16.5, 16.5]</t>
  </si>
  <si>
    <t>[2.96, 2.96]</t>
  </si>
  <si>
    <t>[17.3, 13.36]</t>
  </si>
  <si>
    <t>[3.75, 0.73]</t>
  </si>
  <si>
    <t>[16.28, 13.36]</t>
  </si>
  <si>
    <t>[2.73, 0.73]</t>
  </si>
  <si>
    <t>[2.82, 2.82]</t>
  </si>
  <si>
    <t>[16.81, 13.36]</t>
  </si>
  <si>
    <t>[3.27, 0.73]</t>
  </si>
  <si>
    <t>[14.94, 13.36]</t>
  </si>
  <si>
    <t>[16.51, 13.36]</t>
  </si>
  <si>
    <t>[2.96, 0.73]</t>
  </si>
  <si>
    <t>[15.11, 13.36]</t>
  </si>
  <si>
    <t>[16.31, 13.36]</t>
  </si>
  <si>
    <t>[2.76, 0.73]</t>
  </si>
  <si>
    <t>[17.74, 13.36]</t>
  </si>
  <si>
    <t>[4.19, 0.73]</t>
  </si>
  <si>
    <t>[2.18, 0.92]</t>
  </si>
  <si>
    <t>[24.1, 13.36]</t>
  </si>
  <si>
    <t>[12.74, 0.73]</t>
  </si>
  <si>
    <t>[20.97, 20.97]</t>
  </si>
  <si>
    <t>[7.42, 7.42]</t>
  </si>
  <si>
    <t>[10.57, 0.92]</t>
  </si>
  <si>
    <t>[22.64, 13.36]</t>
  </si>
  <si>
    <t>[19.66, 0.73]</t>
  </si>
  <si>
    <t>[18.89, 18.89]</t>
  </si>
  <si>
    <t>[7.22, 0.92]</t>
  </si>
  <si>
    <t>[21.47, 13.36]</t>
  </si>
  <si>
    <t>[15.14, 0.73]</t>
  </si>
  <si>
    <t>[0.17, 0.92]</t>
  </si>
  <si>
    <t>[21.29, 13.36]</t>
  </si>
  <si>
    <t>[7.91, 0.73]</t>
  </si>
  <si>
    <t>[18.17, 13.36]</t>
  </si>
  <si>
    <t>[4.62, 0.73]</t>
  </si>
  <si>
    <t>[1.85, 0.92]</t>
  </si>
  <si>
    <t>[21.52, 13.36]</t>
  </si>
  <si>
    <t>[9.83, 0.73]</t>
  </si>
  <si>
    <t>[17.21, 13.36]</t>
  </si>
  <si>
    <t>[3.66, 0.73]</t>
  </si>
  <si>
    <t>[17.53, 13.36]</t>
  </si>
  <si>
    <t>[3.98, 0.73]</t>
  </si>
  <si>
    <t>[3.45, 0.92]</t>
  </si>
  <si>
    <t>[20.68, 13.36]</t>
  </si>
  <si>
    <t>[10.58, 0.73]</t>
  </si>
  <si>
    <t>[18.87, 18.87]</t>
  </si>
  <si>
    <t>[5.32, 5.32]</t>
  </si>
  <si>
    <t>[10.43, 0.92]</t>
  </si>
  <si>
    <t>[24.9, 13.36]</t>
  </si>
  <si>
    <t>[21.78, 0.73]</t>
  </si>
  <si>
    <t>[17.17, 13.36]</t>
  </si>
  <si>
    <t>[3.62, 0.73]</t>
  </si>
  <si>
    <t>[21.22, 21.22]</t>
  </si>
  <si>
    <t>[19.79, 13.36]</t>
  </si>
  <si>
    <t>[6.24, 0.73]</t>
  </si>
  <si>
    <t>[18.52, 13.36]</t>
  </si>
  <si>
    <t>[4.97, 0.73]</t>
  </si>
  <si>
    <t>[6.86, 0.92]</t>
  </si>
  <si>
    <t>[24.92, 13.36]</t>
  </si>
  <si>
    <t>[18.24, 0.73]</t>
  </si>
  <si>
    <t>[20.84, 13.36]</t>
  </si>
  <si>
    <t>[7.29, 0.73]</t>
  </si>
  <si>
    <t>[18.43, 18.43]</t>
  </si>
  <si>
    <t>[4.88, 4.88]</t>
  </si>
  <si>
    <t>[19.48, 19.48]</t>
  </si>
  <si>
    <t>[5.93, 5.93]</t>
  </si>
  <si>
    <t>[11.81, 0.92]</t>
  </si>
  <si>
    <t>[24.44, 13.36]</t>
  </si>
  <si>
    <t>[22.7, 0.73]</t>
  </si>
  <si>
    <t>[22.77, 13.36]</t>
  </si>
  <si>
    <t>[9.22, 0.73]</t>
  </si>
  <si>
    <t>[0.75, 0.92]</t>
  </si>
  <si>
    <t>[19.11, 13.36]</t>
  </si>
  <si>
    <t>[6.31, 0.73]</t>
  </si>
  <si>
    <t>[17.19, 13.36]</t>
  </si>
  <si>
    <t>[3.64, 0.73]</t>
  </si>
  <si>
    <t>[3.25, 0.92]</t>
  </si>
  <si>
    <t>[20.39, 13.36]</t>
  </si>
  <si>
    <t>[10.09, 0.73]</t>
  </si>
  <si>
    <t>[1.88, 0.92]</t>
  </si>
  <si>
    <t>[19.74, 13.36]</t>
  </si>
  <si>
    <t>[8.07, 0.73]</t>
  </si>
  <si>
    <t>[1.79, 0.92]</t>
  </si>
  <si>
    <t>[21.33, 13.36]</t>
  </si>
  <si>
    <t>[9.57, 0.73]</t>
  </si>
  <si>
    <t>[5.3, 0.92]</t>
  </si>
  <si>
    <t>[21.37, 13.36]</t>
  </si>
  <si>
    <t>[13.13, 0.73]</t>
  </si>
  <si>
    <t>[4.73, 0.92]</t>
  </si>
  <si>
    <t>[21.4, 13.36]</t>
  </si>
  <si>
    <t>[12.57, 0.73]</t>
  </si>
  <si>
    <t>[4.43, 0.92]</t>
  </si>
  <si>
    <t>[21.13, 13.36]</t>
  </si>
  <si>
    <t>[12.02, 0.73]</t>
  </si>
  <si>
    <t>[4.08, 0.92]</t>
  </si>
  <si>
    <t>[21.83, 13.36]</t>
  </si>
  <si>
    <t>[12.36, 0.73]</t>
  </si>
  <si>
    <t>[1.56, 1.56]</t>
  </si>
  <si>
    <t>[19.7, 19.7]</t>
  </si>
  <si>
    <t>[7.71, 7.71]</t>
  </si>
  <si>
    <t>[5.46, 0.92]</t>
  </si>
  <si>
    <t>[21.95, 13.36]</t>
  </si>
  <si>
    <t>[13.86, 0.73]</t>
  </si>
  <si>
    <t>[0.17, 0.17]</t>
  </si>
  <si>
    <t>[18.83, 18.83]</t>
  </si>
  <si>
    <t>[5.45, 5.45]</t>
  </si>
  <si>
    <t>[0.28, 0.92]</t>
  </si>
  <si>
    <t>[20.9, 13.36]</t>
  </si>
  <si>
    <t>[7.63, 0.73]</t>
  </si>
  <si>
    <t>[5.82, 0.92]</t>
  </si>
  <si>
    <t>[21.89, 13.36]</t>
  </si>
  <si>
    <t>[14.16, 0.73]</t>
  </si>
  <si>
    <t>[0.9, 0.92]</t>
  </si>
  <si>
    <t>[19.77, 13.36]</t>
  </si>
  <si>
    <t>[7.12, 0.73]</t>
  </si>
  <si>
    <t>[3.29, 0.92]</t>
  </si>
  <si>
    <t>[20.61, 13.36]</t>
  </si>
  <si>
    <t>[10.35, 0.73]</t>
  </si>
  <si>
    <t>[4.84, 0.92]</t>
  </si>
  <si>
    <t>[21.96, 13.36]</t>
  </si>
  <si>
    <t>[13.26, 0.73]</t>
  </si>
  <si>
    <t>[4.5, 0.92]</t>
  </si>
  <si>
    <t>[21.22, 13.36]</t>
  </si>
  <si>
    <t>[12.17, 0.73]</t>
  </si>
  <si>
    <t>[19.09, 13.36]</t>
  </si>
  <si>
    <t>[5.54, 0.73]</t>
  </si>
  <si>
    <t>[3.41, 0.92]</t>
  </si>
  <si>
    <t>[22.01, 13.36]</t>
  </si>
  <si>
    <t>[11.87, 0.73]</t>
  </si>
  <si>
    <t>[0.1, 0.92]</t>
  </si>
  <si>
    <t>[19.55, 13.36]</t>
  </si>
  <si>
    <t>[6.1, 0.73]</t>
  </si>
  <si>
    <t>[5.0, 0.92]</t>
  </si>
  <si>
    <t>[21.49, 13.36]</t>
  </si>
  <si>
    <t>[12.95, 0.73]</t>
  </si>
  <si>
    <t>[3.07, 0.92]</t>
  </si>
  <si>
    <t>[21.57, 13.36]</t>
  </si>
  <si>
    <t>[11.08, 0.73]</t>
  </si>
  <si>
    <t>[19.82, 13.36]</t>
  </si>
  <si>
    <t>[6.27, 0.73]</t>
  </si>
  <si>
    <t>[4.81, 0.92]</t>
  </si>
  <si>
    <t>[21.74, 13.36]</t>
  </si>
  <si>
    <t>[13.0, 0.73]</t>
  </si>
  <si>
    <t>[19.87, 13.36]</t>
  </si>
  <si>
    <t>[6.32, 0.73]</t>
  </si>
  <si>
    <t>[19.23, 13.36]</t>
  </si>
  <si>
    <t>[5.68, 0.73]</t>
  </si>
  <si>
    <t>[13.88, 13.36]</t>
  </si>
  <si>
    <t>[0.33, 0.73]</t>
  </si>
  <si>
    <t>[16.95, 13.36]</t>
  </si>
  <si>
    <t>[3.4, 0.73]</t>
  </si>
  <si>
    <t>[14.88, 13.36]</t>
  </si>
  <si>
    <t>[1.33, 0.73]</t>
  </si>
  <si>
    <t>[16.0, 13.36]</t>
  </si>
  <si>
    <t>[2.45, 0.73]</t>
  </si>
  <si>
    <t>[17.97, 17.97]</t>
  </si>
  <si>
    <t>[4.42, 4.42]</t>
  </si>
  <si>
    <t>[41.84, 38.87]</t>
  </si>
  <si>
    <t>[10.0, 11.36]</t>
  </si>
  <si>
    <t>[9.34, 7.73]</t>
  </si>
  <si>
    <t>[41.03, 41.03]</t>
  </si>
  <si>
    <t>[8.53, 8.53]</t>
  </si>
  <si>
    <t>[45.74, 42.81]</t>
  </si>
  <si>
    <t>[20.0, 8.19]</t>
  </si>
  <si>
    <t>[23.24, 8.5]</t>
  </si>
  <si>
    <t>[42.96, 42.81]</t>
  </si>
  <si>
    <t>[10.0, 8.19]</t>
  </si>
  <si>
    <t>[10.46, 8.5]</t>
  </si>
  <si>
    <t>[46.17, 42.81]</t>
  </si>
  <si>
    <t>[21.0, 8.19]</t>
  </si>
  <si>
    <t>[24.67, 8.5]</t>
  </si>
  <si>
    <t>[47.93, 47.64]</t>
  </si>
  <si>
    <t>[24.0, 4.31]</t>
  </si>
  <si>
    <t>[29.43, 9.44]</t>
  </si>
  <si>
    <t>[44.33, 42.81]</t>
  </si>
  <si>
    <t>[21.82, 8.5]</t>
  </si>
  <si>
    <t>[43.55, 42.81]</t>
  </si>
  <si>
    <t>[11.05, 8.5]</t>
  </si>
  <si>
    <t>[41.32, 41.32]</t>
  </si>
  <si>
    <t>[41.16, 41.16]</t>
  </si>
  <si>
    <t>[8.66, 8.66]</t>
  </si>
  <si>
    <t>[47.59, 47.64]</t>
  </si>
  <si>
    <t>[21.0, 4.31]</t>
  </si>
  <si>
    <t>[26.09, 9.44]</t>
  </si>
  <si>
    <t>[45.81, 42.81]</t>
  </si>
  <si>
    <t>[23.31, 8.5]</t>
  </si>
  <si>
    <t>[42.53, 42.81]</t>
  </si>
  <si>
    <t>[11.0, 8.19]</t>
  </si>
  <si>
    <t>[11.03, 8.5]</t>
  </si>
  <si>
    <t>[46.8, 42.81]</t>
  </si>
  <si>
    <t>[24.3, 8.5]</t>
  </si>
  <si>
    <t>[42.66, 42.81]</t>
  </si>
  <si>
    <t>[19.0, 8.19]</t>
  </si>
  <si>
    <t>[19.16, 8.5]</t>
  </si>
  <si>
    <t>[41.65, 38.87]</t>
  </si>
  <si>
    <t>[11.0, 11.36]</t>
  </si>
  <si>
    <t>[10.15, 7.73]</t>
  </si>
  <si>
    <t>[41.77, 38.87]</t>
  </si>
  <si>
    <t>[9.27, 7.73]</t>
  </si>
  <si>
    <t>[41.79, 38.87]</t>
  </si>
  <si>
    <t>[9.29, 7.73]</t>
  </si>
  <si>
    <t>[41.75, 42.81]</t>
  </si>
  <si>
    <t>[10.25, 8.5]</t>
  </si>
  <si>
    <t>[42.03, 38.87]</t>
  </si>
  <si>
    <t>[9.53, 7.73]</t>
  </si>
  <si>
    <t>[47.4, 42.81]</t>
  </si>
  <si>
    <t>[22.0, 8.19]</t>
  </si>
  <si>
    <t>[26.9, 8.5]</t>
  </si>
  <si>
    <t>[40.25, 40.25]</t>
  </si>
  <si>
    <t>[43.88, 42.81]</t>
  </si>
  <si>
    <t>[12.38, 8.5]</t>
  </si>
  <si>
    <t>[41.66, 38.87]</t>
  </si>
  <si>
    <t>[9.16, 7.73]</t>
  </si>
  <si>
    <t>[43.12, 42.81]</t>
  </si>
  <si>
    <t>[25.0, 8.19]</t>
  </si>
  <si>
    <t>[25.62, 8.5]</t>
  </si>
  <si>
    <t>[46.21, 42.81]</t>
  </si>
  <si>
    <t>[23.71, 8.5]</t>
  </si>
  <si>
    <t>[44.58, 42.81]</t>
  </si>
  <si>
    <t>[13.07, 8.5]</t>
  </si>
  <si>
    <t>[20.08, 20.07]</t>
  </si>
  <si>
    <t>[30.0, 26.48]</t>
  </si>
  <si>
    <t>[7.58, 4.05]</t>
  </si>
  <si>
    <t>[18.62, 19.13]</t>
  </si>
  <si>
    <t>[35.0, 27.24]</t>
  </si>
  <si>
    <t>[11.12, 3.86]</t>
  </si>
  <si>
    <t>[16.5, 16.09]</t>
  </si>
  <si>
    <t>[38.0, 29.68]</t>
  </si>
  <si>
    <t>[12.0, 3.27]</t>
  </si>
  <si>
    <t>[45.0, 42.81]</t>
  </si>
  <si>
    <t>[12.5, 8.5]</t>
  </si>
  <si>
    <t>[44.13, 42.81]</t>
  </si>
  <si>
    <t>[11.62, 8.5]</t>
  </si>
  <si>
    <t>[19.67, 22.25]</t>
  </si>
  <si>
    <t>[34.0, 24.73]</t>
  </si>
  <si>
    <t>[11.17, 4.47]</t>
  </si>
  <si>
    <t>[23.08, 47.64]</t>
  </si>
  <si>
    <t>[1.57, 9.44]</t>
  </si>
  <si>
    <t>[43.44, 42.81]</t>
  </si>
  <si>
    <t>[11.93, 8.5]</t>
  </si>
  <si>
    <t>[22.36, 22.25]</t>
  </si>
  <si>
    <t>[32.0, 24.73]</t>
  </si>
  <si>
    <t>[11.86, 4.47]</t>
  </si>
  <si>
    <t>[22.74, 22.25]</t>
  </si>
  <si>
    <t>[25.0, 24.73]</t>
  </si>
  <si>
    <t>[5.24, 4.47]</t>
  </si>
  <si>
    <t>[17.56, 18.27]</t>
  </si>
  <si>
    <t>[34.0, 27.93]</t>
  </si>
  <si>
    <t>[9.06, 3.7]</t>
  </si>
  <si>
    <t>[18.19, 18.27]</t>
  </si>
  <si>
    <t>[9.69, 3.7]</t>
  </si>
  <si>
    <t>[45.56, 42.81]</t>
  </si>
  <si>
    <t>[13.06, 8.5]</t>
  </si>
  <si>
    <t>[19.8, 21.1]</t>
  </si>
  <si>
    <t>[30.0, 25.65]</t>
  </si>
  <si>
    <t>[7.3, 4.25]</t>
  </si>
  <si>
    <t>[43.34, 42.81]</t>
  </si>
  <si>
    <t>[11.84, 8.5]</t>
  </si>
  <si>
    <t>[10.16, 8.5]</t>
  </si>
  <si>
    <t>[22.46, 22.25]</t>
  </si>
  <si>
    <t>[30.0, 24.73]</t>
  </si>
  <si>
    <t>[9.96, 4.47]</t>
  </si>
  <si>
    <t>[19.45, 24.93]</t>
  </si>
  <si>
    <t>[29.0, 22.57]</t>
  </si>
  <si>
    <t>[5.95, 5.0]</t>
  </si>
  <si>
    <t>[20.39, 20.07]</t>
  </si>
  <si>
    <t>[34.0, 26.48]</t>
  </si>
  <si>
    <t>[11.89, 4.05]</t>
  </si>
  <si>
    <t>[16.2, 16.76]</t>
  </si>
  <si>
    <t>[39.0, 29.14]</t>
  </si>
  <si>
    <t>[12.69, 3.4]</t>
  </si>
  <si>
    <t>[45.41, 42.81]</t>
  </si>
  <si>
    <t>[9.0, 8.19]</t>
  </si>
  <si>
    <t>[11.91, 8.5]</t>
  </si>
  <si>
    <t>[45.48, 42.81]</t>
  </si>
  <si>
    <t>[12.98, 8.5]</t>
  </si>
  <si>
    <t>[23.4, 47.64]</t>
  </si>
  <si>
    <t>[20.0, 4.31]</t>
  </si>
  <si>
    <t>[0.9, 9.44]</t>
  </si>
  <si>
    <t>[17.53, 20.07]</t>
  </si>
  <si>
    <t>[36.0, 26.48]</t>
  </si>
  <si>
    <t>[11.03, 4.05]</t>
  </si>
  <si>
    <t>[22.67, 22.25]</t>
  </si>
  <si>
    <t>[33.0, 24.73]</t>
  </si>
  <si>
    <t>[13.17, 4.47]</t>
  </si>
  <si>
    <t>[52.73, 47.64]</t>
  </si>
  <si>
    <t>[41.0, 4.31]</t>
  </si>
  <si>
    <t>[51.23, 9.44]</t>
  </si>
  <si>
    <t>[17.67, 17.48]</t>
  </si>
  <si>
    <t>[41.0, 28.56]</t>
  </si>
  <si>
    <t>[16.17, 3.54]</t>
  </si>
  <si>
    <t>[43.89, 42.81]</t>
  </si>
  <si>
    <t>[41.0, 8.19]</t>
  </si>
  <si>
    <t>[42.38, 8.5]</t>
  </si>
  <si>
    <t>[13.8, 47.64]</t>
  </si>
  <si>
    <t>[40.0, 4.31]</t>
  </si>
  <si>
    <t>[11.29, 9.44]</t>
  </si>
  <si>
    <t>[27.81, 28.34]</t>
  </si>
  <si>
    <t>[40.0, 19.83]</t>
  </si>
  <si>
    <t>[25.31, 5.67]</t>
  </si>
  <si>
    <t>[21.43, 22.25]</t>
  </si>
  <si>
    <t>[8.93, 4.47]</t>
  </si>
  <si>
    <t>[23.8, 23.51]</t>
  </si>
  <si>
    <t>[39.0, 23.71]</t>
  </si>
  <si>
    <t>[20.3, 4.72]</t>
  </si>
  <si>
    <t>[20.0, 20.07]</t>
  </si>
  <si>
    <t>[7.5, 4.05]</t>
  </si>
  <si>
    <t>[50.91, 47.64]</t>
  </si>
  <si>
    <t>[48.41, 9.44]</t>
  </si>
  <si>
    <t>[49.59, 47.64]</t>
  </si>
  <si>
    <t>[47.09, 9.44]</t>
  </si>
  <si>
    <t>[19.2, 47.64]</t>
  </si>
  <si>
    <t>[16.7, 9.44]</t>
  </si>
  <si>
    <t>[34.0, 47.64]</t>
  </si>
  <si>
    <t>[31.49, 9.44]</t>
  </si>
  <si>
    <t>[22.15, 22.25]</t>
  </si>
  <si>
    <t>[9.65, 4.47]</t>
  </si>
  <si>
    <t>[30.6, 30.41]</t>
  </si>
  <si>
    <t>[40.0, 18.17]</t>
  </si>
  <si>
    <t>[28.1, 6.07]</t>
  </si>
  <si>
    <t>[40.83, 38.87]</t>
  </si>
  <si>
    <t>[48.0, 11.36]</t>
  </si>
  <si>
    <t>[46.33, 7.73]</t>
  </si>
  <si>
    <t>[27.1, 26.53]</t>
  </si>
  <si>
    <t>[38.0, 21.28]</t>
  </si>
  <si>
    <t>[22.6, 5.31]</t>
  </si>
  <si>
    <t>[56.46, 47.64]</t>
  </si>
  <si>
    <t>[30.0, 4.31]</t>
  </si>
  <si>
    <t>[43.96, 9.44]</t>
  </si>
  <si>
    <t>[54.74, 47.64]</t>
  </si>
  <si>
    <t>[42.24, 9.44]</t>
  </si>
  <si>
    <t>[51.67, 47.64]</t>
  </si>
  <si>
    <t>[31.0, 4.31]</t>
  </si>
  <si>
    <t>[40.17, 9.44]</t>
  </si>
  <si>
    <t>[27.06, 26.53]</t>
  </si>
  <si>
    <t>[39.0, 21.28]</t>
  </si>
  <si>
    <t>[23.56, 5.31]</t>
  </si>
  <si>
    <t>[55.96, 47.64]</t>
  </si>
  <si>
    <t>[43.46, 9.44]</t>
  </si>
  <si>
    <t>[41.72, 42.81]</t>
  </si>
  <si>
    <t>[29.0, 8.19]</t>
  </si>
  <si>
    <t>[28.22, 8.5]</t>
  </si>
  <si>
    <t>[26.94, 26.53]</t>
  </si>
  <si>
    <t>[23.44, 5.31]</t>
  </si>
  <si>
    <t>[45.92, 47.64]</t>
  </si>
  <si>
    <t>[49.0, 4.31]</t>
  </si>
  <si>
    <t>[52.42, 9.44]</t>
  </si>
  <si>
    <t>[27.58, 28.34]</t>
  </si>
  <si>
    <t>[39.0, 19.83]</t>
  </si>
  <si>
    <t>[24.08, 5.67]</t>
  </si>
  <si>
    <t>[26.31, 28.34]</t>
  </si>
  <si>
    <t>[38.0, 19.83]</t>
  </si>
  <si>
    <t>[21.81, 5.67]</t>
  </si>
  <si>
    <t>[56.13, 47.64]</t>
  </si>
  <si>
    <t>[43.63, 9.44]</t>
  </si>
  <si>
    <t>[46.13, 42.81]</t>
  </si>
  <si>
    <t>[49.0, 8.19]</t>
  </si>
  <si>
    <t>[52.63, 8.5]</t>
  </si>
  <si>
    <t>[30.92, 30.41]</t>
  </si>
  <si>
    <t>[28.42, 6.07]</t>
  </si>
  <si>
    <t>[56.44, 47.64]</t>
  </si>
  <si>
    <t>[29.0, 4.31]</t>
  </si>
  <si>
    <t>[42.94, 9.44]</t>
  </si>
  <si>
    <t>[32.52, 32.79]</t>
  </si>
  <si>
    <t>[34.0, 16.25]</t>
  </si>
  <si>
    <t>[24.01, 6.54]</t>
  </si>
  <si>
    <t>[40.94, 42.81]</t>
  </si>
  <si>
    <t>[30.0, 8.19]</t>
  </si>
  <si>
    <t>[28.44, 8.5]</t>
  </si>
  <si>
    <t>[56.0, 47.64]</t>
  </si>
  <si>
    <t>[42.49, 9.44]</t>
  </si>
  <si>
    <t>[46.0, 42.81]</t>
  </si>
  <si>
    <t>[52.5, 8.5]</t>
  </si>
  <si>
    <t>[55.39, 47.64]</t>
  </si>
  <si>
    <t>[42.88, 9.44]</t>
  </si>
  <si>
    <t>[41.74, 38.87]</t>
  </si>
  <si>
    <t>[30.0, 11.36]</t>
  </si>
  <si>
    <t>[29.24, 7.73]</t>
  </si>
  <si>
    <t>[45.95, 42.81]</t>
  </si>
  <si>
    <t>[52.45, 8.5]</t>
  </si>
  <si>
    <t>[27.84, 26.53]</t>
  </si>
  <si>
    <t>[30.0, 21.28]</t>
  </si>
  <si>
    <t>[15.34, 5.31]</t>
  </si>
  <si>
    <t>[44.93, 42.81]</t>
  </si>
  <si>
    <t>[50.0, 8.19]</t>
  </si>
  <si>
    <t>[52.43, 8.5]</t>
  </si>
  <si>
    <t>[51.11, 47.64]</t>
  </si>
  <si>
    <t>[48.61, 9.44]</t>
  </si>
  <si>
    <t>[49.94, 47.64]</t>
  </si>
  <si>
    <t>[47.44, 9.44]</t>
  </si>
  <si>
    <t>[17.92, 47.64]</t>
  </si>
  <si>
    <t>[4.42, 9.44]</t>
  </si>
  <si>
    <t>[50.86, 47.64]</t>
  </si>
  <si>
    <t>[25.0, 4.31]</t>
  </si>
  <si>
    <t>[33.36, 9.44]</t>
  </si>
  <si>
    <t>[22.8, 42.81]</t>
  </si>
  <si>
    <t>[10.3, 8.5]</t>
  </si>
  <si>
    <t>[39.93, 38.87]</t>
  </si>
  <si>
    <t>[29.0, 11.36]</t>
  </si>
  <si>
    <t>[26.43, 7.73]</t>
  </si>
  <si>
    <t>[46.04, 42.81]</t>
  </si>
  <si>
    <t>[52.54, 8.5]</t>
  </si>
  <si>
    <t>[34.32, 47.64]</t>
  </si>
  <si>
    <t>[16.82, 9.44]</t>
  </si>
  <si>
    <t>[18.89, 32.79]</t>
  </si>
  <si>
    <t>[29.0, 16.25]</t>
  </si>
  <si>
    <t>[5.39, 6.54]</t>
  </si>
  <si>
    <t>[36.9, 38.87]</t>
  </si>
  <si>
    <t>[24.4, 7.73]</t>
  </si>
  <si>
    <t>[42.36, 42.81]</t>
  </si>
  <si>
    <t>[29.85, 8.5]</t>
  </si>
  <si>
    <t>[30.11, 38.87]</t>
  </si>
  <si>
    <t>[31.0, 11.36]</t>
  </si>
  <si>
    <t>[18.6, 7.73]</t>
  </si>
  <si>
    <t>[40.46, 38.87]</t>
  </si>
  <si>
    <t>[19.0, 11.36]</t>
  </si>
  <si>
    <t>[16.95, 7.73]</t>
  </si>
  <si>
    <t>[46.07, 42.81]</t>
  </si>
  <si>
    <t>[48.0, 8.19]</t>
  </si>
  <si>
    <t>[51.56, 8.5]</t>
  </si>
  <si>
    <t>[47.05, 47.64]</t>
  </si>
  <si>
    <t>[45.55, 9.44]</t>
  </si>
  <si>
    <t>[49.85, 47.64]</t>
  </si>
  <si>
    <t>[27.35, 9.44]</t>
  </si>
  <si>
    <t>[41.54, 47.64]</t>
  </si>
  <si>
    <t>[38.0, 4.31]</t>
  </si>
  <si>
    <t>[37.04, 9.44]</t>
  </si>
  <si>
    <t>[46.65, 47.64]</t>
  </si>
  <si>
    <t>[35.15, 9.44]</t>
  </si>
  <si>
    <t>[31.41, 30.41]</t>
  </si>
  <si>
    <t>[30.0, 18.17]</t>
  </si>
  <si>
    <t>[18.91, 6.07]</t>
  </si>
  <si>
    <t>[50.81, 42.81]</t>
  </si>
  <si>
    <t>[38.31, 8.5]</t>
  </si>
  <si>
    <t>[20.58, 47.64]</t>
  </si>
  <si>
    <t>[8.07, 9.44]</t>
  </si>
  <si>
    <t>[50.62, 47.64]</t>
  </si>
  <si>
    <t>[39.0, 4.31]</t>
  </si>
  <si>
    <t>[47.12, 9.44]</t>
  </si>
  <si>
    <t>[45.22, 42.81]</t>
  </si>
  <si>
    <t>[31.72, 8.5]</t>
  </si>
  <si>
    <t>[30.94, 47.64]</t>
  </si>
  <si>
    <t>[8.43, 9.44]</t>
  </si>
  <si>
    <t>[40.69, 47.64]</t>
  </si>
  <si>
    <t>[23.19, 9.44]</t>
  </si>
  <si>
    <t>[18.92, 47.64]</t>
  </si>
  <si>
    <t>[0.42, 9.44]</t>
  </si>
  <si>
    <t>[49.7, 47.64]</t>
  </si>
  <si>
    <t>[32.2, 9.44]</t>
  </si>
  <si>
    <t>[47.83, 47.83]</t>
  </si>
  <si>
    <t>[5.33, 5.33]</t>
  </si>
  <si>
    <t>[48.11, 48.11]</t>
  </si>
  <si>
    <t>[46.98, 46.98]</t>
  </si>
  <si>
    <t>[4.47, 4.47]</t>
  </si>
  <si>
    <t>[49.49, 49.49]</t>
  </si>
  <si>
    <t>[46.34, 47.64]</t>
  </si>
  <si>
    <t>[28.84, 9.44]</t>
  </si>
  <si>
    <t>[50.43, 50.43]</t>
  </si>
  <si>
    <t>[7.93, 7.93]</t>
  </si>
  <si>
    <t>[49.75, 47.64]</t>
  </si>
  <si>
    <t>[26.0, 4.31]</t>
  </si>
  <si>
    <t>[33.25, 9.44]</t>
  </si>
  <si>
    <t>[48.6, 48.6]</t>
  </si>
  <si>
    <t>[6.1, 6.1]</t>
  </si>
  <si>
    <t>[32.1, 47.64]</t>
  </si>
  <si>
    <t>[13.6, 9.44]</t>
  </si>
  <si>
    <t>[49.57, 47.64]</t>
  </si>
  <si>
    <t>[32.06, 9.44]</t>
  </si>
  <si>
    <t>[50.53, 50.53]</t>
  </si>
  <si>
    <t>[8.03, 8.03]</t>
  </si>
  <si>
    <t>[30.13, 47.64]</t>
  </si>
  <si>
    <t>[12.63, 9.44]</t>
  </si>
  <si>
    <t>[47.56, 47.56]</t>
  </si>
  <si>
    <t>[5.06, 5.06]</t>
  </si>
  <si>
    <t>[46.49, 46.49]</t>
  </si>
  <si>
    <t>[3.99, 3.99]</t>
  </si>
  <si>
    <t>[49.76, 49.76]</t>
  </si>
  <si>
    <t>[7.26, 7.26]</t>
  </si>
  <si>
    <t>[46.99, 46.99]</t>
  </si>
  <si>
    <t>[4.49, 4.49]</t>
  </si>
  <si>
    <t>[52.66, 52.66]</t>
  </si>
  <si>
    <t>[49.03, 49.03]</t>
  </si>
  <si>
    <t>[52.19, 52.19]</t>
  </si>
  <si>
    <t>[9.69, 9.69]</t>
  </si>
  <si>
    <t>[47.97, 47.97]</t>
  </si>
  <si>
    <t>[5.46, 5.46]</t>
  </si>
  <si>
    <t>[53.53, 53.53]</t>
  </si>
  <si>
    <t>[11.03, 11.03]</t>
  </si>
  <si>
    <t>[50.18, 50.18]</t>
  </si>
  <si>
    <t>[7.68, 7.68]</t>
  </si>
  <si>
    <t>[53.94, 53.94]</t>
  </si>
  <si>
    <t>[11.44, 11.44]</t>
  </si>
  <si>
    <t>[45.4, 45.4]</t>
  </si>
  <si>
    <t>[2.9, 2.9]</t>
  </si>
  <si>
    <t>[50.39, 50.39]</t>
  </si>
  <si>
    <t>[17.64, 21.1]</t>
  </si>
  <si>
    <t>[5.14, 4.25]</t>
  </si>
  <si>
    <t>[48.86, 47.64]</t>
  </si>
  <si>
    <t>[36.36, 9.44]</t>
  </si>
  <si>
    <t>[22.41, 35.58]</t>
  </si>
  <si>
    <t>[30.0, 14.01]</t>
  </si>
  <si>
    <t>[9.91, 7.08]</t>
  </si>
  <si>
    <t>[50.63, 50.63]</t>
  </si>
  <si>
    <t>[31.64, 32.79]</t>
  </si>
  <si>
    <t>[30.0, 16.25]</t>
  </si>
  <si>
    <t>[19.14, 6.54]</t>
  </si>
  <si>
    <t>[25.26, 32.79]</t>
  </si>
  <si>
    <t>[24.0, 16.25]</t>
  </si>
  <si>
    <t>[6.76, 6.54]</t>
  </si>
  <si>
    <t>[35.8, 42.81]</t>
  </si>
  <si>
    <t>[23.29, 8.5]</t>
  </si>
  <si>
    <t>[35.85, 35.58]</t>
  </si>
  <si>
    <t>[23.35, 7.08]</t>
  </si>
  <si>
    <t>[44.7, 47.64]</t>
  </si>
  <si>
    <t>[41.66, 42.81]</t>
  </si>
  <si>
    <t>[29.16, 8.5]</t>
  </si>
  <si>
    <t>[34.82, 35.58]</t>
  </si>
  <si>
    <t>[27.0, 14.01]</t>
  </si>
  <si>
    <t>[19.32, 7.08]</t>
  </si>
  <si>
    <t>[49.49, 47.64]</t>
  </si>
  <si>
    <t>[36.99, 9.44]</t>
  </si>
  <si>
    <t>[47.87, 47.87]</t>
  </si>
  <si>
    <t>[5.37, 5.37]</t>
  </si>
  <si>
    <t>[46.61, 47.64]</t>
  </si>
  <si>
    <t>[34.11, 9.44]</t>
  </si>
  <si>
    <t>[44.78, 42.81]</t>
  </si>
  <si>
    <t>[32.28, 8.5]</t>
  </si>
  <si>
    <t>[35.87, 35.58]</t>
  </si>
  <si>
    <t>[23.36, 7.08]</t>
  </si>
  <si>
    <t>[33.05, 32.79]</t>
  </si>
  <si>
    <t>[20.54, 6.54]</t>
  </si>
  <si>
    <t>[19.1, 20.07]</t>
  </si>
  <si>
    <t>[29.0, 26.48]</t>
  </si>
  <si>
    <t>[5.6, 4.05]</t>
  </si>
  <si>
    <t>[35.86, 35.58]</t>
  </si>
  <si>
    <t>[38.6, 38.87]</t>
  </si>
  <si>
    <t>[26.1, 7.73]</t>
  </si>
  <si>
    <t>[42.58, 42.81]</t>
  </si>
  <si>
    <t>[10.08, 8.5]</t>
  </si>
  <si>
    <t>[26.0, 26.53]</t>
  </si>
  <si>
    <t>[22.0, 21.28]</t>
  </si>
  <si>
    <t>[5.5, 5.31]</t>
  </si>
  <si>
    <t>[23.97, 42.81]</t>
  </si>
  <si>
    <t>[3.47, 8.5]</t>
  </si>
  <si>
    <t>[25.98, 30.41]</t>
  </si>
  <si>
    <t>[23.0, 18.17]</t>
  </si>
  <si>
    <t>[6.48, 6.07]</t>
  </si>
  <si>
    <t>[24.02, 24.02]</t>
  </si>
  <si>
    <t>[22.0, 22.0]</t>
  </si>
  <si>
    <t>[3.52, 3.52]</t>
  </si>
  <si>
    <t>[24.03, 32.79]</t>
  </si>
  <si>
    <t>[25.0, 16.25]</t>
  </si>
  <si>
    <t>[6.53, 6.54]</t>
  </si>
  <si>
    <t>[26.31, 30.41]</t>
  </si>
  <si>
    <t>[25.0, 18.17]</t>
  </si>
  <si>
    <t>[8.81, 6.07]</t>
  </si>
  <si>
    <t>[17.91, 35.58]</t>
  </si>
  <si>
    <t>[40.0, 14.01]</t>
  </si>
  <si>
    <t>[15.41, 7.08]</t>
  </si>
  <si>
    <t>[14.5, 47.64]</t>
  </si>
  <si>
    <t>[11.99, 9.44]</t>
  </si>
  <si>
    <t>[24.69, 28.34]</t>
  </si>
  <si>
    <t>[22.0, 19.83]</t>
  </si>
  <si>
    <t>[4.19, 5.67]</t>
  </si>
  <si>
    <t>[24.03, 47.64]</t>
  </si>
  <si>
    <t>[22.0, 4.31]</t>
  </si>
  <si>
    <t>[3.52, 9.44]</t>
  </si>
  <si>
    <t>[24.05, 26.53]</t>
  </si>
  <si>
    <t>[23.0, 21.28]</t>
  </si>
  <si>
    <t>[4.55, 5.31]</t>
  </si>
  <si>
    <t>[35.84, 35.58]</t>
  </si>
  <si>
    <t>[23.34, 7.08]</t>
  </si>
  <si>
    <t>[17.71, 18.27]</t>
  </si>
  <si>
    <t>[40.0, 27.93]</t>
  </si>
  <si>
    <t>[15.21, 3.7]</t>
  </si>
  <si>
    <t>[16.49, 47.64]</t>
  </si>
  <si>
    <t>[13.99, 9.44]</t>
  </si>
  <si>
    <t>[23.95, 35.58]</t>
  </si>
  <si>
    <t>[22.0, 14.01]</t>
  </si>
  <si>
    <t>[3.45, 7.08]</t>
  </si>
  <si>
    <t>[23.92, 30.41]</t>
  </si>
  <si>
    <t>[4.42, 6.07]</t>
  </si>
  <si>
    <t>[18.05, 26.53]</t>
  </si>
  <si>
    <t>[32.0, 21.28]</t>
  </si>
  <si>
    <t>[7.55, 5.31]</t>
  </si>
  <si>
    <t>[24.21, 47.64]</t>
  </si>
  <si>
    <t>[11.71, 9.44]</t>
  </si>
  <si>
    <t>[23.99, 23.99]</t>
  </si>
  <si>
    <t>[3.49, 3.49]</t>
  </si>
  <si>
    <t>[23.93, 23.93]</t>
  </si>
  <si>
    <t>[3.43, 3.43]</t>
  </si>
  <si>
    <t>[23.95, 23.95]</t>
  </si>
  <si>
    <t>[3.45, 3.45]</t>
  </si>
  <si>
    <t>[25.99, 42.81]</t>
  </si>
  <si>
    <t>[24.0, 8.19]</t>
  </si>
  <si>
    <t>[7.48, 8.5]</t>
  </si>
  <si>
    <t>[11.53, 9.44]</t>
  </si>
  <si>
    <t>[24.01, 42.81]</t>
  </si>
  <si>
    <t>[3.51, 8.5]</t>
  </si>
  <si>
    <t>[24.02, 47.64]</t>
  </si>
  <si>
    <t>[23.0, 4.31]</t>
  </si>
  <si>
    <t>[4.52, 9.44]</t>
  </si>
  <si>
    <t>[14.39, 35.58]</t>
  </si>
  <si>
    <t>[11.89, 7.08]</t>
  </si>
  <si>
    <t>[26.8, 38.87]</t>
  </si>
  <si>
    <t>[84.0, 11.36]</t>
  </si>
  <si>
    <t>[68.3, 7.73]</t>
  </si>
  <si>
    <t>[14.51, 47.64]</t>
  </si>
  <si>
    <t>[37.0, 4.31]</t>
  </si>
  <si>
    <t>[9.01, 9.44]</t>
  </si>
  <si>
    <t>[27.25, 35.58]</t>
  </si>
  <si>
    <t>[72.0, 14.01]</t>
  </si>
  <si>
    <t>[56.75, 7.08]</t>
  </si>
  <si>
    <t>[29.31, 38.87]</t>
  </si>
  <si>
    <t>[90.0, 11.36]</t>
  </si>
  <si>
    <t>[76.81, 7.73]</t>
  </si>
  <si>
    <t>[27.14, 30.41]</t>
  </si>
  <si>
    <t>[83.0, 18.17]</t>
  </si>
  <si>
    <t>[67.64, 6.07]</t>
  </si>
  <si>
    <t>[29.94, 47.64]</t>
  </si>
  <si>
    <t>[66.0, 4.31]</t>
  </si>
  <si>
    <t>[53.44, 9.44]</t>
  </si>
  <si>
    <t>[22.38, 42.81]</t>
  </si>
  <si>
    <t>[44.0, 8.19]</t>
  </si>
  <si>
    <t>[23.88, 8.5]</t>
  </si>
  <si>
    <t>[28.5, 38.87]</t>
  </si>
  <si>
    <t>[86.0, 11.36]</t>
  </si>
  <si>
    <t>[72.0, 7.73]</t>
  </si>
  <si>
    <t>[27.85, 42.81]</t>
  </si>
  <si>
    <t>[35.35, 8.5]</t>
  </si>
  <si>
    <t>[29.85, 47.64]</t>
  </si>
  <si>
    <t>[90.0, 4.31]</t>
  </si>
  <si>
    <t>[77.35, 9.44]</t>
  </si>
  <si>
    <t>Bore</t>
  </si>
  <si>
    <t>CWRO</t>
  </si>
  <si>
    <t>BoilerBD</t>
  </si>
  <si>
    <t>BD</t>
  </si>
  <si>
    <t>BoilrBD</t>
  </si>
  <si>
    <t>mu_flow(PV)</t>
  </si>
  <si>
    <t>mu_flow(OV)</t>
  </si>
  <si>
    <t>m-saving(PV-OV)</t>
  </si>
  <si>
    <t xml:space="preserve"> </t>
  </si>
  <si>
    <t>mu-flow(OV)</t>
  </si>
  <si>
    <t>m-Saving(PV-OV)</t>
  </si>
  <si>
    <t>mu-flow(Ov)</t>
  </si>
  <si>
    <t>mu-saving(PV-OV)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</si>
</sst>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5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opLeftCell="D1" workbookViewId="0">
      <selection activeCell="K2" sqref="K2"/>
    </sheetView>
  </sheetViews>
  <sheetFormatPr defaultColWidth="14.41796875" defaultRowHeight="15" customHeight="1" x14ac:dyDescent="0.55000000000000004"/>
  <cols>
    <col min="1" max="1" width="11.3125" bestFit="1" customWidth="1"/>
    <col min="2" max="2" width="11.1015625" bestFit="1" customWidth="1"/>
    <col min="3" max="3" width="13.15625" bestFit="1" customWidth="1"/>
    <col min="4" max="4" width="8.68359375" customWidth="1"/>
    <col min="5" max="5" width="14.41796875" customWidth="1"/>
    <col min="6" max="6" width="12.26171875" customWidth="1"/>
    <col min="7" max="7" width="16.26171875" customWidth="1"/>
    <col min="8" max="8" width="12.26171875" customWidth="1"/>
    <col min="9" max="9" width="6.89453125" bestFit="1" customWidth="1"/>
    <col min="10" max="10" width="14.3125" bestFit="1" customWidth="1"/>
    <col min="11" max="11" width="11.3671875" bestFit="1" customWidth="1"/>
    <col min="12" max="12" width="11.62890625" bestFit="1" customWidth="1"/>
    <col min="13" max="13" width="14.578125" bestFit="1" customWidth="1"/>
    <col min="14" max="14" width="8.68359375" customWidth="1"/>
    <col min="15" max="15" width="17.3125" bestFit="1" customWidth="1"/>
    <col min="16" max="16" width="15.20703125" bestFit="1" customWidth="1"/>
    <col min="17" max="17" width="12.7890625" bestFit="1" customWidth="1"/>
    <col min="18" max="18" width="10.1015625" bestFit="1" customWidth="1"/>
    <col min="19" max="19" width="12.83984375" bestFit="1" customWidth="1"/>
    <col min="20" max="20" width="13.578125" bestFit="1" customWidth="1"/>
    <col min="21" max="21" width="8.20703125" bestFit="1" customWidth="1"/>
    <col min="22" max="24" width="8.68359375" customWidth="1"/>
    <col min="25" max="25" width="10.26171875" customWidth="1"/>
    <col min="26" max="26" width="9.83984375" customWidth="1"/>
    <col min="27" max="27" width="8.68359375" customWidth="1"/>
    <col min="28" max="28" width="9" customWidth="1"/>
    <col min="29" max="29" width="10" customWidth="1"/>
    <col min="30" max="30" width="10.41796875" customWidth="1"/>
    <col min="31" max="33" width="8.68359375" customWidth="1"/>
    <col min="34" max="34" width="13" bestFit="1" customWidth="1"/>
    <col min="35" max="35" width="14.47265625" bestFit="1" customWidth="1"/>
    <col min="36" max="36" width="13.5234375" bestFit="1" customWidth="1"/>
    <col min="37" max="37" width="17.7890625" bestFit="1" customWidth="1"/>
    <col min="38" max="38" width="13.05078125" bestFit="1" customWidth="1"/>
    <col min="39" max="39" width="16.1015625" bestFit="1" customWidth="1"/>
    <col min="40" max="40" width="11.578125" bestFit="1" customWidth="1"/>
    <col min="41" max="41" width="10.26171875" bestFit="1" customWidth="1"/>
    <col min="42" max="42" width="19.83984375" customWidth="1"/>
    <col min="43" max="43" width="17.26171875" customWidth="1"/>
    <col min="44" max="44" width="52.41796875" customWidth="1"/>
    <col min="45" max="45" width="10.41796875" customWidth="1"/>
    <col min="46" max="46" width="8.68359375" customWidth="1"/>
  </cols>
  <sheetData>
    <row r="1" spans="1:46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3083</v>
      </c>
      <c r="F1" s="1" t="s">
        <v>3084</v>
      </c>
      <c r="G1" s="1" t="s">
        <v>3085</v>
      </c>
      <c r="H1" s="1" t="s">
        <v>3086</v>
      </c>
      <c r="I1" s="1" t="s">
        <v>4</v>
      </c>
      <c r="J1" s="1" t="s">
        <v>5</v>
      </c>
      <c r="K1" s="1" t="s">
        <v>3088</v>
      </c>
      <c r="L1" s="6" t="s">
        <v>3089</v>
      </c>
      <c r="M1" s="6" t="s">
        <v>3090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2">
        <f>SUM(AS2:AS251)</f>
        <v>1651.3952020547949</v>
      </c>
      <c r="AT1" s="3">
        <f>250/48</f>
        <v>5.208333333333333</v>
      </c>
    </row>
    <row r="2" spans="1:46" ht="14.25" customHeight="1" x14ac:dyDescent="0.55000000000000004">
      <c r="A2" s="4">
        <v>19.809999999999999</v>
      </c>
      <c r="B2" s="4">
        <v>30.37</v>
      </c>
      <c r="C2" s="4">
        <v>5473.84</v>
      </c>
      <c r="D2" s="4">
        <v>7.6</v>
      </c>
      <c r="E2" s="4" t="s">
        <v>38</v>
      </c>
      <c r="F2" s="4" t="s">
        <v>39</v>
      </c>
      <c r="G2" s="4" t="s">
        <v>40</v>
      </c>
      <c r="H2" s="4" t="s">
        <v>41</v>
      </c>
      <c r="I2" s="4">
        <v>0</v>
      </c>
      <c r="J2" s="4">
        <v>955.25</v>
      </c>
      <c r="K2" s="4">
        <f>IF(E2=0,0,
VALUE(MID(E2,2,FIND(",",E2)-2))+
VALUE(MID(F2,2,FIND(",",F2)-2))+
VALUE(MID(G2,2,FIND(",",G2)-2))
)</f>
        <v>81.429999999999993</v>
      </c>
      <c r="L2" s="7">
        <f>IF(E2=0,0,
VALUE(MID(E2,FIND(",",E2)+1,FIND("]",E2)-FIND(",",E2)-1))+
VALUE(MID(F2,FIND(",",F2)+1,FIND("]",F2)-FIND(",",F2)-1))+
VALUE(MID(G2,FIND(",",G2)+1,FIND("]",G2)-FIND(",",G2)-1))
)</f>
        <v>81.429999999999993</v>
      </c>
      <c r="M2" s="7">
        <f>(K2-L2)</f>
        <v>0</v>
      </c>
      <c r="N2" s="4">
        <v>7.36</v>
      </c>
      <c r="O2" s="4">
        <v>89.1</v>
      </c>
      <c r="P2" s="4">
        <v>44</v>
      </c>
      <c r="Q2" s="4">
        <v>22.5</v>
      </c>
      <c r="R2" s="4">
        <v>10.56</v>
      </c>
      <c r="S2" s="4">
        <v>14.96</v>
      </c>
      <c r="T2" s="4">
        <v>4.8499999999999996</v>
      </c>
      <c r="U2" s="4">
        <v>5.73</v>
      </c>
      <c r="V2" s="4">
        <v>3503.26</v>
      </c>
      <c r="W2" s="4">
        <v>1034.58</v>
      </c>
      <c r="X2" s="4">
        <v>1162.8699999999999</v>
      </c>
      <c r="Y2" s="4">
        <v>724.74</v>
      </c>
      <c r="Z2" s="4">
        <v>15.25</v>
      </c>
      <c r="AA2" s="4">
        <v>1.54</v>
      </c>
      <c r="AB2" s="4">
        <v>4.5199999999999996</v>
      </c>
      <c r="AC2" s="4">
        <v>68.53</v>
      </c>
      <c r="AD2" s="4">
        <v>490</v>
      </c>
      <c r="AE2" s="4">
        <v>4700</v>
      </c>
      <c r="AF2" s="4">
        <v>75.900000000000006</v>
      </c>
      <c r="AG2" s="4">
        <v>0.47</v>
      </c>
      <c r="AH2" s="4">
        <v>16.05</v>
      </c>
      <c r="AI2" s="4">
        <v>63.58</v>
      </c>
      <c r="AJ2" s="4">
        <v>60</v>
      </c>
      <c r="AK2" s="4">
        <v>9</v>
      </c>
      <c r="AL2" s="4">
        <v>9</v>
      </c>
      <c r="AM2" s="4">
        <v>0.36</v>
      </c>
      <c r="AN2" s="4">
        <v>294</v>
      </c>
      <c r="AO2" s="4">
        <v>297.2</v>
      </c>
      <c r="AP2" s="4">
        <v>410666.14</v>
      </c>
      <c r="AQ2" s="4">
        <v>410666.14</v>
      </c>
      <c r="AR2" s="4" t="s">
        <v>42</v>
      </c>
      <c r="AS2" s="5">
        <f t="shared" ref="AS2:AS251" si="0">(AP2-AQ2)/(365*24*2)</f>
        <v>0</v>
      </c>
    </row>
    <row r="3" spans="1:46" ht="14.25" customHeight="1" x14ac:dyDescent="0.55000000000000004">
      <c r="A3" s="4">
        <v>19.670000000000002</v>
      </c>
      <c r="B3" s="4">
        <v>30.4</v>
      </c>
      <c r="C3" s="4">
        <v>5536.5</v>
      </c>
      <c r="D3" s="4">
        <v>7.32</v>
      </c>
      <c r="E3" s="4" t="s">
        <v>43</v>
      </c>
      <c r="F3" s="4" t="s">
        <v>44</v>
      </c>
      <c r="G3" s="4" t="s">
        <v>45</v>
      </c>
      <c r="H3" s="4" t="s">
        <v>46</v>
      </c>
      <c r="I3" s="4">
        <v>0</v>
      </c>
      <c r="J3" s="4">
        <v>833.31</v>
      </c>
      <c r="K3" s="4">
        <f t="shared" ref="K3:K66" si="1">IF(E3=0,0,
VALUE(MID(E3,2,FIND(",",E3)-2))+
VALUE(MID(F3,2,FIND(",",F3)-2))+
VALUE(MID(G3,2,FIND(",",G3)-2))
)</f>
        <v>69.8</v>
      </c>
      <c r="L3" s="7">
        <f t="shared" ref="L3:L66" si="2">IF(E3=0,0,
VALUE(MID(E3,FIND(",",E3)+1,FIND("]",E3)-FIND(",",E3)-1))+
VALUE(MID(F3,FIND(",",F3)+1,FIND("]",F3)-FIND(",",F3)-1))+
VALUE(MID(G3,FIND(",",G3)+1,FIND("]",G3)-FIND(",",G3)-1))
)</f>
        <v>76.209999999999994</v>
      </c>
      <c r="M3" s="7">
        <f t="shared" ref="M3:M66" si="3">(K3-L3)</f>
        <v>-6.4099999999999966</v>
      </c>
      <c r="N3" s="4">
        <v>7.29</v>
      </c>
      <c r="O3" s="4">
        <v>88.48</v>
      </c>
      <c r="P3" s="4">
        <v>46</v>
      </c>
      <c r="Q3" s="4">
        <v>21.7</v>
      </c>
      <c r="R3" s="4">
        <v>10.73</v>
      </c>
      <c r="S3" s="4">
        <v>14.59</v>
      </c>
      <c r="T3" s="4">
        <v>5.08</v>
      </c>
      <c r="U3" s="4">
        <v>6.64</v>
      </c>
      <c r="V3" s="4">
        <v>3543.36</v>
      </c>
      <c r="W3" s="4">
        <v>1051.52</v>
      </c>
      <c r="X3" s="4">
        <v>1227.0999999999999</v>
      </c>
      <c r="Y3" s="4">
        <v>746.39</v>
      </c>
      <c r="Z3" s="4">
        <v>6.41</v>
      </c>
      <c r="AA3" s="4">
        <v>1.28</v>
      </c>
      <c r="AB3" s="4">
        <v>4.75</v>
      </c>
      <c r="AC3" s="4">
        <v>67.89</v>
      </c>
      <c r="AD3" s="4">
        <v>490</v>
      </c>
      <c r="AE3" s="4">
        <v>4700</v>
      </c>
      <c r="AF3" s="4">
        <v>77.17</v>
      </c>
      <c r="AG3" s="4">
        <v>0.47</v>
      </c>
      <c r="AH3" s="4">
        <v>13.67</v>
      </c>
      <c r="AI3" s="4">
        <v>31.19</v>
      </c>
      <c r="AJ3" s="4">
        <v>60</v>
      </c>
      <c r="AK3" s="4">
        <v>9</v>
      </c>
      <c r="AL3" s="4">
        <v>9</v>
      </c>
      <c r="AM3" s="4">
        <v>0.73</v>
      </c>
      <c r="AN3" s="4">
        <v>294</v>
      </c>
      <c r="AO3" s="4">
        <v>300.52999999999997</v>
      </c>
      <c r="AP3" s="4">
        <v>390225.17</v>
      </c>
      <c r="AQ3" s="4">
        <v>312241.27</v>
      </c>
      <c r="AR3" s="4" t="s">
        <v>47</v>
      </c>
      <c r="AS3" s="5">
        <f t="shared" si="0"/>
        <v>4.4511358447488565</v>
      </c>
    </row>
    <row r="4" spans="1:46" ht="14.25" customHeight="1" x14ac:dyDescent="0.55000000000000004">
      <c r="A4" s="4">
        <v>19.66</v>
      </c>
      <c r="B4" s="4">
        <v>30.39</v>
      </c>
      <c r="C4" s="4">
        <v>5492.59</v>
      </c>
      <c r="D4" s="4">
        <v>7.61</v>
      </c>
      <c r="E4" s="4" t="s">
        <v>48</v>
      </c>
      <c r="F4" s="4" t="s">
        <v>49</v>
      </c>
      <c r="G4" s="4" t="s">
        <v>50</v>
      </c>
      <c r="H4" s="4" t="s">
        <v>51</v>
      </c>
      <c r="I4" s="4">
        <v>0</v>
      </c>
      <c r="J4" s="4">
        <v>920.63</v>
      </c>
      <c r="K4" s="4">
        <f t="shared" si="1"/>
        <v>77.400000000000006</v>
      </c>
      <c r="L4" s="7">
        <f t="shared" si="2"/>
        <v>77.5</v>
      </c>
      <c r="M4" s="7">
        <f t="shared" si="3"/>
        <v>-9.9999999999994316E-2</v>
      </c>
      <c r="N4" s="4">
        <v>7.34</v>
      </c>
      <c r="O4" s="4">
        <v>88.94</v>
      </c>
      <c r="P4" s="4">
        <v>63</v>
      </c>
      <c r="Q4" s="4">
        <v>19.899999999999999</v>
      </c>
      <c r="R4" s="4">
        <v>10.74</v>
      </c>
      <c r="S4" s="4">
        <v>15.3</v>
      </c>
      <c r="T4" s="4">
        <v>4.3499999999999996</v>
      </c>
      <c r="U4" s="4">
        <v>5.97</v>
      </c>
      <c r="V4" s="4">
        <v>3515.26</v>
      </c>
      <c r="W4" s="4">
        <v>1039.22</v>
      </c>
      <c r="X4" s="4">
        <v>1178.32</v>
      </c>
      <c r="Y4" s="4">
        <v>730.14</v>
      </c>
      <c r="Z4" s="4">
        <v>7.99</v>
      </c>
      <c r="AA4" s="4">
        <v>1.55</v>
      </c>
      <c r="AB4" s="4">
        <v>4.51</v>
      </c>
      <c r="AC4" s="4">
        <v>71.16</v>
      </c>
      <c r="AD4" s="4">
        <v>490</v>
      </c>
      <c r="AE4" s="4">
        <v>4700</v>
      </c>
      <c r="AF4" s="4">
        <v>77.2</v>
      </c>
      <c r="AG4" s="4">
        <v>0.47</v>
      </c>
      <c r="AH4" s="4">
        <v>15.55</v>
      </c>
      <c r="AI4" s="4">
        <v>35.049999999999997</v>
      </c>
      <c r="AJ4" s="4">
        <v>60</v>
      </c>
      <c r="AK4" s="4">
        <v>9</v>
      </c>
      <c r="AL4" s="4">
        <v>9</v>
      </c>
      <c r="AM4" s="4">
        <v>0.65</v>
      </c>
      <c r="AN4" s="4">
        <v>294</v>
      </c>
      <c r="AO4" s="4">
        <v>299.81</v>
      </c>
      <c r="AP4" s="4">
        <v>449913.53</v>
      </c>
      <c r="AQ4" s="4">
        <v>400227.41</v>
      </c>
      <c r="AR4" s="4" t="s">
        <v>52</v>
      </c>
      <c r="AS4" s="5">
        <f t="shared" si="0"/>
        <v>2.8359657534246607</v>
      </c>
    </row>
    <row r="5" spans="1:46" ht="14.25" customHeight="1" x14ac:dyDescent="0.55000000000000004">
      <c r="A5" s="4">
        <v>20.63</v>
      </c>
      <c r="B5" s="4">
        <v>31.26</v>
      </c>
      <c r="C5" s="4">
        <v>5468.06</v>
      </c>
      <c r="D5" s="4">
        <v>7.6</v>
      </c>
      <c r="E5" s="4" t="s">
        <v>53</v>
      </c>
      <c r="F5" s="4" t="s">
        <v>54</v>
      </c>
      <c r="G5" s="4" t="s">
        <v>55</v>
      </c>
      <c r="H5" s="4" t="s">
        <v>56</v>
      </c>
      <c r="I5" s="4">
        <v>0</v>
      </c>
      <c r="J5" s="4">
        <v>763.59</v>
      </c>
      <c r="K5" s="4">
        <f t="shared" si="1"/>
        <v>64.63</v>
      </c>
      <c r="L5" s="7">
        <f t="shared" si="2"/>
        <v>75.16</v>
      </c>
      <c r="M5" s="7">
        <f t="shared" si="3"/>
        <v>-10.530000000000001</v>
      </c>
      <c r="N5" s="4">
        <v>7.25</v>
      </c>
      <c r="O5" s="4">
        <v>89.35</v>
      </c>
      <c r="P5" s="4">
        <v>87</v>
      </c>
      <c r="Q5" s="4">
        <v>17.2</v>
      </c>
      <c r="R5" s="4">
        <v>10.64</v>
      </c>
      <c r="S5" s="4">
        <v>15.66</v>
      </c>
      <c r="T5" s="4">
        <v>4.97</v>
      </c>
      <c r="U5" s="4">
        <v>7.16</v>
      </c>
      <c r="V5" s="4">
        <v>3499.56</v>
      </c>
      <c r="W5" s="4">
        <v>1041.9000000000001</v>
      </c>
      <c r="X5" s="4">
        <v>1246.32</v>
      </c>
      <c r="Y5" s="4">
        <v>746.1</v>
      </c>
      <c r="Z5" s="4">
        <v>5.16</v>
      </c>
      <c r="AA5" s="4">
        <v>1.59</v>
      </c>
      <c r="AB5" s="4">
        <v>4.43</v>
      </c>
      <c r="AC5" s="4">
        <v>68.16</v>
      </c>
      <c r="AD5" s="4">
        <v>490</v>
      </c>
      <c r="AE5" s="4">
        <v>4700</v>
      </c>
      <c r="AF5" s="4">
        <v>76.48</v>
      </c>
      <c r="AG5" s="4">
        <v>0.47</v>
      </c>
      <c r="AH5" s="4">
        <v>12.41</v>
      </c>
      <c r="AI5" s="4">
        <v>27.11</v>
      </c>
      <c r="AJ5" s="4">
        <v>60</v>
      </c>
      <c r="AK5" s="4">
        <v>9</v>
      </c>
      <c r="AL5" s="4">
        <v>9</v>
      </c>
      <c r="AM5" s="4">
        <v>0.84</v>
      </c>
      <c r="AN5" s="4">
        <v>294</v>
      </c>
      <c r="AO5" s="4">
        <v>301.52</v>
      </c>
      <c r="AP5" s="4">
        <v>361309.26</v>
      </c>
      <c r="AQ5" s="4">
        <v>213143.1</v>
      </c>
      <c r="AR5" s="4" t="s">
        <v>57</v>
      </c>
      <c r="AS5" s="5">
        <f t="shared" si="0"/>
        <v>8.456972602739727</v>
      </c>
    </row>
    <row r="6" spans="1:46" ht="14.25" customHeight="1" x14ac:dyDescent="0.55000000000000004">
      <c r="A6" s="4">
        <v>19.420000000000002</v>
      </c>
      <c r="B6" s="4">
        <v>30.12</v>
      </c>
      <c r="C6" s="4">
        <v>5462.38</v>
      </c>
      <c r="D6" s="4">
        <v>7.6</v>
      </c>
      <c r="E6" s="4" t="s">
        <v>58</v>
      </c>
      <c r="F6" s="4" t="s">
        <v>59</v>
      </c>
      <c r="G6" s="4" t="s">
        <v>60</v>
      </c>
      <c r="H6" s="4" t="s">
        <v>61</v>
      </c>
      <c r="I6" s="4">
        <v>0</v>
      </c>
      <c r="J6" s="4">
        <v>964.47</v>
      </c>
      <c r="K6" s="4">
        <f t="shared" si="1"/>
        <v>83.95</v>
      </c>
      <c r="L6" s="7">
        <f t="shared" si="2"/>
        <v>83.95</v>
      </c>
      <c r="M6" s="7">
        <f t="shared" si="3"/>
        <v>0</v>
      </c>
      <c r="N6" s="4">
        <v>7.37</v>
      </c>
      <c r="O6" s="4">
        <v>88.81</v>
      </c>
      <c r="P6" s="4">
        <v>63</v>
      </c>
      <c r="Q6" s="4">
        <v>19.600000000000001</v>
      </c>
      <c r="R6" s="4">
        <v>10.69</v>
      </c>
      <c r="S6" s="4">
        <v>15.03</v>
      </c>
      <c r="T6" s="4">
        <v>4.3899999999999997</v>
      </c>
      <c r="U6" s="4">
        <v>5.66</v>
      </c>
      <c r="V6" s="4">
        <v>3495.92</v>
      </c>
      <c r="W6" s="4">
        <v>1032.8499999999999</v>
      </c>
      <c r="X6" s="4">
        <v>1162.67</v>
      </c>
      <c r="Y6" s="4">
        <v>724.13</v>
      </c>
      <c r="Z6" s="4">
        <v>9.5500000000000007</v>
      </c>
      <c r="AA6" s="4">
        <v>1.53</v>
      </c>
      <c r="AB6" s="4">
        <v>4.55</v>
      </c>
      <c r="AC6" s="4">
        <v>70.88</v>
      </c>
      <c r="AD6" s="4">
        <v>490</v>
      </c>
      <c r="AE6" s="4">
        <v>4700</v>
      </c>
      <c r="AF6" s="4">
        <v>76.89</v>
      </c>
      <c r="AG6" s="4">
        <v>0.47</v>
      </c>
      <c r="AH6" s="4">
        <v>16.489999999999998</v>
      </c>
      <c r="AI6" s="4">
        <v>38.630000000000003</v>
      </c>
      <c r="AJ6" s="4">
        <v>60</v>
      </c>
      <c r="AK6" s="4">
        <v>9</v>
      </c>
      <c r="AL6" s="4">
        <v>9</v>
      </c>
      <c r="AM6" s="4">
        <v>0.59</v>
      </c>
      <c r="AN6" s="4">
        <v>294</v>
      </c>
      <c r="AO6" s="4">
        <v>299.27</v>
      </c>
      <c r="AP6" s="4">
        <v>447520.42</v>
      </c>
      <c r="AQ6" s="4">
        <v>447520.42</v>
      </c>
      <c r="AR6" s="4" t="s">
        <v>62</v>
      </c>
      <c r="AS6" s="5">
        <f t="shared" si="0"/>
        <v>0</v>
      </c>
    </row>
    <row r="7" spans="1:46" ht="14.25" customHeight="1" x14ac:dyDescent="0.55000000000000004">
      <c r="A7" s="4">
        <v>18.760000000000002</v>
      </c>
      <c r="B7" s="4">
        <v>29.49</v>
      </c>
      <c r="C7" s="4">
        <v>5491.48</v>
      </c>
      <c r="D7" s="4">
        <v>7.59</v>
      </c>
      <c r="E7" s="4" t="s">
        <v>63</v>
      </c>
      <c r="F7" s="4" t="s">
        <v>64</v>
      </c>
      <c r="G7" s="4" t="s">
        <v>65</v>
      </c>
      <c r="H7" s="4" t="s">
        <v>66</v>
      </c>
      <c r="I7" s="4">
        <v>0</v>
      </c>
      <c r="J7" s="4">
        <v>707.45</v>
      </c>
      <c r="K7" s="4">
        <f t="shared" si="1"/>
        <v>58.74</v>
      </c>
      <c r="L7" s="7">
        <f t="shared" si="2"/>
        <v>66.19</v>
      </c>
      <c r="M7" s="7">
        <f t="shared" si="3"/>
        <v>-7.4499999999999957</v>
      </c>
      <c r="N7" s="4">
        <v>7.2</v>
      </c>
      <c r="O7" s="4">
        <v>88.91</v>
      </c>
      <c r="P7" s="4">
        <v>68</v>
      </c>
      <c r="Q7" s="4">
        <v>17.8</v>
      </c>
      <c r="R7" s="4">
        <v>10.73</v>
      </c>
      <c r="S7" s="4">
        <v>13.99</v>
      </c>
      <c r="T7" s="4">
        <v>4.7699999999999996</v>
      </c>
      <c r="U7" s="4">
        <v>7.76</v>
      </c>
      <c r="V7" s="4">
        <v>3514.55</v>
      </c>
      <c r="W7" s="4">
        <v>1047.24</v>
      </c>
      <c r="X7" s="4">
        <v>1267.3499999999999</v>
      </c>
      <c r="Y7" s="4">
        <v>752.33</v>
      </c>
      <c r="Z7" s="4">
        <v>6.21</v>
      </c>
      <c r="AA7" s="4">
        <v>1.55</v>
      </c>
      <c r="AB7" s="4">
        <v>4.49</v>
      </c>
      <c r="AC7" s="4">
        <v>69.239999999999995</v>
      </c>
      <c r="AD7" s="4">
        <v>490</v>
      </c>
      <c r="AE7" s="4">
        <v>4700</v>
      </c>
      <c r="AF7" s="4">
        <v>77.16</v>
      </c>
      <c r="AG7" s="4">
        <v>0.47</v>
      </c>
      <c r="AH7" s="4">
        <v>11.41</v>
      </c>
      <c r="AI7" s="4">
        <v>35.909999999999997</v>
      </c>
      <c r="AJ7" s="4">
        <v>60</v>
      </c>
      <c r="AK7" s="4">
        <v>9</v>
      </c>
      <c r="AL7" s="4">
        <v>9</v>
      </c>
      <c r="AM7" s="4">
        <v>0.63</v>
      </c>
      <c r="AN7" s="4">
        <v>294</v>
      </c>
      <c r="AO7" s="4">
        <v>299.67</v>
      </c>
      <c r="AP7" s="4">
        <v>355088.04</v>
      </c>
      <c r="AQ7" s="4">
        <v>260147.83</v>
      </c>
      <c r="AR7" s="4" t="s">
        <v>67</v>
      </c>
      <c r="AS7" s="5">
        <f t="shared" si="0"/>
        <v>5.4189617579908669</v>
      </c>
    </row>
    <row r="8" spans="1:46" ht="14.25" customHeight="1" x14ac:dyDescent="0.55000000000000004">
      <c r="A8" s="4">
        <v>19.72</v>
      </c>
      <c r="B8" s="4">
        <v>30.51</v>
      </c>
      <c r="C8" s="4">
        <v>5536.32</v>
      </c>
      <c r="D8" s="4">
        <v>7.59</v>
      </c>
      <c r="E8" s="4" t="s">
        <v>68</v>
      </c>
      <c r="F8" s="4" t="s">
        <v>69</v>
      </c>
      <c r="G8" s="4" t="s">
        <v>70</v>
      </c>
      <c r="H8" s="4" t="s">
        <v>71</v>
      </c>
      <c r="I8" s="4">
        <v>0</v>
      </c>
      <c r="J8" s="4">
        <v>894.67</v>
      </c>
      <c r="K8" s="4">
        <f t="shared" si="1"/>
        <v>74.679999999999993</v>
      </c>
      <c r="L8" s="7">
        <f t="shared" si="2"/>
        <v>76.039999999999992</v>
      </c>
      <c r="M8" s="7">
        <f t="shared" si="3"/>
        <v>-1.3599999999999994</v>
      </c>
      <c r="N8" s="4">
        <v>7.32</v>
      </c>
      <c r="O8" s="4">
        <v>88.77</v>
      </c>
      <c r="P8" s="4">
        <v>56</v>
      </c>
      <c r="Q8" s="4">
        <v>20.9</v>
      </c>
      <c r="R8" s="4">
        <v>10.78</v>
      </c>
      <c r="S8" s="4">
        <v>15.29</v>
      </c>
      <c r="T8" s="4">
        <v>4.4400000000000004</v>
      </c>
      <c r="U8" s="4">
        <v>6.19</v>
      </c>
      <c r="V8" s="4">
        <v>3543.24</v>
      </c>
      <c r="W8" s="4">
        <v>1048.46</v>
      </c>
      <c r="X8" s="4">
        <v>1197.6199999999999</v>
      </c>
      <c r="Y8" s="4">
        <v>738.52</v>
      </c>
      <c r="Z8" s="4">
        <v>7.37</v>
      </c>
      <c r="AA8" s="4">
        <v>1.55</v>
      </c>
      <c r="AB8" s="4">
        <v>4.5</v>
      </c>
      <c r="AC8" s="4">
        <v>70.849999999999994</v>
      </c>
      <c r="AD8" s="4">
        <v>490</v>
      </c>
      <c r="AE8" s="4">
        <v>4700</v>
      </c>
      <c r="AF8" s="4">
        <v>77.55</v>
      </c>
      <c r="AG8" s="4">
        <v>0.47</v>
      </c>
      <c r="AH8" s="4">
        <v>14.95</v>
      </c>
      <c r="AI8" s="4">
        <v>33.49</v>
      </c>
      <c r="AJ8" s="4">
        <v>60</v>
      </c>
      <c r="AK8" s="4">
        <v>9</v>
      </c>
      <c r="AL8" s="4">
        <v>9</v>
      </c>
      <c r="AM8" s="4">
        <v>0.68</v>
      </c>
      <c r="AN8" s="4">
        <v>294</v>
      </c>
      <c r="AO8" s="4">
        <v>300.08</v>
      </c>
      <c r="AP8" s="4">
        <v>438596.58</v>
      </c>
      <c r="AQ8" s="4">
        <v>357229.71</v>
      </c>
      <c r="AR8" s="4" t="s">
        <v>72</v>
      </c>
      <c r="AS8" s="5">
        <f t="shared" si="0"/>
        <v>4.644227739726027</v>
      </c>
    </row>
    <row r="9" spans="1:46" ht="14.25" customHeight="1" x14ac:dyDescent="0.55000000000000004">
      <c r="A9" s="4">
        <v>20.12</v>
      </c>
      <c r="B9" s="4">
        <v>30.76</v>
      </c>
      <c r="C9" s="4">
        <v>5531.05</v>
      </c>
      <c r="D9" s="4">
        <v>7.6</v>
      </c>
      <c r="E9" s="4" t="s">
        <v>73</v>
      </c>
      <c r="F9" s="4" t="s">
        <v>74</v>
      </c>
      <c r="G9" s="4" t="s">
        <v>75</v>
      </c>
      <c r="H9" s="4" t="s">
        <v>76</v>
      </c>
      <c r="I9" s="4">
        <v>0</v>
      </c>
      <c r="J9" s="4">
        <v>941.67</v>
      </c>
      <c r="K9" s="4">
        <f t="shared" si="1"/>
        <v>81.25</v>
      </c>
      <c r="L9" s="7">
        <f t="shared" si="2"/>
        <v>81.25</v>
      </c>
      <c r="M9" s="7">
        <f t="shared" si="3"/>
        <v>0</v>
      </c>
      <c r="N9" s="4">
        <v>7.36</v>
      </c>
      <c r="O9" s="4">
        <v>89.02</v>
      </c>
      <c r="P9" s="4">
        <v>50</v>
      </c>
      <c r="Q9" s="4">
        <v>21.9</v>
      </c>
      <c r="R9" s="4">
        <v>10.64</v>
      </c>
      <c r="S9" s="4">
        <v>15.33</v>
      </c>
      <c r="T9" s="4">
        <v>4.78</v>
      </c>
      <c r="U9" s="4">
        <v>5.87</v>
      </c>
      <c r="V9" s="4">
        <v>3539.87</v>
      </c>
      <c r="W9" s="4">
        <v>1046.58</v>
      </c>
      <c r="X9" s="4">
        <v>1184.98</v>
      </c>
      <c r="Y9" s="4">
        <v>735.21</v>
      </c>
      <c r="Z9" s="4">
        <v>12.48</v>
      </c>
      <c r="AA9" s="4">
        <v>1.56</v>
      </c>
      <c r="AB9" s="4">
        <v>4.49</v>
      </c>
      <c r="AC9" s="4">
        <v>68.989999999999995</v>
      </c>
      <c r="AD9" s="4">
        <v>490</v>
      </c>
      <c r="AE9" s="4">
        <v>4700</v>
      </c>
      <c r="AF9" s="4">
        <v>76.510000000000005</v>
      </c>
      <c r="AG9" s="4">
        <v>0.47</v>
      </c>
      <c r="AH9" s="4">
        <v>15.7</v>
      </c>
      <c r="AI9" s="4">
        <v>52.15</v>
      </c>
      <c r="AJ9" s="4">
        <v>60</v>
      </c>
      <c r="AK9" s="4">
        <v>9</v>
      </c>
      <c r="AL9" s="4">
        <v>9</v>
      </c>
      <c r="AM9" s="4">
        <v>0.43</v>
      </c>
      <c r="AN9" s="4">
        <v>294</v>
      </c>
      <c r="AO9" s="4">
        <v>297.91000000000003</v>
      </c>
      <c r="AP9" s="4">
        <v>422128.9</v>
      </c>
      <c r="AQ9" s="4">
        <v>422128.9</v>
      </c>
      <c r="AR9" s="4" t="s">
        <v>77</v>
      </c>
      <c r="AS9" s="5">
        <f t="shared" si="0"/>
        <v>0</v>
      </c>
    </row>
    <row r="10" spans="1:46" ht="14.25" customHeight="1" x14ac:dyDescent="0.55000000000000004">
      <c r="A10" s="4">
        <v>19.39</v>
      </c>
      <c r="B10" s="4">
        <v>30.01</v>
      </c>
      <c r="C10" s="4">
        <v>5509.12</v>
      </c>
      <c r="D10" s="4">
        <v>7.98</v>
      </c>
      <c r="E10" s="4" t="s">
        <v>78</v>
      </c>
      <c r="F10" s="4" t="s">
        <v>79</v>
      </c>
      <c r="G10" s="4" t="s">
        <v>80</v>
      </c>
      <c r="H10" s="4" t="s">
        <v>81</v>
      </c>
      <c r="I10" s="4">
        <v>0</v>
      </c>
      <c r="J10" s="4">
        <v>723.79</v>
      </c>
      <c r="K10" s="4">
        <f t="shared" si="1"/>
        <v>61.42</v>
      </c>
      <c r="L10" s="7">
        <f t="shared" si="2"/>
        <v>70.98</v>
      </c>
      <c r="M10" s="7">
        <f t="shared" si="3"/>
        <v>-9.5600000000000023</v>
      </c>
      <c r="N10" s="4">
        <v>7.22</v>
      </c>
      <c r="O10" s="4">
        <v>89.38</v>
      </c>
      <c r="P10" s="4">
        <v>49</v>
      </c>
      <c r="Q10" s="4">
        <v>20.8</v>
      </c>
      <c r="R10" s="4">
        <v>10.62</v>
      </c>
      <c r="S10" s="4">
        <v>14.25</v>
      </c>
      <c r="T10" s="4">
        <v>5.14</v>
      </c>
      <c r="U10" s="4">
        <v>7.61</v>
      </c>
      <c r="V10" s="4">
        <v>3525.84</v>
      </c>
      <c r="W10" s="4">
        <v>1051.21</v>
      </c>
      <c r="X10" s="4">
        <v>1272.99</v>
      </c>
      <c r="Y10" s="4">
        <v>755.86</v>
      </c>
      <c r="Z10" s="4">
        <v>5.19</v>
      </c>
      <c r="AA10" s="4">
        <v>1.96</v>
      </c>
      <c r="AB10" s="4">
        <v>4.07</v>
      </c>
      <c r="AC10" s="4">
        <v>67.38</v>
      </c>
      <c r="AD10" s="4">
        <v>490</v>
      </c>
      <c r="AE10" s="4">
        <v>4700</v>
      </c>
      <c r="AF10" s="4">
        <v>76.38</v>
      </c>
      <c r="AG10" s="4">
        <v>0.47</v>
      </c>
      <c r="AH10" s="4">
        <v>11.55</v>
      </c>
      <c r="AI10" s="4">
        <v>28.71</v>
      </c>
      <c r="AJ10" s="4">
        <v>60</v>
      </c>
      <c r="AK10" s="4">
        <v>9</v>
      </c>
      <c r="AL10" s="4">
        <v>9</v>
      </c>
      <c r="AM10" s="4">
        <v>0.79</v>
      </c>
      <c r="AN10" s="4">
        <v>294</v>
      </c>
      <c r="AO10" s="4">
        <v>301.10000000000002</v>
      </c>
      <c r="AP10" s="4">
        <v>362003.54</v>
      </c>
      <c r="AQ10" s="4">
        <v>196073.52</v>
      </c>
      <c r="AR10" s="4" t="s">
        <v>82</v>
      </c>
      <c r="AS10" s="5">
        <f t="shared" si="0"/>
        <v>9.4708915525114143</v>
      </c>
    </row>
    <row r="11" spans="1:46" ht="14.25" customHeight="1" x14ac:dyDescent="0.55000000000000004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f t="shared" si="1"/>
        <v>0</v>
      </c>
      <c r="L11" s="7">
        <f t="shared" si="2"/>
        <v>0</v>
      </c>
      <c r="M11" s="7">
        <f t="shared" si="3"/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5">
        <f t="shared" si="0"/>
        <v>0</v>
      </c>
    </row>
    <row r="12" spans="1:46" ht="14.25" customHeight="1" x14ac:dyDescent="0.55000000000000004">
      <c r="A12" s="4">
        <v>19.04</v>
      </c>
      <c r="B12" s="4">
        <v>29.62</v>
      </c>
      <c r="C12" s="4">
        <v>5449.22</v>
      </c>
      <c r="D12" s="4">
        <v>7.6</v>
      </c>
      <c r="E12" s="4" t="s">
        <v>83</v>
      </c>
      <c r="F12" s="4" t="s">
        <v>84</v>
      </c>
      <c r="G12" s="4" t="s">
        <v>85</v>
      </c>
      <c r="H12" s="4" t="s">
        <v>86</v>
      </c>
      <c r="I12" s="4">
        <v>0</v>
      </c>
      <c r="J12" s="4">
        <v>804.55</v>
      </c>
      <c r="K12" s="4">
        <f t="shared" si="1"/>
        <v>66.050000000000011</v>
      </c>
      <c r="L12" s="7">
        <f t="shared" si="2"/>
        <v>72.61</v>
      </c>
      <c r="M12" s="7">
        <f t="shared" si="3"/>
        <v>-6.5599999999999881</v>
      </c>
      <c r="N12" s="4">
        <v>7.26</v>
      </c>
      <c r="O12" s="4">
        <v>89.11</v>
      </c>
      <c r="P12" s="4">
        <v>65</v>
      </c>
      <c r="Q12" s="4">
        <v>18.399999999999999</v>
      </c>
      <c r="R12" s="4">
        <v>10.58</v>
      </c>
      <c r="S12" s="4">
        <v>14.18</v>
      </c>
      <c r="T12" s="4">
        <v>4.8600000000000003</v>
      </c>
      <c r="U12" s="4">
        <v>6.77</v>
      </c>
      <c r="V12" s="4">
        <v>3487.5</v>
      </c>
      <c r="W12" s="4">
        <v>1034.77</v>
      </c>
      <c r="X12" s="4">
        <v>1210.3</v>
      </c>
      <c r="Y12" s="4">
        <v>734.63</v>
      </c>
      <c r="Z12" s="4">
        <v>7.28</v>
      </c>
      <c r="AA12" s="4">
        <v>1.54</v>
      </c>
      <c r="AB12" s="4">
        <v>4.5199999999999996</v>
      </c>
      <c r="AC12" s="4">
        <v>68.52</v>
      </c>
      <c r="AD12" s="4">
        <v>490</v>
      </c>
      <c r="AE12" s="4">
        <v>4700</v>
      </c>
      <c r="AF12" s="4">
        <v>76.06</v>
      </c>
      <c r="AG12" s="4">
        <v>0.47</v>
      </c>
      <c r="AH12" s="4">
        <v>13.18</v>
      </c>
      <c r="AI12" s="4">
        <v>37.42</v>
      </c>
      <c r="AJ12" s="4">
        <v>60</v>
      </c>
      <c r="AK12" s="4">
        <v>9</v>
      </c>
      <c r="AL12" s="4">
        <v>9</v>
      </c>
      <c r="AM12" s="4">
        <v>0.61</v>
      </c>
      <c r="AN12" s="4">
        <v>294</v>
      </c>
      <c r="AO12" s="4">
        <v>299.45</v>
      </c>
      <c r="AP12" s="4">
        <v>368249.43</v>
      </c>
      <c r="AQ12" s="4">
        <v>363150.67</v>
      </c>
      <c r="AR12" s="4" t="s">
        <v>87</v>
      </c>
      <c r="AS12" s="5">
        <f t="shared" si="0"/>
        <v>0.29102511415525167</v>
      </c>
    </row>
    <row r="13" spans="1:46" ht="14.25" customHeight="1" x14ac:dyDescent="0.55000000000000004">
      <c r="A13" s="4">
        <v>19.73</v>
      </c>
      <c r="B13" s="4">
        <v>30.46</v>
      </c>
      <c r="C13" s="4">
        <v>5509.02</v>
      </c>
      <c r="D13" s="4">
        <v>7.61</v>
      </c>
      <c r="E13" s="4" t="s">
        <v>88</v>
      </c>
      <c r="F13" s="4" t="s">
        <v>89</v>
      </c>
      <c r="G13" s="4" t="s">
        <v>60</v>
      </c>
      <c r="H13" s="4" t="s">
        <v>90</v>
      </c>
      <c r="I13" s="4">
        <v>0</v>
      </c>
      <c r="J13" s="4">
        <v>955.45</v>
      </c>
      <c r="K13" s="4">
        <f t="shared" si="1"/>
        <v>82.85</v>
      </c>
      <c r="L13" s="7">
        <f t="shared" si="2"/>
        <v>82.85</v>
      </c>
      <c r="M13" s="7">
        <f t="shared" si="3"/>
        <v>0</v>
      </c>
      <c r="N13" s="4">
        <v>7.37</v>
      </c>
      <c r="O13" s="4">
        <v>89.03</v>
      </c>
      <c r="P13" s="4">
        <v>62</v>
      </c>
      <c r="Q13" s="4">
        <v>20.3</v>
      </c>
      <c r="R13" s="4">
        <v>10.73</v>
      </c>
      <c r="S13" s="4">
        <v>15.54</v>
      </c>
      <c r="T13" s="4">
        <v>4.1900000000000004</v>
      </c>
      <c r="U13" s="4">
        <v>5.77</v>
      </c>
      <c r="V13" s="4">
        <v>3525.77</v>
      </c>
      <c r="W13" s="4">
        <v>1041.83</v>
      </c>
      <c r="X13" s="4">
        <v>1174.6500000000001</v>
      </c>
      <c r="Y13" s="4">
        <v>730.78</v>
      </c>
      <c r="Z13" s="4">
        <v>8.59</v>
      </c>
      <c r="AA13" s="4">
        <v>1.55</v>
      </c>
      <c r="AB13" s="4">
        <v>4.51</v>
      </c>
      <c r="AC13" s="4">
        <v>71.89</v>
      </c>
      <c r="AD13" s="4">
        <v>490</v>
      </c>
      <c r="AE13" s="4">
        <v>4700</v>
      </c>
      <c r="AF13" s="4">
        <v>77.16</v>
      </c>
      <c r="AG13" s="4">
        <v>0.47</v>
      </c>
      <c r="AH13" s="4">
        <v>16.190000000000001</v>
      </c>
      <c r="AI13" s="4">
        <v>35.200000000000003</v>
      </c>
      <c r="AJ13" s="4">
        <v>60</v>
      </c>
      <c r="AK13" s="4">
        <v>9</v>
      </c>
      <c r="AL13" s="4">
        <v>9</v>
      </c>
      <c r="AM13" s="4">
        <v>0.64</v>
      </c>
      <c r="AN13" s="4">
        <v>294</v>
      </c>
      <c r="AO13" s="4">
        <v>299.79000000000002</v>
      </c>
      <c r="AP13" s="4">
        <v>456209.73</v>
      </c>
      <c r="AQ13" s="4">
        <v>456209.73</v>
      </c>
      <c r="AR13" s="4" t="s">
        <v>91</v>
      </c>
      <c r="AS13" s="5">
        <f t="shared" si="0"/>
        <v>0</v>
      </c>
    </row>
    <row r="14" spans="1:46" ht="14.25" customHeight="1" x14ac:dyDescent="0.55000000000000004">
      <c r="A14" s="4">
        <v>20.239999999999998</v>
      </c>
      <c r="B14" s="4">
        <v>30.76</v>
      </c>
      <c r="C14" s="4">
        <v>5489.54</v>
      </c>
      <c r="D14" s="4">
        <v>7.6</v>
      </c>
      <c r="E14" s="4" t="s">
        <v>92</v>
      </c>
      <c r="F14" s="4" t="s">
        <v>93</v>
      </c>
      <c r="G14" s="4" t="s">
        <v>94</v>
      </c>
      <c r="H14" s="4" t="s">
        <v>95</v>
      </c>
      <c r="I14" s="4">
        <v>0</v>
      </c>
      <c r="J14" s="4">
        <v>830.75</v>
      </c>
      <c r="K14" s="4">
        <f t="shared" si="1"/>
        <v>68.84</v>
      </c>
      <c r="L14" s="7">
        <f t="shared" si="2"/>
        <v>80.180000000000007</v>
      </c>
      <c r="M14" s="7">
        <f t="shared" si="3"/>
        <v>-11.340000000000003</v>
      </c>
      <c r="N14" s="4">
        <v>7.28</v>
      </c>
      <c r="O14" s="4">
        <v>89.12</v>
      </c>
      <c r="P14" s="4">
        <v>84</v>
      </c>
      <c r="Q14" s="4">
        <v>18.399999999999999</v>
      </c>
      <c r="R14" s="4">
        <v>10.52</v>
      </c>
      <c r="S14" s="4">
        <v>16.47</v>
      </c>
      <c r="T14" s="4">
        <v>3.76</v>
      </c>
      <c r="U14" s="4">
        <v>6.61</v>
      </c>
      <c r="V14" s="4">
        <v>3513.31</v>
      </c>
      <c r="W14" s="4">
        <v>1041.8699999999999</v>
      </c>
      <c r="X14" s="4">
        <v>1211.74</v>
      </c>
      <c r="Y14" s="4">
        <v>738.4</v>
      </c>
      <c r="Z14" s="4">
        <v>5.15</v>
      </c>
      <c r="AA14" s="4">
        <v>1.57</v>
      </c>
      <c r="AB14" s="4">
        <v>4.47</v>
      </c>
      <c r="AC14" s="4">
        <v>73.66</v>
      </c>
      <c r="AD14" s="4">
        <v>490</v>
      </c>
      <c r="AE14" s="4">
        <v>4700</v>
      </c>
      <c r="AF14" s="4">
        <v>75.67</v>
      </c>
      <c r="AG14" s="4">
        <v>0.47</v>
      </c>
      <c r="AH14" s="4">
        <v>13.49</v>
      </c>
      <c r="AI14" s="4">
        <v>25.41</v>
      </c>
      <c r="AJ14" s="4">
        <v>60</v>
      </c>
      <c r="AK14" s="4">
        <v>9</v>
      </c>
      <c r="AL14" s="4">
        <v>9</v>
      </c>
      <c r="AM14" s="4">
        <v>0.89</v>
      </c>
      <c r="AN14" s="4">
        <v>294</v>
      </c>
      <c r="AO14" s="4">
        <v>302.02</v>
      </c>
      <c r="AP14" s="4">
        <v>365823.44</v>
      </c>
      <c r="AQ14" s="4">
        <v>248533.28</v>
      </c>
      <c r="AR14" s="4" t="s">
        <v>96</v>
      </c>
      <c r="AS14" s="5">
        <f t="shared" si="0"/>
        <v>6.6946438356164384</v>
      </c>
    </row>
    <row r="15" spans="1:46" ht="14.25" customHeight="1" x14ac:dyDescent="0.55000000000000004">
      <c r="A15" s="4">
        <v>19.16</v>
      </c>
      <c r="B15" s="4">
        <v>29.66</v>
      </c>
      <c r="C15" s="4">
        <v>5440.46</v>
      </c>
      <c r="D15" s="4">
        <v>7.61</v>
      </c>
      <c r="E15" s="4" t="s">
        <v>97</v>
      </c>
      <c r="F15" s="4" t="s">
        <v>98</v>
      </c>
      <c r="G15" s="4" t="s">
        <v>99</v>
      </c>
      <c r="H15" s="4" t="s">
        <v>100</v>
      </c>
      <c r="I15" s="4">
        <v>0</v>
      </c>
      <c r="J15" s="4">
        <v>800.35</v>
      </c>
      <c r="K15" s="4">
        <f t="shared" si="1"/>
        <v>65.33</v>
      </c>
      <c r="L15" s="7">
        <f t="shared" si="2"/>
        <v>70.22</v>
      </c>
      <c r="M15" s="7">
        <f t="shared" si="3"/>
        <v>-4.8900000000000006</v>
      </c>
      <c r="N15" s="4">
        <v>7.25</v>
      </c>
      <c r="O15" s="4">
        <v>89.2</v>
      </c>
      <c r="P15" s="4">
        <v>64</v>
      </c>
      <c r="Q15" s="4">
        <v>18.8</v>
      </c>
      <c r="R15" s="4">
        <v>10.5</v>
      </c>
      <c r="S15" s="4">
        <v>14.43</v>
      </c>
      <c r="T15" s="4">
        <v>4.7300000000000004</v>
      </c>
      <c r="U15" s="4">
        <v>6.8</v>
      </c>
      <c r="V15" s="4">
        <v>3481.89</v>
      </c>
      <c r="W15" s="4">
        <v>1033.06</v>
      </c>
      <c r="X15" s="4">
        <v>1208.6600000000001</v>
      </c>
      <c r="Y15" s="4">
        <v>733.42</v>
      </c>
      <c r="Z15" s="4">
        <v>6.98</v>
      </c>
      <c r="AA15" s="4">
        <v>1.55</v>
      </c>
      <c r="AB15" s="4">
        <v>4.51</v>
      </c>
      <c r="AC15" s="4">
        <v>68.92</v>
      </c>
      <c r="AD15" s="4">
        <v>490</v>
      </c>
      <c r="AE15" s="4">
        <v>4700</v>
      </c>
      <c r="AF15" s="4">
        <v>75.5</v>
      </c>
      <c r="AG15" s="4">
        <v>0.47</v>
      </c>
      <c r="AH15" s="4">
        <v>13.02</v>
      </c>
      <c r="AI15" s="4">
        <v>36.270000000000003</v>
      </c>
      <c r="AJ15" s="4">
        <v>60</v>
      </c>
      <c r="AK15" s="4">
        <v>9</v>
      </c>
      <c r="AL15" s="4">
        <v>9</v>
      </c>
      <c r="AM15" s="4">
        <v>0.62</v>
      </c>
      <c r="AN15" s="4">
        <v>294</v>
      </c>
      <c r="AO15" s="4">
        <v>299.62</v>
      </c>
      <c r="AP15" s="4">
        <v>386829.94</v>
      </c>
      <c r="AQ15" s="4">
        <v>321233.84000000003</v>
      </c>
      <c r="AR15" s="4" t="s">
        <v>101</v>
      </c>
      <c r="AS15" s="5">
        <f t="shared" si="0"/>
        <v>3.744069634703195</v>
      </c>
    </row>
    <row r="16" spans="1:46" ht="14.25" customHeight="1" x14ac:dyDescent="0.55000000000000004">
      <c r="A16" s="4">
        <v>19.89</v>
      </c>
      <c r="B16" s="4">
        <v>30.56</v>
      </c>
      <c r="C16" s="4">
        <v>5527.21</v>
      </c>
      <c r="D16" s="4">
        <v>7.6</v>
      </c>
      <c r="E16" s="4" t="s">
        <v>102</v>
      </c>
      <c r="F16" s="4" t="s">
        <v>103</v>
      </c>
      <c r="G16" s="4" t="s">
        <v>104</v>
      </c>
      <c r="H16" s="4" t="s">
        <v>105</v>
      </c>
      <c r="I16" s="4">
        <v>0</v>
      </c>
      <c r="J16" s="4">
        <v>790.7</v>
      </c>
      <c r="K16" s="4">
        <f t="shared" si="1"/>
        <v>63.85</v>
      </c>
      <c r="L16" s="7">
        <f t="shared" si="2"/>
        <v>66.709999999999994</v>
      </c>
      <c r="M16" s="7">
        <f t="shared" si="3"/>
        <v>-2.8599999999999923</v>
      </c>
      <c r="N16" s="4">
        <v>7.24</v>
      </c>
      <c r="O16" s="4">
        <v>89.08</v>
      </c>
      <c r="P16" s="4">
        <v>53</v>
      </c>
      <c r="Q16" s="4">
        <v>21.4</v>
      </c>
      <c r="R16" s="4">
        <v>10.67</v>
      </c>
      <c r="S16" s="4">
        <v>15.32</v>
      </c>
      <c r="T16" s="4">
        <v>4.57</v>
      </c>
      <c r="U16" s="4">
        <v>6.99</v>
      </c>
      <c r="V16" s="4">
        <v>3537.41</v>
      </c>
      <c r="W16" s="4">
        <v>1049.1099999999999</v>
      </c>
      <c r="X16" s="4">
        <v>1226.23</v>
      </c>
      <c r="Y16" s="4">
        <v>744.27</v>
      </c>
      <c r="Z16" s="4">
        <v>6.22</v>
      </c>
      <c r="AA16" s="4">
        <v>1.57</v>
      </c>
      <c r="AB16" s="4">
        <v>4.47</v>
      </c>
      <c r="AC16" s="4">
        <v>70.010000000000005</v>
      </c>
      <c r="AD16" s="4">
        <v>490</v>
      </c>
      <c r="AE16" s="4">
        <v>4700</v>
      </c>
      <c r="AF16" s="4">
        <v>76.75</v>
      </c>
      <c r="AG16" s="4">
        <v>0.47</v>
      </c>
      <c r="AH16" s="4">
        <v>12.81</v>
      </c>
      <c r="AI16" s="4">
        <v>33.090000000000003</v>
      </c>
      <c r="AJ16" s="4">
        <v>60</v>
      </c>
      <c r="AK16" s="4">
        <v>9</v>
      </c>
      <c r="AL16" s="4">
        <v>9</v>
      </c>
      <c r="AM16" s="4">
        <v>0.68</v>
      </c>
      <c r="AN16" s="4">
        <v>294</v>
      </c>
      <c r="AO16" s="4">
        <v>300.16000000000003</v>
      </c>
      <c r="AP16" s="4">
        <v>415935.49</v>
      </c>
      <c r="AQ16" s="4">
        <v>239347.7</v>
      </c>
      <c r="AR16" s="4" t="s">
        <v>106</v>
      </c>
      <c r="AS16" s="5">
        <f t="shared" si="0"/>
        <v>10.079211757990866</v>
      </c>
    </row>
    <row r="17" spans="1:45" ht="14.25" customHeight="1" x14ac:dyDescent="0.55000000000000004">
      <c r="A17" s="4">
        <v>19.55</v>
      </c>
      <c r="B17" s="4">
        <v>30.27</v>
      </c>
      <c r="C17" s="4">
        <v>5492.03</v>
      </c>
      <c r="D17" s="4">
        <v>7.6</v>
      </c>
      <c r="E17" s="4" t="s">
        <v>107</v>
      </c>
      <c r="F17" s="4" t="s">
        <v>108</v>
      </c>
      <c r="G17" s="4" t="s">
        <v>109</v>
      </c>
      <c r="H17" s="4" t="s">
        <v>110</v>
      </c>
      <c r="I17" s="4">
        <v>0</v>
      </c>
      <c r="J17" s="4">
        <v>743.86</v>
      </c>
      <c r="K17" s="4">
        <f t="shared" si="1"/>
        <v>61.39</v>
      </c>
      <c r="L17" s="7">
        <f t="shared" si="2"/>
        <v>70.149999999999991</v>
      </c>
      <c r="M17" s="7">
        <f t="shared" si="3"/>
        <v>-8.7599999999999909</v>
      </c>
      <c r="N17" s="4">
        <v>7.22</v>
      </c>
      <c r="O17" s="4">
        <v>88.93</v>
      </c>
      <c r="P17" s="4">
        <v>69</v>
      </c>
      <c r="Q17" s="4">
        <v>18.600000000000001</v>
      </c>
      <c r="R17" s="4">
        <v>10.72</v>
      </c>
      <c r="S17" s="4">
        <v>14.85</v>
      </c>
      <c r="T17" s="4">
        <v>4.7</v>
      </c>
      <c r="U17" s="4">
        <v>7.38</v>
      </c>
      <c r="V17" s="4">
        <v>3514.9</v>
      </c>
      <c r="W17" s="4">
        <v>1045.3900000000001</v>
      </c>
      <c r="X17" s="4">
        <v>1247.04</v>
      </c>
      <c r="Y17" s="4">
        <v>747.18</v>
      </c>
      <c r="Z17" s="4">
        <v>5.69</v>
      </c>
      <c r="AA17" s="4">
        <v>1.57</v>
      </c>
      <c r="AB17" s="4">
        <v>4.46</v>
      </c>
      <c r="AC17" s="4">
        <v>69.540000000000006</v>
      </c>
      <c r="AD17" s="4">
        <v>490</v>
      </c>
      <c r="AE17" s="4">
        <v>4700</v>
      </c>
      <c r="AF17" s="4">
        <v>77.099999999999994</v>
      </c>
      <c r="AG17" s="4">
        <v>0.47</v>
      </c>
      <c r="AH17" s="4">
        <v>12.08</v>
      </c>
      <c r="AI17" s="4">
        <v>31.46</v>
      </c>
      <c r="AJ17" s="4">
        <v>60</v>
      </c>
      <c r="AK17" s="4">
        <v>9</v>
      </c>
      <c r="AL17" s="4">
        <v>9</v>
      </c>
      <c r="AM17" s="4">
        <v>0.72</v>
      </c>
      <c r="AN17" s="4">
        <v>294</v>
      </c>
      <c r="AO17" s="4">
        <v>300.48</v>
      </c>
      <c r="AP17" s="4">
        <v>359231.2</v>
      </c>
      <c r="AQ17" s="4">
        <v>247297.7</v>
      </c>
      <c r="AR17" s="4" t="s">
        <v>111</v>
      </c>
      <c r="AS17" s="5">
        <f t="shared" si="0"/>
        <v>6.3888984018264843</v>
      </c>
    </row>
    <row r="18" spans="1:45" ht="14.25" customHeight="1" x14ac:dyDescent="0.55000000000000004">
      <c r="A18" s="4">
        <v>20.010000000000002</v>
      </c>
      <c r="B18" s="4">
        <v>30.44</v>
      </c>
      <c r="C18" s="4">
        <v>5467.64</v>
      </c>
      <c r="D18" s="4">
        <v>7.61</v>
      </c>
      <c r="E18" s="4" t="s">
        <v>112</v>
      </c>
      <c r="F18" s="4" t="s">
        <v>113</v>
      </c>
      <c r="G18" s="4" t="s">
        <v>114</v>
      </c>
      <c r="H18" s="4" t="s">
        <v>115</v>
      </c>
      <c r="I18" s="4">
        <v>0</v>
      </c>
      <c r="J18" s="4">
        <v>853.55</v>
      </c>
      <c r="K18" s="4">
        <f t="shared" si="1"/>
        <v>71.849999999999994</v>
      </c>
      <c r="L18" s="7">
        <f t="shared" si="2"/>
        <v>78.94</v>
      </c>
      <c r="M18" s="7">
        <f t="shared" si="3"/>
        <v>-7.0900000000000034</v>
      </c>
      <c r="N18" s="4">
        <v>7.31</v>
      </c>
      <c r="O18" s="4">
        <v>89.34</v>
      </c>
      <c r="P18" s="4">
        <v>44</v>
      </c>
      <c r="Q18" s="4">
        <v>22.6</v>
      </c>
      <c r="R18" s="4">
        <v>10.43</v>
      </c>
      <c r="S18" s="4">
        <v>15.05</v>
      </c>
      <c r="T18" s="4">
        <v>4.96</v>
      </c>
      <c r="U18" s="4">
        <v>6.41</v>
      </c>
      <c r="V18" s="4">
        <v>3499.29</v>
      </c>
      <c r="W18" s="4">
        <v>1037.78</v>
      </c>
      <c r="X18" s="4">
        <v>1204.48</v>
      </c>
      <c r="Y18" s="4">
        <v>735.29</v>
      </c>
      <c r="Z18" s="4">
        <v>6.37</v>
      </c>
      <c r="AA18" s="4">
        <v>1.57</v>
      </c>
      <c r="AB18" s="4">
        <v>4.47</v>
      </c>
      <c r="AC18" s="4">
        <v>67.75</v>
      </c>
      <c r="AD18" s="4">
        <v>490</v>
      </c>
      <c r="AE18" s="4">
        <v>4700</v>
      </c>
      <c r="AF18" s="4">
        <v>74.989999999999995</v>
      </c>
      <c r="AG18" s="4">
        <v>0.47</v>
      </c>
      <c r="AH18" s="4">
        <v>13.87</v>
      </c>
      <c r="AI18" s="4">
        <v>30.11</v>
      </c>
      <c r="AJ18" s="4">
        <v>60</v>
      </c>
      <c r="AK18" s="4">
        <v>9</v>
      </c>
      <c r="AL18" s="4">
        <v>9</v>
      </c>
      <c r="AM18" s="4">
        <v>0.75</v>
      </c>
      <c r="AN18" s="4">
        <v>294</v>
      </c>
      <c r="AO18" s="4">
        <v>300.77</v>
      </c>
      <c r="AP18" s="4">
        <v>389126.51</v>
      </c>
      <c r="AQ18" s="4">
        <v>327503.96000000002</v>
      </c>
      <c r="AR18" s="4" t="s">
        <v>116</v>
      </c>
      <c r="AS18" s="5">
        <f t="shared" si="0"/>
        <v>3.5172688356164379</v>
      </c>
    </row>
    <row r="19" spans="1:45" ht="14.25" customHeight="1" x14ac:dyDescent="0.55000000000000004">
      <c r="A19" s="4">
        <v>19.579999999999998</v>
      </c>
      <c r="B19" s="4">
        <v>30.27</v>
      </c>
      <c r="C19" s="4">
        <v>5535.77</v>
      </c>
      <c r="D19" s="4">
        <v>7.48</v>
      </c>
      <c r="E19" s="4" t="s">
        <v>117</v>
      </c>
      <c r="F19" s="4" t="s">
        <v>118</v>
      </c>
      <c r="G19" s="4" t="s">
        <v>119</v>
      </c>
      <c r="H19" s="4" t="s">
        <v>120</v>
      </c>
      <c r="I19" s="4">
        <v>0</v>
      </c>
      <c r="J19" s="4">
        <v>546.29</v>
      </c>
      <c r="K19" s="4">
        <f t="shared" si="1"/>
        <v>50.609999999999992</v>
      </c>
      <c r="L19" s="7">
        <f t="shared" si="2"/>
        <v>56.11</v>
      </c>
      <c r="M19" s="7">
        <f t="shared" si="3"/>
        <v>-5.5000000000000071</v>
      </c>
      <c r="N19" s="4">
        <v>7.1</v>
      </c>
      <c r="O19" s="4">
        <v>88.8</v>
      </c>
      <c r="P19" s="4">
        <v>48</v>
      </c>
      <c r="Q19" s="4">
        <v>21</v>
      </c>
      <c r="R19" s="4">
        <v>10.68</v>
      </c>
      <c r="S19" s="4">
        <v>14.28</v>
      </c>
      <c r="T19" s="4">
        <v>5.3</v>
      </c>
      <c r="U19" s="4">
        <v>10.130000000000001</v>
      </c>
      <c r="V19" s="4">
        <v>3542.89</v>
      </c>
      <c r="W19" s="4">
        <v>1067.1300000000001</v>
      </c>
      <c r="X19" s="4">
        <v>1398.62</v>
      </c>
      <c r="Y19" s="4">
        <v>789.14</v>
      </c>
      <c r="Z19" s="4">
        <v>5.86</v>
      </c>
      <c r="AA19" s="4">
        <v>1.5</v>
      </c>
      <c r="AB19" s="4">
        <v>4.47</v>
      </c>
      <c r="AC19" s="4">
        <v>66.83</v>
      </c>
      <c r="AD19" s="4">
        <v>490</v>
      </c>
      <c r="AE19" s="4">
        <v>4700</v>
      </c>
      <c r="AF19" s="4">
        <v>76.83</v>
      </c>
      <c r="AG19" s="4">
        <v>0.47</v>
      </c>
      <c r="AH19" s="4">
        <v>8.41</v>
      </c>
      <c r="AI19" s="4">
        <v>39.340000000000003</v>
      </c>
      <c r="AJ19" s="4">
        <v>60</v>
      </c>
      <c r="AK19" s="4">
        <v>9</v>
      </c>
      <c r="AL19" s="4">
        <v>9</v>
      </c>
      <c r="AM19" s="4">
        <v>0.57999999999999996</v>
      </c>
      <c r="AN19" s="4">
        <v>294</v>
      </c>
      <c r="AO19" s="4">
        <v>299.18</v>
      </c>
      <c r="AP19" s="4">
        <v>361943.64</v>
      </c>
      <c r="AQ19" s="4">
        <v>164507</v>
      </c>
      <c r="AR19" s="4" t="s">
        <v>121</v>
      </c>
      <c r="AS19" s="5">
        <f t="shared" si="0"/>
        <v>11.269214611872147</v>
      </c>
    </row>
    <row r="20" spans="1:45" ht="14.25" customHeight="1" x14ac:dyDescent="0.55000000000000004">
      <c r="A20" s="4">
        <v>19.100000000000001</v>
      </c>
      <c r="B20" s="4">
        <v>29.93</v>
      </c>
      <c r="C20" s="4">
        <v>5491.69</v>
      </c>
      <c r="D20" s="4">
        <v>7.6</v>
      </c>
      <c r="E20" s="4" t="s">
        <v>122</v>
      </c>
      <c r="F20" s="4" t="s">
        <v>123</v>
      </c>
      <c r="G20" s="4" t="s">
        <v>124</v>
      </c>
      <c r="H20" s="4" t="s">
        <v>125</v>
      </c>
      <c r="I20" s="4">
        <v>0</v>
      </c>
      <c r="J20" s="4">
        <v>728.55</v>
      </c>
      <c r="K20" s="4">
        <f t="shared" si="1"/>
        <v>60.28</v>
      </c>
      <c r="L20" s="7">
        <f t="shared" si="2"/>
        <v>69.91</v>
      </c>
      <c r="M20" s="7">
        <f t="shared" si="3"/>
        <v>-9.6299999999999955</v>
      </c>
      <c r="N20" s="4">
        <v>7.21</v>
      </c>
      <c r="O20" s="4">
        <v>88.96</v>
      </c>
      <c r="P20" s="4">
        <v>66</v>
      </c>
      <c r="Q20" s="4">
        <v>18.5</v>
      </c>
      <c r="R20" s="4">
        <v>10.83</v>
      </c>
      <c r="S20" s="4">
        <v>14.4</v>
      </c>
      <c r="T20" s="4">
        <v>4.71</v>
      </c>
      <c r="U20" s="4">
        <v>7.54</v>
      </c>
      <c r="V20" s="4">
        <v>3514.68</v>
      </c>
      <c r="W20" s="4">
        <v>1046.1099999999999</v>
      </c>
      <c r="X20" s="4">
        <v>1255.27</v>
      </c>
      <c r="Y20" s="4">
        <v>749.26</v>
      </c>
      <c r="Z20" s="4">
        <v>5.17</v>
      </c>
      <c r="AA20" s="4">
        <v>1.56</v>
      </c>
      <c r="AB20" s="4">
        <v>4.4800000000000004</v>
      </c>
      <c r="AC20" s="4">
        <v>69.709999999999994</v>
      </c>
      <c r="AD20" s="4">
        <v>490</v>
      </c>
      <c r="AE20" s="4">
        <v>4700</v>
      </c>
      <c r="AF20" s="4">
        <v>77.86</v>
      </c>
      <c r="AG20" s="4">
        <v>0.47</v>
      </c>
      <c r="AH20" s="4">
        <v>11.91</v>
      </c>
      <c r="AI20" s="4">
        <v>29.14</v>
      </c>
      <c r="AJ20" s="4">
        <v>60</v>
      </c>
      <c r="AK20" s="4">
        <v>9</v>
      </c>
      <c r="AL20" s="4">
        <v>9</v>
      </c>
      <c r="AM20" s="4">
        <v>0.78</v>
      </c>
      <c r="AN20" s="4">
        <v>294</v>
      </c>
      <c r="AO20" s="4">
        <v>300.99</v>
      </c>
      <c r="AP20" s="4">
        <v>357584.63</v>
      </c>
      <c r="AQ20" s="4">
        <v>201902.01</v>
      </c>
      <c r="AR20" s="4" t="s">
        <v>126</v>
      </c>
      <c r="AS20" s="5">
        <f t="shared" si="0"/>
        <v>8.8859942922374433</v>
      </c>
    </row>
    <row r="21" spans="1:45" ht="14.25" customHeight="1" x14ac:dyDescent="0.55000000000000004">
      <c r="A21" s="4">
        <v>19.63</v>
      </c>
      <c r="B21" s="4">
        <v>30.33</v>
      </c>
      <c r="C21" s="4">
        <v>5515</v>
      </c>
      <c r="D21" s="4">
        <v>7.49</v>
      </c>
      <c r="E21" s="4" t="s">
        <v>127</v>
      </c>
      <c r="F21" s="4" t="s">
        <v>128</v>
      </c>
      <c r="G21" s="4" t="s">
        <v>129</v>
      </c>
      <c r="H21" s="4" t="s">
        <v>130</v>
      </c>
      <c r="I21" s="4">
        <v>0</v>
      </c>
      <c r="J21" s="4">
        <v>940.87</v>
      </c>
      <c r="K21" s="4">
        <f t="shared" si="1"/>
        <v>82.429999999999993</v>
      </c>
      <c r="L21" s="7">
        <f t="shared" si="2"/>
        <v>82.429999999999993</v>
      </c>
      <c r="M21" s="7">
        <f t="shared" si="3"/>
        <v>0</v>
      </c>
      <c r="N21" s="4">
        <v>7.37</v>
      </c>
      <c r="O21" s="4">
        <v>88.73</v>
      </c>
      <c r="P21" s="4">
        <v>45</v>
      </c>
      <c r="Q21" s="4">
        <v>22.2</v>
      </c>
      <c r="R21" s="4">
        <v>10.7</v>
      </c>
      <c r="S21" s="4">
        <v>14.86</v>
      </c>
      <c r="T21" s="4">
        <v>4.7699999999999996</v>
      </c>
      <c r="U21" s="4">
        <v>5.86</v>
      </c>
      <c r="V21" s="4">
        <v>3529.6</v>
      </c>
      <c r="W21" s="4">
        <v>1044.1099999999999</v>
      </c>
      <c r="X21" s="4">
        <v>1185.79</v>
      </c>
      <c r="Y21" s="4">
        <v>734.42</v>
      </c>
      <c r="Z21" s="4">
        <v>14.69</v>
      </c>
      <c r="AA21" s="4">
        <v>1.44</v>
      </c>
      <c r="AB21" s="4">
        <v>4.6100000000000003</v>
      </c>
      <c r="AC21" s="4">
        <v>69.180000000000007</v>
      </c>
      <c r="AD21" s="4">
        <v>490</v>
      </c>
      <c r="AE21" s="4">
        <v>4700</v>
      </c>
      <c r="AF21" s="4">
        <v>76.94</v>
      </c>
      <c r="AG21" s="4">
        <v>0.47</v>
      </c>
      <c r="AH21" s="4">
        <v>15.83</v>
      </c>
      <c r="AI21" s="4">
        <v>60.51</v>
      </c>
      <c r="AJ21" s="4">
        <v>60</v>
      </c>
      <c r="AK21" s="4">
        <v>9</v>
      </c>
      <c r="AL21" s="4">
        <v>9</v>
      </c>
      <c r="AM21" s="4">
        <v>0.37</v>
      </c>
      <c r="AN21" s="4">
        <v>294</v>
      </c>
      <c r="AO21" s="4">
        <v>297.37</v>
      </c>
      <c r="AP21" s="4">
        <v>414662.5</v>
      </c>
      <c r="AQ21" s="4">
        <v>414662.5</v>
      </c>
      <c r="AR21" s="4" t="s">
        <v>131</v>
      </c>
      <c r="AS21" s="5">
        <f t="shared" si="0"/>
        <v>0</v>
      </c>
    </row>
    <row r="22" spans="1:45" ht="14.25" customHeight="1" x14ac:dyDescent="0.55000000000000004">
      <c r="A22" s="4">
        <v>18.89</v>
      </c>
      <c r="B22" s="4">
        <v>29.54</v>
      </c>
      <c r="C22" s="4">
        <v>5467.74</v>
      </c>
      <c r="D22" s="4">
        <v>7.6</v>
      </c>
      <c r="E22" s="4" t="s">
        <v>132</v>
      </c>
      <c r="F22" s="4" t="s">
        <v>133</v>
      </c>
      <c r="G22" s="4" t="s">
        <v>94</v>
      </c>
      <c r="H22" s="4" t="s">
        <v>134</v>
      </c>
      <c r="I22" s="4">
        <v>0</v>
      </c>
      <c r="J22" s="4">
        <v>673.51</v>
      </c>
      <c r="K22" s="4">
        <f t="shared" si="1"/>
        <v>56.37</v>
      </c>
      <c r="L22" s="7">
        <f t="shared" si="2"/>
        <v>63.44</v>
      </c>
      <c r="M22" s="7">
        <f t="shared" si="3"/>
        <v>-7.07</v>
      </c>
      <c r="N22" s="4">
        <v>7.17</v>
      </c>
      <c r="O22" s="4">
        <v>88.98</v>
      </c>
      <c r="P22" s="4">
        <v>66</v>
      </c>
      <c r="Q22" s="4">
        <v>18.100000000000001</v>
      </c>
      <c r="R22" s="4">
        <v>10.65</v>
      </c>
      <c r="S22" s="4">
        <v>14.03</v>
      </c>
      <c r="T22" s="4">
        <v>4.8600000000000003</v>
      </c>
      <c r="U22" s="4">
        <v>8.1199999999999992</v>
      </c>
      <c r="V22" s="4">
        <v>3499.35</v>
      </c>
      <c r="W22" s="4">
        <v>1043.6400000000001</v>
      </c>
      <c r="X22" s="4">
        <v>1275</v>
      </c>
      <c r="Y22" s="4">
        <v>751.93</v>
      </c>
      <c r="Z22" s="4">
        <v>6.22</v>
      </c>
      <c r="AA22" s="4">
        <v>1.57</v>
      </c>
      <c r="AB22" s="4">
        <v>4.47</v>
      </c>
      <c r="AC22" s="4">
        <v>68.66</v>
      </c>
      <c r="AD22" s="4">
        <v>490</v>
      </c>
      <c r="AE22" s="4">
        <v>4700</v>
      </c>
      <c r="AF22" s="4">
        <v>76.569999999999993</v>
      </c>
      <c r="AG22" s="4">
        <v>0.47</v>
      </c>
      <c r="AH22" s="4">
        <v>10.76</v>
      </c>
      <c r="AI22" s="4">
        <v>37.46</v>
      </c>
      <c r="AJ22" s="4">
        <v>60</v>
      </c>
      <c r="AK22" s="4">
        <v>9</v>
      </c>
      <c r="AL22" s="4">
        <v>9</v>
      </c>
      <c r="AM22" s="4">
        <v>0.6</v>
      </c>
      <c r="AN22" s="4">
        <v>294</v>
      </c>
      <c r="AO22" s="4">
        <v>299.44</v>
      </c>
      <c r="AP22" s="4">
        <v>354784.84</v>
      </c>
      <c r="AQ22" s="4">
        <v>247684.9</v>
      </c>
      <c r="AR22" s="4" t="s">
        <v>135</v>
      </c>
      <c r="AS22" s="5">
        <f t="shared" si="0"/>
        <v>6.1130102739726047</v>
      </c>
    </row>
    <row r="23" spans="1:45" ht="14.25" customHeight="1" x14ac:dyDescent="0.55000000000000004">
      <c r="A23" s="4">
        <v>20.11</v>
      </c>
      <c r="B23" s="4">
        <v>30.63</v>
      </c>
      <c r="C23" s="4">
        <v>5489.31</v>
      </c>
      <c r="D23" s="4">
        <v>7.6</v>
      </c>
      <c r="E23" s="4" t="s">
        <v>136</v>
      </c>
      <c r="F23" s="4" t="s">
        <v>137</v>
      </c>
      <c r="G23" s="4" t="s">
        <v>138</v>
      </c>
      <c r="H23" s="4" t="s">
        <v>139</v>
      </c>
      <c r="I23" s="4">
        <v>0</v>
      </c>
      <c r="J23" s="4">
        <v>619.42999999999995</v>
      </c>
      <c r="K23" s="4">
        <f t="shared" si="1"/>
        <v>51.7</v>
      </c>
      <c r="L23" s="7">
        <f t="shared" si="2"/>
        <v>58.140000000000008</v>
      </c>
      <c r="M23" s="7">
        <f t="shared" si="3"/>
        <v>-6.4400000000000048</v>
      </c>
      <c r="N23" s="4">
        <v>7.1</v>
      </c>
      <c r="O23" s="4">
        <v>89.16</v>
      </c>
      <c r="P23" s="4">
        <v>44</v>
      </c>
      <c r="Q23" s="4">
        <v>22.9</v>
      </c>
      <c r="R23" s="4">
        <v>10.52</v>
      </c>
      <c r="S23" s="4">
        <v>15.3</v>
      </c>
      <c r="T23" s="4">
        <v>4.8099999999999996</v>
      </c>
      <c r="U23" s="4">
        <v>8.86</v>
      </c>
      <c r="V23" s="4">
        <v>3513.16</v>
      </c>
      <c r="W23" s="4">
        <v>1047.8</v>
      </c>
      <c r="X23" s="4">
        <v>1292</v>
      </c>
      <c r="Y23" s="4">
        <v>756.25</v>
      </c>
      <c r="Z23" s="4">
        <v>5.33</v>
      </c>
      <c r="AA23" s="4">
        <v>1.6</v>
      </c>
      <c r="AB23" s="4">
        <v>4.41</v>
      </c>
      <c r="AC23" s="4">
        <v>68.62</v>
      </c>
      <c r="AD23" s="4">
        <v>490</v>
      </c>
      <c r="AE23" s="4">
        <v>4700</v>
      </c>
      <c r="AF23" s="4">
        <v>75.67</v>
      </c>
      <c r="AG23" s="4">
        <v>0.47</v>
      </c>
      <c r="AH23" s="4">
        <v>9.6300000000000008</v>
      </c>
      <c r="AI23" s="4">
        <v>35.04</v>
      </c>
      <c r="AJ23" s="4">
        <v>60</v>
      </c>
      <c r="AK23" s="4">
        <v>9</v>
      </c>
      <c r="AL23" s="4">
        <v>9</v>
      </c>
      <c r="AM23" s="4">
        <v>0.65</v>
      </c>
      <c r="AN23" s="4">
        <v>294</v>
      </c>
      <c r="AO23" s="4">
        <v>299.81</v>
      </c>
      <c r="AP23" s="4">
        <v>363816.46</v>
      </c>
      <c r="AQ23" s="4">
        <v>163899.96</v>
      </c>
      <c r="AR23" s="4" t="s">
        <v>140</v>
      </c>
      <c r="AS23" s="5">
        <f t="shared" si="0"/>
        <v>11.410759132420093</v>
      </c>
    </row>
    <row r="24" spans="1:45" ht="14.25" customHeight="1" x14ac:dyDescent="0.55000000000000004">
      <c r="A24" s="4">
        <v>20.63</v>
      </c>
      <c r="B24" s="4">
        <v>31.4</v>
      </c>
      <c r="C24" s="4">
        <v>5470.62</v>
      </c>
      <c r="D24" s="4">
        <v>7.59</v>
      </c>
      <c r="E24" s="4" t="s">
        <v>141</v>
      </c>
      <c r="F24" s="4" t="s">
        <v>142</v>
      </c>
      <c r="G24" s="4" t="s">
        <v>143</v>
      </c>
      <c r="H24" s="4" t="s">
        <v>144</v>
      </c>
      <c r="I24" s="4">
        <v>0</v>
      </c>
      <c r="J24" s="4">
        <v>643.52</v>
      </c>
      <c r="K24" s="4">
        <f t="shared" si="1"/>
        <v>56.010000000000005</v>
      </c>
      <c r="L24" s="7">
        <f t="shared" si="2"/>
        <v>64.81</v>
      </c>
      <c r="M24" s="7">
        <f t="shared" si="3"/>
        <v>-8.7999999999999972</v>
      </c>
      <c r="N24" s="4">
        <v>7.17</v>
      </c>
      <c r="O24" s="4">
        <v>89.4</v>
      </c>
      <c r="P24" s="4">
        <v>86</v>
      </c>
      <c r="Q24" s="4">
        <v>17.100000000000001</v>
      </c>
      <c r="R24" s="4">
        <v>10.78</v>
      </c>
      <c r="S24" s="4">
        <v>15.45</v>
      </c>
      <c r="T24" s="4">
        <v>5.18</v>
      </c>
      <c r="U24" s="4">
        <v>8.5</v>
      </c>
      <c r="V24" s="4">
        <v>3501.2</v>
      </c>
      <c r="W24" s="4">
        <v>1047.99</v>
      </c>
      <c r="X24" s="4">
        <v>1309.52</v>
      </c>
      <c r="Y24" s="4">
        <v>761.85</v>
      </c>
      <c r="Z24" s="4">
        <v>5.19</v>
      </c>
      <c r="AA24" s="4">
        <v>1.6</v>
      </c>
      <c r="AB24" s="4">
        <v>4.3899999999999997</v>
      </c>
      <c r="AC24" s="4">
        <v>67.53</v>
      </c>
      <c r="AD24" s="4">
        <v>490</v>
      </c>
      <c r="AE24" s="4">
        <v>4700</v>
      </c>
      <c r="AF24" s="4">
        <v>77.5</v>
      </c>
      <c r="AG24" s="4">
        <v>0.47</v>
      </c>
      <c r="AH24" s="4">
        <v>10.33</v>
      </c>
      <c r="AI24" s="4">
        <v>31.44</v>
      </c>
      <c r="AJ24" s="4">
        <v>60</v>
      </c>
      <c r="AK24" s="4">
        <v>9</v>
      </c>
      <c r="AL24" s="4">
        <v>9</v>
      </c>
      <c r="AM24" s="4">
        <v>0.72</v>
      </c>
      <c r="AN24" s="4">
        <v>294</v>
      </c>
      <c r="AO24" s="4">
        <v>300.48</v>
      </c>
      <c r="AP24" s="4">
        <v>354689.48</v>
      </c>
      <c r="AQ24" s="4">
        <v>168491.63</v>
      </c>
      <c r="AR24" s="4" t="s">
        <v>145</v>
      </c>
      <c r="AS24" s="5">
        <f t="shared" si="0"/>
        <v>10.62773116438356</v>
      </c>
    </row>
    <row r="25" spans="1:45" ht="14.25" customHeight="1" x14ac:dyDescent="0.55000000000000004">
      <c r="A25" s="4">
        <v>20.25</v>
      </c>
      <c r="B25" s="4">
        <v>30.75</v>
      </c>
      <c r="C25" s="4">
        <v>5532.61</v>
      </c>
      <c r="D25" s="4">
        <v>7.6</v>
      </c>
      <c r="E25" s="4" t="s">
        <v>146</v>
      </c>
      <c r="F25" s="4" t="s">
        <v>147</v>
      </c>
      <c r="G25" s="4" t="s">
        <v>109</v>
      </c>
      <c r="H25" s="4" t="s">
        <v>148</v>
      </c>
      <c r="I25" s="4">
        <v>0</v>
      </c>
      <c r="J25" s="4">
        <v>658.61</v>
      </c>
      <c r="K25" s="4">
        <f t="shared" si="1"/>
        <v>55.430000000000007</v>
      </c>
      <c r="L25" s="7">
        <f t="shared" si="2"/>
        <v>62.16</v>
      </c>
      <c r="M25" s="7">
        <f t="shared" si="3"/>
        <v>-6.7299999999999898</v>
      </c>
      <c r="N25" s="4">
        <v>7.16</v>
      </c>
      <c r="O25" s="4">
        <v>88.86</v>
      </c>
      <c r="P25" s="4">
        <v>46</v>
      </c>
      <c r="Q25" s="4">
        <v>22.2</v>
      </c>
      <c r="R25" s="4">
        <v>10.5</v>
      </c>
      <c r="S25" s="4">
        <v>15.01</v>
      </c>
      <c r="T25" s="4">
        <v>5.24</v>
      </c>
      <c r="U25" s="4">
        <v>8.4</v>
      </c>
      <c r="V25" s="4">
        <v>3540.87</v>
      </c>
      <c r="W25" s="4">
        <v>1056.83</v>
      </c>
      <c r="X25" s="4">
        <v>1299.0999999999999</v>
      </c>
      <c r="Y25" s="4">
        <v>763.07</v>
      </c>
      <c r="Z25" s="4">
        <v>5.35</v>
      </c>
      <c r="AA25" s="4">
        <v>1.6</v>
      </c>
      <c r="AB25" s="4">
        <v>4.3899999999999997</v>
      </c>
      <c r="AC25" s="4">
        <v>66.7</v>
      </c>
      <c r="AD25" s="4">
        <v>490</v>
      </c>
      <c r="AE25" s="4">
        <v>4700</v>
      </c>
      <c r="AF25" s="4">
        <v>75.489999999999995</v>
      </c>
      <c r="AG25" s="4">
        <v>0.47</v>
      </c>
      <c r="AH25" s="4">
        <v>10.199999999999999</v>
      </c>
      <c r="AI25" s="4">
        <v>32.78</v>
      </c>
      <c r="AJ25" s="4">
        <v>60</v>
      </c>
      <c r="AK25" s="4">
        <v>9</v>
      </c>
      <c r="AL25" s="4">
        <v>9</v>
      </c>
      <c r="AM25" s="4">
        <v>0.69</v>
      </c>
      <c r="AN25" s="4">
        <v>294</v>
      </c>
      <c r="AO25" s="4">
        <v>300.22000000000003</v>
      </c>
      <c r="AP25" s="4">
        <v>370214.67</v>
      </c>
      <c r="AQ25" s="4">
        <v>168809.57</v>
      </c>
      <c r="AR25" s="4" t="s">
        <v>149</v>
      </c>
      <c r="AS25" s="5">
        <f t="shared" si="0"/>
        <v>11.495724885844748</v>
      </c>
    </row>
    <row r="26" spans="1:45" ht="14.25" customHeight="1" x14ac:dyDescent="0.55000000000000004">
      <c r="A26" s="4">
        <v>18.89</v>
      </c>
      <c r="B26" s="4">
        <v>29.66</v>
      </c>
      <c r="C26" s="4">
        <v>5492.74</v>
      </c>
      <c r="D26" s="4">
        <v>7.59</v>
      </c>
      <c r="E26" s="4" t="s">
        <v>150</v>
      </c>
      <c r="F26" s="4" t="s">
        <v>151</v>
      </c>
      <c r="G26" s="4" t="s">
        <v>152</v>
      </c>
      <c r="H26" s="4" t="s">
        <v>153</v>
      </c>
      <c r="I26" s="4">
        <v>0</v>
      </c>
      <c r="J26" s="4">
        <v>724.58</v>
      </c>
      <c r="K26" s="4">
        <f t="shared" si="1"/>
        <v>60.190000000000005</v>
      </c>
      <c r="L26" s="7">
        <f t="shared" si="2"/>
        <v>68.78</v>
      </c>
      <c r="M26" s="7">
        <f t="shared" si="3"/>
        <v>-8.5899999999999963</v>
      </c>
      <c r="N26" s="4">
        <v>7.21</v>
      </c>
      <c r="O26" s="4">
        <v>89.03</v>
      </c>
      <c r="P26" s="4">
        <v>68</v>
      </c>
      <c r="Q26" s="4">
        <v>17.8</v>
      </c>
      <c r="R26" s="4">
        <v>10.77</v>
      </c>
      <c r="S26" s="4">
        <v>13.99</v>
      </c>
      <c r="T26" s="4">
        <v>4.9000000000000004</v>
      </c>
      <c r="U26" s="4">
        <v>7.58</v>
      </c>
      <c r="V26" s="4">
        <v>3515.35</v>
      </c>
      <c r="W26" s="4">
        <v>1046.3699999999999</v>
      </c>
      <c r="X26" s="4">
        <v>1256.6099999999999</v>
      </c>
      <c r="Y26" s="4">
        <v>749.61</v>
      </c>
      <c r="Z26" s="4">
        <v>5.69</v>
      </c>
      <c r="AA26" s="4">
        <v>1.55</v>
      </c>
      <c r="AB26" s="4">
        <v>4.49</v>
      </c>
      <c r="AC26" s="4">
        <v>68.739999999999995</v>
      </c>
      <c r="AD26" s="4">
        <v>490</v>
      </c>
      <c r="AE26" s="4">
        <v>4700</v>
      </c>
      <c r="AF26" s="4">
        <v>77.45</v>
      </c>
      <c r="AG26" s="4">
        <v>0.47</v>
      </c>
      <c r="AH26" s="4">
        <v>11.77</v>
      </c>
      <c r="AI26" s="4">
        <v>32.1</v>
      </c>
      <c r="AJ26" s="4">
        <v>60</v>
      </c>
      <c r="AK26" s="4">
        <v>9</v>
      </c>
      <c r="AL26" s="4">
        <v>9</v>
      </c>
      <c r="AM26" s="4">
        <v>0.71</v>
      </c>
      <c r="AN26" s="4">
        <v>294</v>
      </c>
      <c r="AO26" s="4">
        <v>300.35000000000002</v>
      </c>
      <c r="AP26" s="4">
        <v>358849.64</v>
      </c>
      <c r="AQ26" s="4">
        <v>239464.58</v>
      </c>
      <c r="AR26" s="4" t="s">
        <v>154</v>
      </c>
      <c r="AS26" s="5">
        <f t="shared" si="0"/>
        <v>6.8142157534246595</v>
      </c>
    </row>
    <row r="27" spans="1:45" ht="14.25" customHeight="1" x14ac:dyDescent="0.55000000000000004">
      <c r="A27" s="4">
        <v>19.28</v>
      </c>
      <c r="B27" s="4">
        <v>29.82</v>
      </c>
      <c r="C27" s="4">
        <v>5437.14</v>
      </c>
      <c r="D27" s="4">
        <v>7.6</v>
      </c>
      <c r="E27" s="4" t="s">
        <v>155</v>
      </c>
      <c r="F27" s="4" t="s">
        <v>39</v>
      </c>
      <c r="G27" s="4" t="s">
        <v>156</v>
      </c>
      <c r="H27" s="4" t="s">
        <v>157</v>
      </c>
      <c r="I27" s="4">
        <v>0</v>
      </c>
      <c r="J27" s="4">
        <v>960.85</v>
      </c>
      <c r="K27" s="4">
        <f t="shared" si="1"/>
        <v>82.72</v>
      </c>
      <c r="L27" s="7">
        <f t="shared" si="2"/>
        <v>82.72</v>
      </c>
      <c r="M27" s="7">
        <f t="shared" si="3"/>
        <v>0</v>
      </c>
      <c r="N27" s="4">
        <v>7.37</v>
      </c>
      <c r="O27" s="4">
        <v>89.17</v>
      </c>
      <c r="P27" s="4">
        <v>63</v>
      </c>
      <c r="Q27" s="4">
        <v>19.3</v>
      </c>
      <c r="R27" s="4">
        <v>10.55</v>
      </c>
      <c r="S27" s="4">
        <v>14.76</v>
      </c>
      <c r="T27" s="4">
        <v>4.5199999999999996</v>
      </c>
      <c r="U27" s="4">
        <v>5.66</v>
      </c>
      <c r="V27" s="4">
        <v>3479.77</v>
      </c>
      <c r="W27" s="4">
        <v>1027.77</v>
      </c>
      <c r="X27" s="4">
        <v>1155.4100000000001</v>
      </c>
      <c r="Y27" s="4">
        <v>720.1</v>
      </c>
      <c r="Z27" s="4">
        <v>11.99</v>
      </c>
      <c r="AA27" s="4">
        <v>1.53</v>
      </c>
      <c r="AB27" s="4">
        <v>4.55</v>
      </c>
      <c r="AC27" s="4">
        <v>70</v>
      </c>
      <c r="AD27" s="4">
        <v>490</v>
      </c>
      <c r="AE27" s="4">
        <v>4700</v>
      </c>
      <c r="AF27" s="4">
        <v>75.83</v>
      </c>
      <c r="AG27" s="4">
        <v>0.47</v>
      </c>
      <c r="AH27" s="4">
        <v>16.28</v>
      </c>
      <c r="AI27" s="4">
        <v>49.22</v>
      </c>
      <c r="AJ27" s="4">
        <v>60</v>
      </c>
      <c r="AK27" s="4">
        <v>9</v>
      </c>
      <c r="AL27" s="4">
        <v>9</v>
      </c>
      <c r="AM27" s="4">
        <v>0.46</v>
      </c>
      <c r="AN27" s="4">
        <v>294</v>
      </c>
      <c r="AO27" s="4">
        <v>298.14</v>
      </c>
      <c r="AP27" s="4">
        <v>427658.2</v>
      </c>
      <c r="AQ27" s="4">
        <v>427658.2</v>
      </c>
      <c r="AR27" s="4" t="s">
        <v>158</v>
      </c>
      <c r="AS27" s="5">
        <f t="shared" si="0"/>
        <v>0</v>
      </c>
    </row>
    <row r="28" spans="1:45" ht="14.25" customHeight="1" x14ac:dyDescent="0.55000000000000004">
      <c r="A28" s="4">
        <v>20.46</v>
      </c>
      <c r="B28" s="4">
        <v>31.59</v>
      </c>
      <c r="C28" s="4">
        <v>5520.12</v>
      </c>
      <c r="D28" s="4">
        <v>7.59</v>
      </c>
      <c r="E28" s="4" t="s">
        <v>159</v>
      </c>
      <c r="F28" s="4" t="s">
        <v>160</v>
      </c>
      <c r="G28" s="4" t="s">
        <v>161</v>
      </c>
      <c r="H28" s="4" t="s">
        <v>162</v>
      </c>
      <c r="I28" s="4">
        <v>0</v>
      </c>
      <c r="J28" s="4">
        <v>313.89</v>
      </c>
      <c r="K28" s="4">
        <f t="shared" si="1"/>
        <v>40.57</v>
      </c>
      <c r="L28" s="7">
        <f t="shared" si="2"/>
        <v>44.64</v>
      </c>
      <c r="M28" s="7">
        <f t="shared" si="3"/>
        <v>-4.07</v>
      </c>
      <c r="N28" s="4">
        <v>6.92</v>
      </c>
      <c r="O28" s="4">
        <v>88.95</v>
      </c>
      <c r="P28" s="4">
        <v>86</v>
      </c>
      <c r="Q28" s="4">
        <v>16.8</v>
      </c>
      <c r="R28" s="4">
        <v>11.13</v>
      </c>
      <c r="S28" s="4">
        <v>15.15</v>
      </c>
      <c r="T28" s="4">
        <v>5.3</v>
      </c>
      <c r="U28" s="4">
        <v>17.59</v>
      </c>
      <c r="V28" s="4">
        <v>3532.88</v>
      </c>
      <c r="W28" s="4">
        <v>1094.78</v>
      </c>
      <c r="X28" s="4">
        <v>1740.13</v>
      </c>
      <c r="Y28" s="4">
        <v>871.53</v>
      </c>
      <c r="Z28" s="4">
        <v>5.91</v>
      </c>
      <c r="AA28" s="4">
        <v>1.74</v>
      </c>
      <c r="AB28" s="4">
        <v>4.1100000000000003</v>
      </c>
      <c r="AC28" s="4">
        <v>67.73</v>
      </c>
      <c r="AD28" s="4">
        <v>490</v>
      </c>
      <c r="AE28" s="4">
        <v>4700</v>
      </c>
      <c r="AF28" s="4">
        <v>80.040000000000006</v>
      </c>
      <c r="AG28" s="4">
        <v>0.47</v>
      </c>
      <c r="AH28" s="4">
        <v>4.83</v>
      </c>
      <c r="AI28" s="4">
        <v>49.45</v>
      </c>
      <c r="AJ28" s="4">
        <v>60</v>
      </c>
      <c r="AK28" s="4">
        <v>9</v>
      </c>
      <c r="AL28" s="4">
        <v>9</v>
      </c>
      <c r="AM28" s="4">
        <v>0.46</v>
      </c>
      <c r="AN28" s="4">
        <v>294</v>
      </c>
      <c r="AO28" s="4">
        <v>298.12</v>
      </c>
      <c r="AP28" s="4">
        <v>348433.36</v>
      </c>
      <c r="AQ28" s="4">
        <v>110693.98</v>
      </c>
      <c r="AR28" s="4" t="s">
        <v>163</v>
      </c>
      <c r="AS28" s="5">
        <f t="shared" si="0"/>
        <v>13.569599315068494</v>
      </c>
    </row>
    <row r="29" spans="1:45" ht="14.25" customHeight="1" x14ac:dyDescent="0.55000000000000004">
      <c r="A29" s="4">
        <v>22.12</v>
      </c>
      <c r="B29" s="4">
        <v>32.36</v>
      </c>
      <c r="C29" s="4">
        <v>5378.39</v>
      </c>
      <c r="D29" s="4">
        <v>7.63</v>
      </c>
      <c r="E29" s="4" t="s">
        <v>164</v>
      </c>
      <c r="F29" s="4" t="s">
        <v>165</v>
      </c>
      <c r="G29" s="4" t="s">
        <v>166</v>
      </c>
      <c r="H29" s="4" t="s">
        <v>167</v>
      </c>
      <c r="I29" s="4">
        <v>0</v>
      </c>
      <c r="J29" s="4">
        <v>887.64</v>
      </c>
      <c r="K29" s="4">
        <f t="shared" si="1"/>
        <v>72.319999999999993</v>
      </c>
      <c r="L29" s="7">
        <f t="shared" si="2"/>
        <v>84.389999999999986</v>
      </c>
      <c r="M29" s="7">
        <f t="shared" si="3"/>
        <v>-12.069999999999993</v>
      </c>
      <c r="N29" s="4">
        <v>7.31</v>
      </c>
      <c r="O29" s="4">
        <v>89.7</v>
      </c>
      <c r="P29" s="4">
        <v>70</v>
      </c>
      <c r="Q29" s="4">
        <v>22.6</v>
      </c>
      <c r="R29" s="4">
        <v>10.24</v>
      </c>
      <c r="S29" s="4">
        <v>18.7</v>
      </c>
      <c r="T29" s="4">
        <v>3.42</v>
      </c>
      <c r="U29" s="4">
        <v>6.06</v>
      </c>
      <c r="V29" s="4">
        <v>3442.17</v>
      </c>
      <c r="W29" s="4">
        <v>1017.99</v>
      </c>
      <c r="X29" s="4">
        <v>1160.0999999999999</v>
      </c>
      <c r="Y29" s="4">
        <v>716.21</v>
      </c>
      <c r="Z29" s="4">
        <v>5.14</v>
      </c>
      <c r="AA29" s="4">
        <v>1.61</v>
      </c>
      <c r="AB29" s="4">
        <v>4.42</v>
      </c>
      <c r="AC29" s="4">
        <v>74.989999999999995</v>
      </c>
      <c r="AD29" s="4">
        <v>490</v>
      </c>
      <c r="AE29" s="4">
        <v>4700</v>
      </c>
      <c r="AF29" s="4">
        <v>73.650000000000006</v>
      </c>
      <c r="AG29" s="4">
        <v>0.47</v>
      </c>
      <c r="AH29" s="4">
        <v>14.56</v>
      </c>
      <c r="AI29" s="4">
        <v>24.14</v>
      </c>
      <c r="AJ29" s="4">
        <v>60</v>
      </c>
      <c r="AK29" s="4">
        <v>9</v>
      </c>
      <c r="AL29" s="4">
        <v>9</v>
      </c>
      <c r="AM29" s="4">
        <v>0.94</v>
      </c>
      <c r="AN29" s="4">
        <v>294</v>
      </c>
      <c r="AO29" s="4">
        <v>302.44</v>
      </c>
      <c r="AP29" s="4">
        <v>366157.43</v>
      </c>
      <c r="AQ29" s="4">
        <v>279350.36</v>
      </c>
      <c r="AR29" s="4" t="s">
        <v>168</v>
      </c>
      <c r="AS29" s="5">
        <f t="shared" si="0"/>
        <v>4.954741438356165</v>
      </c>
    </row>
    <row r="30" spans="1:45" ht="14.25" customHeight="1" x14ac:dyDescent="0.55000000000000004">
      <c r="A30" s="4">
        <v>20.55</v>
      </c>
      <c r="B30" s="4">
        <v>31.05</v>
      </c>
      <c r="C30" s="4">
        <v>5457.34</v>
      </c>
      <c r="D30" s="4">
        <v>7.59</v>
      </c>
      <c r="E30" s="4" t="s">
        <v>169</v>
      </c>
      <c r="F30" s="4" t="s">
        <v>170</v>
      </c>
      <c r="G30" s="4" t="s">
        <v>171</v>
      </c>
      <c r="H30" s="4" t="s">
        <v>172</v>
      </c>
      <c r="I30" s="4">
        <v>0</v>
      </c>
      <c r="J30" s="4">
        <v>545.97</v>
      </c>
      <c r="K30" s="4">
        <f t="shared" si="1"/>
        <v>49.72</v>
      </c>
      <c r="L30" s="7">
        <f t="shared" si="2"/>
        <v>56.400000000000006</v>
      </c>
      <c r="M30" s="7">
        <f t="shared" si="3"/>
        <v>-6.6800000000000068</v>
      </c>
      <c r="N30" s="4">
        <v>7.09</v>
      </c>
      <c r="O30" s="4">
        <v>89.78</v>
      </c>
      <c r="P30" s="4">
        <v>79</v>
      </c>
      <c r="Q30" s="4">
        <v>17</v>
      </c>
      <c r="R30" s="4">
        <v>10.51</v>
      </c>
      <c r="S30" s="4">
        <v>14.53</v>
      </c>
      <c r="T30" s="4">
        <v>6.01</v>
      </c>
      <c r="U30" s="4">
        <v>10</v>
      </c>
      <c r="V30" s="4">
        <v>3492.7</v>
      </c>
      <c r="W30" s="4">
        <v>1051.01</v>
      </c>
      <c r="X30" s="4">
        <v>1371.58</v>
      </c>
      <c r="Y30" s="4">
        <v>775.62</v>
      </c>
      <c r="Z30" s="4">
        <v>5.73</v>
      </c>
      <c r="AA30" s="4">
        <v>1.62</v>
      </c>
      <c r="AB30" s="4">
        <v>4.3499999999999996</v>
      </c>
      <c r="AC30" s="4">
        <v>63.6</v>
      </c>
      <c r="AD30" s="4">
        <v>490</v>
      </c>
      <c r="AE30" s="4">
        <v>4700</v>
      </c>
      <c r="AF30" s="4">
        <v>75.55</v>
      </c>
      <c r="AG30" s="4">
        <v>0.47</v>
      </c>
      <c r="AH30" s="4">
        <v>8.4</v>
      </c>
      <c r="AI30" s="4">
        <v>39.14</v>
      </c>
      <c r="AJ30" s="4">
        <v>60</v>
      </c>
      <c r="AK30" s="4">
        <v>9</v>
      </c>
      <c r="AL30" s="4">
        <v>9</v>
      </c>
      <c r="AM30" s="4">
        <v>0.57999999999999996</v>
      </c>
      <c r="AN30" s="4">
        <v>294</v>
      </c>
      <c r="AO30" s="4">
        <v>299.20999999999998</v>
      </c>
      <c r="AP30" s="4">
        <v>347140.18</v>
      </c>
      <c r="AQ30" s="4">
        <v>171157.52</v>
      </c>
      <c r="AR30" s="4" t="s">
        <v>173</v>
      </c>
      <c r="AS30" s="5">
        <f t="shared" si="0"/>
        <v>10.044672374429224</v>
      </c>
    </row>
    <row r="31" spans="1:45" ht="14.25" customHeight="1" x14ac:dyDescent="0.55000000000000004">
      <c r="A31" s="4">
        <v>19.87</v>
      </c>
      <c r="B31" s="4">
        <v>30.43</v>
      </c>
      <c r="C31" s="4">
        <v>5496.09</v>
      </c>
      <c r="D31" s="4">
        <v>7.59</v>
      </c>
      <c r="E31" s="4" t="s">
        <v>174</v>
      </c>
      <c r="F31" s="4" t="s">
        <v>175</v>
      </c>
      <c r="G31" s="4" t="s">
        <v>176</v>
      </c>
      <c r="H31" s="4" t="s">
        <v>177</v>
      </c>
      <c r="I31" s="4">
        <v>0</v>
      </c>
      <c r="J31" s="4">
        <v>704.33</v>
      </c>
      <c r="K31" s="4">
        <f t="shared" si="1"/>
        <v>55.96</v>
      </c>
      <c r="L31" s="7">
        <f t="shared" si="2"/>
        <v>61.46</v>
      </c>
      <c r="M31" s="7">
        <f t="shared" si="3"/>
        <v>-5.5</v>
      </c>
      <c r="N31" s="4">
        <v>7.15</v>
      </c>
      <c r="O31" s="4">
        <v>89.47</v>
      </c>
      <c r="P31" s="4">
        <v>81</v>
      </c>
      <c r="Q31" s="4">
        <v>17.8</v>
      </c>
      <c r="R31" s="4">
        <v>10.56</v>
      </c>
      <c r="S31" s="4">
        <v>15.54</v>
      </c>
      <c r="T31" s="4">
        <v>4.34</v>
      </c>
      <c r="U31" s="4">
        <v>7.8</v>
      </c>
      <c r="V31" s="4">
        <v>3517.5</v>
      </c>
      <c r="W31" s="4">
        <v>1044.17</v>
      </c>
      <c r="X31" s="4">
        <v>1240.26</v>
      </c>
      <c r="Y31" s="4">
        <v>743.82</v>
      </c>
      <c r="Z31" s="4">
        <v>5.46</v>
      </c>
      <c r="AA31" s="4">
        <v>1.56</v>
      </c>
      <c r="AB31" s="4">
        <v>4.47</v>
      </c>
      <c r="AC31" s="4">
        <v>70.89</v>
      </c>
      <c r="AD31" s="4">
        <v>490</v>
      </c>
      <c r="AE31" s="4">
        <v>4700</v>
      </c>
      <c r="AF31" s="4">
        <v>75.92</v>
      </c>
      <c r="AG31" s="4">
        <v>0.47</v>
      </c>
      <c r="AH31" s="4">
        <v>11.16</v>
      </c>
      <c r="AI31" s="4">
        <v>33.15</v>
      </c>
      <c r="AJ31" s="4">
        <v>60</v>
      </c>
      <c r="AK31" s="4">
        <v>9</v>
      </c>
      <c r="AL31" s="4">
        <v>9</v>
      </c>
      <c r="AM31" s="4">
        <v>0.68</v>
      </c>
      <c r="AN31" s="4">
        <v>294</v>
      </c>
      <c r="AO31" s="4">
        <v>300.14999999999998</v>
      </c>
      <c r="AP31" s="4">
        <v>382673</v>
      </c>
      <c r="AQ31" s="4">
        <v>186073.12</v>
      </c>
      <c r="AR31" s="4" t="s">
        <v>178</v>
      </c>
      <c r="AS31" s="5">
        <f t="shared" si="0"/>
        <v>11.221454337899544</v>
      </c>
    </row>
    <row r="32" spans="1:45" ht="14.25" customHeight="1" x14ac:dyDescent="0.55000000000000004">
      <c r="A32" s="4">
        <v>21.04</v>
      </c>
      <c r="B32" s="4">
        <v>31.68</v>
      </c>
      <c r="C32" s="4">
        <v>5521.25</v>
      </c>
      <c r="D32" s="4">
        <v>7.59</v>
      </c>
      <c r="E32" s="4" t="s">
        <v>179</v>
      </c>
      <c r="F32" s="4" t="s">
        <v>180</v>
      </c>
      <c r="G32" s="4" t="s">
        <v>181</v>
      </c>
      <c r="H32" s="4" t="s">
        <v>182</v>
      </c>
      <c r="I32" s="4">
        <v>0</v>
      </c>
      <c r="J32" s="4">
        <v>387.06</v>
      </c>
      <c r="K32" s="4">
        <f t="shared" si="1"/>
        <v>41.440000000000005</v>
      </c>
      <c r="L32" s="7">
        <f t="shared" si="2"/>
        <v>42.15</v>
      </c>
      <c r="M32" s="7">
        <f t="shared" si="3"/>
        <v>-0.70999999999999375</v>
      </c>
      <c r="N32" s="4">
        <v>6.93</v>
      </c>
      <c r="O32" s="4">
        <v>88.85</v>
      </c>
      <c r="P32" s="4">
        <v>76</v>
      </c>
      <c r="Q32" s="4">
        <v>19.899999999999999</v>
      </c>
      <c r="R32" s="4">
        <v>10.65</v>
      </c>
      <c r="S32" s="4">
        <v>16.940000000000001</v>
      </c>
      <c r="T32" s="4">
        <v>4.0999999999999996</v>
      </c>
      <c r="U32" s="4">
        <v>14.26</v>
      </c>
      <c r="V32" s="4">
        <v>3533.6</v>
      </c>
      <c r="W32" s="4">
        <v>1072.7</v>
      </c>
      <c r="X32" s="4">
        <v>1523.91</v>
      </c>
      <c r="Y32" s="4">
        <v>813.9</v>
      </c>
      <c r="Z32" s="4">
        <v>6.39</v>
      </c>
      <c r="AA32" s="4">
        <v>1.69</v>
      </c>
      <c r="AB32" s="4">
        <v>4.22</v>
      </c>
      <c r="AC32" s="4">
        <v>72.2</v>
      </c>
      <c r="AD32" s="4">
        <v>490</v>
      </c>
      <c r="AE32" s="4">
        <v>4700</v>
      </c>
      <c r="AF32" s="4">
        <v>76.56</v>
      </c>
      <c r="AG32" s="4">
        <v>0.47</v>
      </c>
      <c r="AH32" s="4">
        <v>5.77</v>
      </c>
      <c r="AI32" s="4">
        <v>52.36</v>
      </c>
      <c r="AJ32" s="4">
        <v>60</v>
      </c>
      <c r="AK32" s="4">
        <v>9</v>
      </c>
      <c r="AL32" s="4">
        <v>9</v>
      </c>
      <c r="AM32" s="4">
        <v>0.43</v>
      </c>
      <c r="AN32" s="4">
        <v>294</v>
      </c>
      <c r="AO32" s="4">
        <v>297.89</v>
      </c>
      <c r="AP32" s="4">
        <v>380158.51</v>
      </c>
      <c r="AQ32" s="4">
        <v>117552.49</v>
      </c>
      <c r="AR32" s="4" t="s">
        <v>183</v>
      </c>
      <c r="AS32" s="5">
        <f t="shared" si="0"/>
        <v>14.988928082191782</v>
      </c>
    </row>
    <row r="33" spans="1:45" ht="14.25" customHeight="1" x14ac:dyDescent="0.55000000000000004">
      <c r="A33" s="4">
        <v>20.13</v>
      </c>
      <c r="B33" s="4">
        <v>30.91</v>
      </c>
      <c r="C33" s="4">
        <v>5456.92</v>
      </c>
      <c r="D33" s="4">
        <v>7.61</v>
      </c>
      <c r="E33" s="4" t="s">
        <v>184</v>
      </c>
      <c r="F33" s="4" t="s">
        <v>185</v>
      </c>
      <c r="G33" s="4" t="s">
        <v>186</v>
      </c>
      <c r="H33" s="4" t="s">
        <v>187</v>
      </c>
      <c r="I33" s="4">
        <v>0</v>
      </c>
      <c r="J33" s="4">
        <v>962.78</v>
      </c>
      <c r="K33" s="4">
        <f t="shared" si="1"/>
        <v>86.11999999999999</v>
      </c>
      <c r="L33" s="7">
        <f t="shared" si="2"/>
        <v>86.11999999999999</v>
      </c>
      <c r="M33" s="7">
        <f t="shared" si="3"/>
        <v>0</v>
      </c>
      <c r="N33" s="4">
        <v>7.39</v>
      </c>
      <c r="O33" s="4">
        <v>89.04</v>
      </c>
      <c r="P33" s="4">
        <v>82</v>
      </c>
      <c r="Q33" s="4">
        <v>16.7</v>
      </c>
      <c r="R33" s="4">
        <v>10.78</v>
      </c>
      <c r="S33" s="4">
        <v>14.59</v>
      </c>
      <c r="T33" s="4">
        <v>5.54</v>
      </c>
      <c r="U33" s="4">
        <v>5.67</v>
      </c>
      <c r="V33" s="4">
        <v>3492.43</v>
      </c>
      <c r="W33" s="4">
        <v>1033.03</v>
      </c>
      <c r="X33" s="4">
        <v>1170.53</v>
      </c>
      <c r="Y33" s="4">
        <v>726.26</v>
      </c>
      <c r="Z33" s="4">
        <v>16.02</v>
      </c>
      <c r="AA33" s="4">
        <v>1.56</v>
      </c>
      <c r="AB33" s="4">
        <v>4.49</v>
      </c>
      <c r="AC33" s="4">
        <v>66.06</v>
      </c>
      <c r="AD33" s="4">
        <v>490</v>
      </c>
      <c r="AE33" s="4">
        <v>4700</v>
      </c>
      <c r="AF33" s="4">
        <v>77.540000000000006</v>
      </c>
      <c r="AG33" s="4">
        <v>0.47</v>
      </c>
      <c r="AH33" s="4">
        <v>16.61</v>
      </c>
      <c r="AI33" s="4">
        <v>63.18</v>
      </c>
      <c r="AJ33" s="4">
        <v>60</v>
      </c>
      <c r="AK33" s="4">
        <v>9</v>
      </c>
      <c r="AL33" s="4">
        <v>9</v>
      </c>
      <c r="AM33" s="4">
        <v>0.36</v>
      </c>
      <c r="AN33" s="4">
        <v>294</v>
      </c>
      <c r="AO33" s="4">
        <v>297.23</v>
      </c>
      <c r="AP33" s="4">
        <v>413975.6</v>
      </c>
      <c r="AQ33" s="4">
        <v>413975.6</v>
      </c>
      <c r="AR33" s="4" t="s">
        <v>188</v>
      </c>
      <c r="AS33" s="5">
        <f t="shared" si="0"/>
        <v>0</v>
      </c>
    </row>
    <row r="34" spans="1:45" ht="14.25" customHeight="1" x14ac:dyDescent="0.55000000000000004">
      <c r="A34" s="4">
        <v>20.100000000000001</v>
      </c>
      <c r="B34" s="4">
        <v>30.72</v>
      </c>
      <c r="C34" s="4">
        <v>5448.46</v>
      </c>
      <c r="D34" s="4">
        <v>7.6</v>
      </c>
      <c r="E34" s="4" t="s">
        <v>189</v>
      </c>
      <c r="F34" s="4" t="s">
        <v>190</v>
      </c>
      <c r="G34" s="4" t="s">
        <v>90</v>
      </c>
      <c r="H34" s="4" t="s">
        <v>191</v>
      </c>
      <c r="I34" s="4">
        <v>0</v>
      </c>
      <c r="J34" s="4">
        <v>728.3</v>
      </c>
      <c r="K34" s="4">
        <f t="shared" si="1"/>
        <v>61.059999999999995</v>
      </c>
      <c r="L34" s="7">
        <f t="shared" si="2"/>
        <v>70.86</v>
      </c>
      <c r="M34" s="7">
        <f t="shared" si="3"/>
        <v>-9.8000000000000043</v>
      </c>
      <c r="N34" s="4">
        <v>7.22</v>
      </c>
      <c r="O34" s="4">
        <v>89.32</v>
      </c>
      <c r="P34" s="4">
        <v>78</v>
      </c>
      <c r="Q34" s="4">
        <v>16.899999999999999</v>
      </c>
      <c r="R34" s="4">
        <v>10.62</v>
      </c>
      <c r="S34" s="4">
        <v>14.32</v>
      </c>
      <c r="T34" s="4">
        <v>5.78</v>
      </c>
      <c r="U34" s="4">
        <v>7.48</v>
      </c>
      <c r="V34" s="4">
        <v>3487.01</v>
      </c>
      <c r="W34" s="4">
        <v>1038.78</v>
      </c>
      <c r="X34" s="4">
        <v>1251.99</v>
      </c>
      <c r="Y34" s="4">
        <v>745.47</v>
      </c>
      <c r="Z34" s="4">
        <v>5.17</v>
      </c>
      <c r="AA34" s="4">
        <v>1.58</v>
      </c>
      <c r="AB34" s="4">
        <v>4.4400000000000004</v>
      </c>
      <c r="AC34" s="4">
        <v>64.739999999999995</v>
      </c>
      <c r="AD34" s="4">
        <v>490</v>
      </c>
      <c r="AE34" s="4">
        <v>4700</v>
      </c>
      <c r="AF34" s="4">
        <v>76.36</v>
      </c>
      <c r="AG34" s="4">
        <v>0.47</v>
      </c>
      <c r="AH34" s="4">
        <v>11.78</v>
      </c>
      <c r="AI34" s="4">
        <v>28.76</v>
      </c>
      <c r="AJ34" s="4">
        <v>60</v>
      </c>
      <c r="AK34" s="4">
        <v>9</v>
      </c>
      <c r="AL34" s="4">
        <v>9</v>
      </c>
      <c r="AM34" s="4">
        <v>0.79</v>
      </c>
      <c r="AN34" s="4">
        <v>294</v>
      </c>
      <c r="AO34" s="4">
        <v>301.08999999999997</v>
      </c>
      <c r="AP34" s="4">
        <v>358555.42</v>
      </c>
      <c r="AQ34" s="4">
        <v>200121.08</v>
      </c>
      <c r="AR34" s="4" t="s">
        <v>192</v>
      </c>
      <c r="AS34" s="5">
        <f t="shared" si="0"/>
        <v>9.0430559360730598</v>
      </c>
    </row>
    <row r="35" spans="1:45" ht="14.25" customHeight="1" x14ac:dyDescent="0.55000000000000004">
      <c r="A35" s="4">
        <v>21.93</v>
      </c>
      <c r="B35" s="4">
        <v>32.409999999999997</v>
      </c>
      <c r="C35" s="4">
        <v>5393.76</v>
      </c>
      <c r="D35" s="4">
        <v>7.61</v>
      </c>
      <c r="E35" s="4" t="s">
        <v>193</v>
      </c>
      <c r="F35" s="4" t="s">
        <v>74</v>
      </c>
      <c r="G35" s="4" t="s">
        <v>194</v>
      </c>
      <c r="H35" s="4" t="s">
        <v>195</v>
      </c>
      <c r="I35" s="4">
        <v>0</v>
      </c>
      <c r="J35" s="4">
        <v>1051</v>
      </c>
      <c r="K35" s="4">
        <f t="shared" si="1"/>
        <v>96.98</v>
      </c>
      <c r="L35" s="7">
        <f t="shared" si="2"/>
        <v>96.98</v>
      </c>
      <c r="M35" s="7">
        <f t="shared" si="3"/>
        <v>0</v>
      </c>
      <c r="N35" s="4">
        <v>7.43</v>
      </c>
      <c r="O35" s="4">
        <v>89</v>
      </c>
      <c r="P35" s="4">
        <v>78</v>
      </c>
      <c r="Q35" s="4">
        <v>21.6</v>
      </c>
      <c r="R35" s="4">
        <v>10.48</v>
      </c>
      <c r="S35" s="4">
        <v>18.809999999999999</v>
      </c>
      <c r="T35" s="4">
        <v>3.12</v>
      </c>
      <c r="U35" s="4">
        <v>5.13</v>
      </c>
      <c r="V35" s="4">
        <v>3452.01</v>
      </c>
      <c r="W35" s="4">
        <v>1017.61</v>
      </c>
      <c r="X35" s="4">
        <v>1124.0899999999999</v>
      </c>
      <c r="Y35" s="4">
        <v>708.95</v>
      </c>
      <c r="Z35" s="4">
        <v>28.85</v>
      </c>
      <c r="AA35" s="4">
        <v>1.57</v>
      </c>
      <c r="AB35" s="4">
        <v>4.47</v>
      </c>
      <c r="AC35" s="4">
        <v>77.05</v>
      </c>
      <c r="AD35" s="4">
        <v>490</v>
      </c>
      <c r="AE35" s="4">
        <v>4700</v>
      </c>
      <c r="AF35" s="4">
        <v>75.34</v>
      </c>
      <c r="AG35" s="4">
        <v>0.47</v>
      </c>
      <c r="AH35" s="4">
        <v>18.23</v>
      </c>
      <c r="AI35" s="4">
        <v>101.03</v>
      </c>
      <c r="AJ35" s="4">
        <v>60</v>
      </c>
      <c r="AK35" s="4">
        <v>9</v>
      </c>
      <c r="AL35" s="4">
        <v>9</v>
      </c>
      <c r="AM35" s="4">
        <v>0.22</v>
      </c>
      <c r="AN35" s="4">
        <v>294</v>
      </c>
      <c r="AO35" s="4">
        <v>296.02</v>
      </c>
      <c r="AP35" s="4">
        <v>403881.16</v>
      </c>
      <c r="AQ35" s="4">
        <v>403881.16</v>
      </c>
      <c r="AR35" s="4" t="s">
        <v>196</v>
      </c>
      <c r="AS35" s="5">
        <f t="shared" si="0"/>
        <v>0</v>
      </c>
    </row>
    <row r="36" spans="1:45" ht="14.25" customHeight="1" x14ac:dyDescent="0.55000000000000004">
      <c r="A36" s="4">
        <v>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f t="shared" si="1"/>
        <v>0</v>
      </c>
      <c r="L36" s="7">
        <f t="shared" si="2"/>
        <v>0</v>
      </c>
      <c r="M36" s="7">
        <f t="shared" si="3"/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5">
        <f t="shared" si="0"/>
        <v>0</v>
      </c>
    </row>
    <row r="37" spans="1:45" ht="14.25" customHeight="1" x14ac:dyDescent="0.55000000000000004">
      <c r="A37" s="4">
        <v>20.63</v>
      </c>
      <c r="B37" s="4">
        <v>31.44</v>
      </c>
      <c r="C37" s="4">
        <v>5482.06</v>
      </c>
      <c r="D37" s="4">
        <v>7.6</v>
      </c>
      <c r="E37" s="4" t="s">
        <v>197</v>
      </c>
      <c r="F37" s="4" t="s">
        <v>198</v>
      </c>
      <c r="G37" s="4" t="s">
        <v>199</v>
      </c>
      <c r="H37" s="4" t="s">
        <v>200</v>
      </c>
      <c r="I37" s="4">
        <v>0</v>
      </c>
      <c r="J37" s="4">
        <v>525.32000000000005</v>
      </c>
      <c r="K37" s="4">
        <f t="shared" si="1"/>
        <v>49.03</v>
      </c>
      <c r="L37" s="7">
        <f t="shared" si="2"/>
        <v>55.59</v>
      </c>
      <c r="M37" s="7">
        <f t="shared" si="3"/>
        <v>-6.5600000000000023</v>
      </c>
      <c r="N37" s="4">
        <v>7.08</v>
      </c>
      <c r="O37" s="4">
        <v>89.29</v>
      </c>
      <c r="P37" s="4">
        <v>87</v>
      </c>
      <c r="Q37" s="4">
        <v>17</v>
      </c>
      <c r="R37" s="4">
        <v>10.81</v>
      </c>
      <c r="S37" s="4">
        <v>15.46</v>
      </c>
      <c r="T37" s="4">
        <v>5.16</v>
      </c>
      <c r="U37" s="4">
        <v>10.44</v>
      </c>
      <c r="V37" s="4">
        <v>3508.52</v>
      </c>
      <c r="W37" s="4">
        <v>1057.8499999999999</v>
      </c>
      <c r="X37" s="4">
        <v>1399.42</v>
      </c>
      <c r="Y37" s="4">
        <v>784.69</v>
      </c>
      <c r="Z37" s="4">
        <v>5.73</v>
      </c>
      <c r="AA37" s="4">
        <v>1.64</v>
      </c>
      <c r="AB37" s="4">
        <v>4.32</v>
      </c>
      <c r="AC37" s="4">
        <v>67.69</v>
      </c>
      <c r="AD37" s="4">
        <v>490</v>
      </c>
      <c r="AE37" s="4">
        <v>4700</v>
      </c>
      <c r="AF37" s="4">
        <v>77.739999999999995</v>
      </c>
      <c r="AG37" s="4">
        <v>0.47</v>
      </c>
      <c r="AH37" s="4">
        <v>8.24</v>
      </c>
      <c r="AI37" s="4">
        <v>39.700000000000003</v>
      </c>
      <c r="AJ37" s="4">
        <v>60</v>
      </c>
      <c r="AK37" s="4">
        <v>9</v>
      </c>
      <c r="AL37" s="4">
        <v>9</v>
      </c>
      <c r="AM37" s="4">
        <v>0.56999999999999995</v>
      </c>
      <c r="AN37" s="4">
        <v>294</v>
      </c>
      <c r="AO37" s="4">
        <v>299.13</v>
      </c>
      <c r="AP37" s="4">
        <v>347449.26</v>
      </c>
      <c r="AQ37" s="4">
        <v>165084.06</v>
      </c>
      <c r="AR37" s="4" t="s">
        <v>201</v>
      </c>
      <c r="AS37" s="5">
        <f t="shared" si="0"/>
        <v>10.408972602739727</v>
      </c>
    </row>
    <row r="38" spans="1:45" ht="14.25" customHeight="1" x14ac:dyDescent="0.55000000000000004">
      <c r="A38" s="4">
        <v>19.25</v>
      </c>
      <c r="B38" s="4">
        <v>30.36</v>
      </c>
      <c r="C38" s="4">
        <v>5498.05</v>
      </c>
      <c r="D38" s="4">
        <v>7.6</v>
      </c>
      <c r="E38" s="4" t="s">
        <v>202</v>
      </c>
      <c r="F38" s="4" t="s">
        <v>203</v>
      </c>
      <c r="G38" s="4" t="s">
        <v>204</v>
      </c>
      <c r="H38" s="4" t="s">
        <v>205</v>
      </c>
      <c r="I38" s="4">
        <v>0</v>
      </c>
      <c r="J38" s="4">
        <v>979.17</v>
      </c>
      <c r="K38" s="4">
        <f t="shared" si="1"/>
        <v>85.690000000000012</v>
      </c>
      <c r="L38" s="7">
        <f t="shared" si="2"/>
        <v>95.800000000000011</v>
      </c>
      <c r="M38" s="7">
        <f t="shared" si="3"/>
        <v>-10.11</v>
      </c>
      <c r="N38" s="4">
        <v>7.38</v>
      </c>
      <c r="O38" s="4">
        <v>88.85</v>
      </c>
      <c r="P38" s="4">
        <v>84</v>
      </c>
      <c r="Q38" s="4">
        <v>16.5</v>
      </c>
      <c r="R38" s="4">
        <v>11.11</v>
      </c>
      <c r="S38" s="4">
        <v>14.63</v>
      </c>
      <c r="T38" s="4">
        <v>4.62</v>
      </c>
      <c r="U38" s="4">
        <v>5.62</v>
      </c>
      <c r="V38" s="4">
        <v>3518.75</v>
      </c>
      <c r="W38" s="4">
        <v>1039.1199999999999</v>
      </c>
      <c r="X38" s="4">
        <v>1165.4000000000001</v>
      </c>
      <c r="Y38" s="4">
        <v>727.59</v>
      </c>
      <c r="Z38" s="4">
        <v>5.37</v>
      </c>
      <c r="AA38" s="4">
        <v>1.53</v>
      </c>
      <c r="AB38" s="4">
        <v>4.54</v>
      </c>
      <c r="AC38" s="4">
        <v>70.63</v>
      </c>
      <c r="AD38" s="4">
        <v>490</v>
      </c>
      <c r="AE38" s="4">
        <v>4700</v>
      </c>
      <c r="AF38" s="4">
        <v>79.88</v>
      </c>
      <c r="AG38" s="4">
        <v>0.47</v>
      </c>
      <c r="AH38" s="4">
        <v>17.309999999999999</v>
      </c>
      <c r="AI38" s="4">
        <v>21.27</v>
      </c>
      <c r="AJ38" s="4">
        <v>60</v>
      </c>
      <c r="AK38" s="4">
        <v>9</v>
      </c>
      <c r="AL38" s="4">
        <v>9</v>
      </c>
      <c r="AM38" s="4">
        <v>1.06</v>
      </c>
      <c r="AN38" s="4">
        <v>294</v>
      </c>
      <c r="AO38" s="4">
        <v>303.58</v>
      </c>
      <c r="AP38" s="4">
        <v>418888.97</v>
      </c>
      <c r="AQ38" s="4">
        <v>323718.05</v>
      </c>
      <c r="AR38" s="4" t="s">
        <v>206</v>
      </c>
      <c r="AS38" s="5">
        <f t="shared" si="0"/>
        <v>5.4321301369863004</v>
      </c>
    </row>
    <row r="39" spans="1:45" ht="14.25" customHeight="1" x14ac:dyDescent="0.55000000000000004">
      <c r="A39" s="4">
        <v>20.32</v>
      </c>
      <c r="B39" s="4">
        <v>31.55</v>
      </c>
      <c r="C39" s="4">
        <v>5546.05</v>
      </c>
      <c r="D39" s="4">
        <v>7.59</v>
      </c>
      <c r="E39" s="4" t="s">
        <v>207</v>
      </c>
      <c r="F39" s="4" t="s">
        <v>208</v>
      </c>
      <c r="G39" s="4" t="s">
        <v>209</v>
      </c>
      <c r="H39" s="4" t="s">
        <v>210</v>
      </c>
      <c r="I39" s="4">
        <v>0</v>
      </c>
      <c r="J39" s="4">
        <v>420.06</v>
      </c>
      <c r="K39" s="4">
        <f t="shared" si="1"/>
        <v>43.6</v>
      </c>
      <c r="L39" s="7">
        <f t="shared" si="2"/>
        <v>46.660000000000004</v>
      </c>
      <c r="M39" s="7">
        <f t="shared" si="3"/>
        <v>-3.0600000000000023</v>
      </c>
      <c r="N39" s="4">
        <v>6.98</v>
      </c>
      <c r="O39" s="4">
        <v>88.17</v>
      </c>
      <c r="P39" s="4">
        <v>86</v>
      </c>
      <c r="Q39" s="4">
        <v>16</v>
      </c>
      <c r="R39" s="4">
        <v>11.22</v>
      </c>
      <c r="S39" s="4">
        <v>14.37</v>
      </c>
      <c r="T39" s="4">
        <v>5.95</v>
      </c>
      <c r="U39" s="4">
        <v>13.2</v>
      </c>
      <c r="V39" s="4">
        <v>3549.47</v>
      </c>
      <c r="W39" s="4">
        <v>1078.26</v>
      </c>
      <c r="X39" s="4">
        <v>1517.69</v>
      </c>
      <c r="Y39" s="4">
        <v>817.29</v>
      </c>
      <c r="Z39" s="4">
        <v>6.07</v>
      </c>
      <c r="AA39" s="4">
        <v>1.67</v>
      </c>
      <c r="AB39" s="4">
        <v>4.25</v>
      </c>
      <c r="AC39" s="4">
        <v>65.349999999999994</v>
      </c>
      <c r="AD39" s="4">
        <v>490</v>
      </c>
      <c r="AE39" s="4">
        <v>4700</v>
      </c>
      <c r="AF39" s="4">
        <v>80.7</v>
      </c>
      <c r="AG39" s="4">
        <v>0.47</v>
      </c>
      <c r="AH39" s="4">
        <v>6.61</v>
      </c>
      <c r="AI39" s="4">
        <v>47.3</v>
      </c>
      <c r="AJ39" s="4">
        <v>60</v>
      </c>
      <c r="AK39" s="4">
        <v>9</v>
      </c>
      <c r="AL39" s="4">
        <v>9</v>
      </c>
      <c r="AM39" s="4">
        <v>0.48</v>
      </c>
      <c r="AN39" s="4">
        <v>294</v>
      </c>
      <c r="AO39" s="4">
        <v>298.31</v>
      </c>
      <c r="AP39" s="4">
        <v>364186</v>
      </c>
      <c r="AQ39" s="4">
        <v>128759.89</v>
      </c>
      <c r="AR39" s="4" t="s">
        <v>211</v>
      </c>
      <c r="AS39" s="5">
        <f t="shared" si="0"/>
        <v>13.437563356164382</v>
      </c>
    </row>
    <row r="40" spans="1:45" ht="14.25" customHeight="1" x14ac:dyDescent="0.55000000000000004">
      <c r="A40" s="4">
        <v>21.57</v>
      </c>
      <c r="B40" s="4">
        <v>32.369999999999997</v>
      </c>
      <c r="C40" s="4">
        <v>5492.61</v>
      </c>
      <c r="D40" s="4">
        <v>7.6</v>
      </c>
      <c r="E40" s="4" t="s">
        <v>212</v>
      </c>
      <c r="F40" s="4" t="s">
        <v>213</v>
      </c>
      <c r="G40" s="4" t="s">
        <v>214</v>
      </c>
      <c r="H40" s="4" t="s">
        <v>215</v>
      </c>
      <c r="I40" s="4">
        <v>0</v>
      </c>
      <c r="J40" s="4">
        <v>932.13</v>
      </c>
      <c r="K40" s="4">
        <f t="shared" si="1"/>
        <v>78.2</v>
      </c>
      <c r="L40" s="7">
        <f t="shared" si="2"/>
        <v>85.83</v>
      </c>
      <c r="M40" s="7">
        <f t="shared" si="3"/>
        <v>-7.6299999999999955</v>
      </c>
      <c r="N40" s="4">
        <v>7.34</v>
      </c>
      <c r="O40" s="4">
        <v>88.56</v>
      </c>
      <c r="P40" s="4">
        <v>74</v>
      </c>
      <c r="Q40" s="4">
        <v>21.5</v>
      </c>
      <c r="R40" s="4">
        <v>10.8</v>
      </c>
      <c r="S40" s="4">
        <v>18.2</v>
      </c>
      <c r="T40" s="4">
        <v>3.38</v>
      </c>
      <c r="U40" s="4">
        <v>5.89</v>
      </c>
      <c r="V40" s="4">
        <v>3515.27</v>
      </c>
      <c r="W40" s="4">
        <v>1038.67</v>
      </c>
      <c r="X40" s="4">
        <v>1173.1199999999999</v>
      </c>
      <c r="Y40" s="4">
        <v>728.73</v>
      </c>
      <c r="Z40" s="4">
        <v>5.47</v>
      </c>
      <c r="AA40" s="4">
        <v>1.58</v>
      </c>
      <c r="AB40" s="4">
        <v>4.4400000000000004</v>
      </c>
      <c r="AC40" s="4">
        <v>76.17</v>
      </c>
      <c r="AD40" s="4">
        <v>490</v>
      </c>
      <c r="AE40" s="4">
        <v>4700</v>
      </c>
      <c r="AF40" s="4">
        <v>77.64</v>
      </c>
      <c r="AG40" s="4">
        <v>0.47</v>
      </c>
      <c r="AH40" s="4">
        <v>15.87</v>
      </c>
      <c r="AI40" s="4">
        <v>23.74</v>
      </c>
      <c r="AJ40" s="4">
        <v>60</v>
      </c>
      <c r="AK40" s="4">
        <v>9</v>
      </c>
      <c r="AL40" s="4">
        <v>9</v>
      </c>
      <c r="AM40" s="4">
        <v>0.95</v>
      </c>
      <c r="AN40" s="4">
        <v>294</v>
      </c>
      <c r="AO40" s="4">
        <v>302.58</v>
      </c>
      <c r="AP40" s="4">
        <v>420431.5</v>
      </c>
      <c r="AQ40" s="4">
        <v>284501.17</v>
      </c>
      <c r="AR40" s="4" t="s">
        <v>216</v>
      </c>
      <c r="AS40" s="5">
        <f t="shared" si="0"/>
        <v>7.7585804794520561</v>
      </c>
    </row>
    <row r="41" spans="1:45" ht="14.25" customHeight="1" x14ac:dyDescent="0.55000000000000004">
      <c r="A41" s="4">
        <v>21.56</v>
      </c>
      <c r="B41" s="4">
        <v>32.4</v>
      </c>
      <c r="C41" s="4">
        <v>5464.51</v>
      </c>
      <c r="D41" s="4">
        <v>7.61</v>
      </c>
      <c r="E41" s="4" t="s">
        <v>217</v>
      </c>
      <c r="F41" s="4" t="s">
        <v>218</v>
      </c>
      <c r="G41" s="4" t="s">
        <v>219</v>
      </c>
      <c r="H41" s="4" t="s">
        <v>220</v>
      </c>
      <c r="I41" s="4">
        <v>0</v>
      </c>
      <c r="J41" s="4">
        <v>1002.83</v>
      </c>
      <c r="K41" s="4">
        <f t="shared" si="1"/>
        <v>89.49</v>
      </c>
      <c r="L41" s="7">
        <f t="shared" si="2"/>
        <v>100.36999999999999</v>
      </c>
      <c r="M41" s="7">
        <f t="shared" si="3"/>
        <v>-10.879999999999995</v>
      </c>
      <c r="N41" s="4">
        <v>7.4</v>
      </c>
      <c r="O41" s="4">
        <v>88.28</v>
      </c>
      <c r="P41" s="4">
        <v>77</v>
      </c>
      <c r="Q41" s="4">
        <v>21.4</v>
      </c>
      <c r="R41" s="4">
        <v>10.84</v>
      </c>
      <c r="S41" s="4">
        <v>18.489999999999998</v>
      </c>
      <c r="T41" s="4">
        <v>3.07</v>
      </c>
      <c r="U41" s="4">
        <v>5.45</v>
      </c>
      <c r="V41" s="4">
        <v>3497.29</v>
      </c>
      <c r="W41" s="4">
        <v>1032.29</v>
      </c>
      <c r="X41" s="4">
        <v>1152.6099999999999</v>
      </c>
      <c r="Y41" s="4">
        <v>721.8</v>
      </c>
      <c r="Z41" s="4">
        <v>5.35</v>
      </c>
      <c r="AA41" s="4">
        <v>1.58</v>
      </c>
      <c r="AB41" s="4">
        <v>4.46</v>
      </c>
      <c r="AC41" s="4">
        <v>77.930000000000007</v>
      </c>
      <c r="AD41" s="4">
        <v>490</v>
      </c>
      <c r="AE41" s="4">
        <v>4700</v>
      </c>
      <c r="AF41" s="4">
        <v>77.94</v>
      </c>
      <c r="AG41" s="4">
        <v>0.47</v>
      </c>
      <c r="AH41" s="4">
        <v>17.52</v>
      </c>
      <c r="AI41" s="4">
        <v>20.3</v>
      </c>
      <c r="AJ41" s="4">
        <v>60</v>
      </c>
      <c r="AK41" s="4">
        <v>9</v>
      </c>
      <c r="AL41" s="4">
        <v>9</v>
      </c>
      <c r="AM41" s="4">
        <v>1.1200000000000001</v>
      </c>
      <c r="AN41" s="4">
        <v>294</v>
      </c>
      <c r="AO41" s="4">
        <v>304.04000000000002</v>
      </c>
      <c r="AP41" s="4">
        <v>422294.12</v>
      </c>
      <c r="AQ41" s="4">
        <v>343915.21</v>
      </c>
      <c r="AR41" s="4" t="s">
        <v>221</v>
      </c>
      <c r="AS41" s="5">
        <f t="shared" si="0"/>
        <v>4.4736820776255692</v>
      </c>
    </row>
    <row r="42" spans="1:45" ht="14.25" customHeight="1" x14ac:dyDescent="0.55000000000000004">
      <c r="A42" s="4">
        <v>19.91</v>
      </c>
      <c r="B42" s="4">
        <v>31.16</v>
      </c>
      <c r="C42" s="4">
        <v>5543.27</v>
      </c>
      <c r="D42" s="4">
        <v>7.59</v>
      </c>
      <c r="E42" s="4" t="s">
        <v>222</v>
      </c>
      <c r="F42" s="4" t="s">
        <v>223</v>
      </c>
      <c r="G42" s="4" t="s">
        <v>224</v>
      </c>
      <c r="H42" s="4" t="s">
        <v>225</v>
      </c>
      <c r="I42" s="4">
        <v>0</v>
      </c>
      <c r="J42" s="4">
        <v>685.57</v>
      </c>
      <c r="K42" s="4">
        <f t="shared" si="1"/>
        <v>57.76</v>
      </c>
      <c r="L42" s="7">
        <f t="shared" si="2"/>
        <v>64.52</v>
      </c>
      <c r="M42" s="7">
        <f t="shared" si="3"/>
        <v>-6.759999999999998</v>
      </c>
      <c r="N42" s="4">
        <v>7.18</v>
      </c>
      <c r="O42" s="4">
        <v>88.38</v>
      </c>
      <c r="P42" s="4">
        <v>86</v>
      </c>
      <c r="Q42" s="4">
        <v>16.5</v>
      </c>
      <c r="R42" s="4">
        <v>11.26</v>
      </c>
      <c r="S42" s="4">
        <v>14.86</v>
      </c>
      <c r="T42" s="4">
        <v>5.05</v>
      </c>
      <c r="U42" s="4">
        <v>8.09</v>
      </c>
      <c r="V42" s="4">
        <v>3547.69</v>
      </c>
      <c r="W42" s="4">
        <v>1058.23</v>
      </c>
      <c r="X42" s="4">
        <v>1291.52</v>
      </c>
      <c r="Y42" s="4">
        <v>762.47</v>
      </c>
      <c r="Z42" s="4">
        <v>5.37</v>
      </c>
      <c r="AA42" s="4">
        <v>1.58</v>
      </c>
      <c r="AB42" s="4">
        <v>4.42</v>
      </c>
      <c r="AC42" s="4">
        <v>69.05</v>
      </c>
      <c r="AD42" s="4">
        <v>490</v>
      </c>
      <c r="AE42" s="4">
        <v>4700</v>
      </c>
      <c r="AF42" s="4">
        <v>80.959999999999994</v>
      </c>
      <c r="AG42" s="4">
        <v>0.47</v>
      </c>
      <c r="AH42" s="4">
        <v>11.43</v>
      </c>
      <c r="AI42" s="4">
        <v>31.58</v>
      </c>
      <c r="AJ42" s="4">
        <v>60</v>
      </c>
      <c r="AK42" s="4">
        <v>9</v>
      </c>
      <c r="AL42" s="4">
        <v>9</v>
      </c>
      <c r="AM42" s="4">
        <v>0.72</v>
      </c>
      <c r="AN42" s="4">
        <v>294</v>
      </c>
      <c r="AO42" s="4">
        <v>300.45</v>
      </c>
      <c r="AP42" s="4">
        <v>376598.19</v>
      </c>
      <c r="AQ42" s="4">
        <v>175346.21</v>
      </c>
      <c r="AR42" s="4" t="s">
        <v>226</v>
      </c>
      <c r="AS42" s="5">
        <f t="shared" si="0"/>
        <v>11.486985159817353</v>
      </c>
    </row>
    <row r="43" spans="1:45" ht="14.25" customHeight="1" x14ac:dyDescent="0.55000000000000004">
      <c r="A43" s="4">
        <v>21.85</v>
      </c>
      <c r="B43" s="4">
        <v>32.1</v>
      </c>
      <c r="C43" s="4">
        <v>5410.46</v>
      </c>
      <c r="D43" s="4">
        <v>7.6</v>
      </c>
      <c r="E43" s="4" t="s">
        <v>227</v>
      </c>
      <c r="F43" s="4" t="s">
        <v>228</v>
      </c>
      <c r="G43" s="4" t="s">
        <v>229</v>
      </c>
      <c r="H43" s="4" t="s">
        <v>230</v>
      </c>
      <c r="I43" s="4">
        <v>0</v>
      </c>
      <c r="J43" s="4">
        <v>800.59</v>
      </c>
      <c r="K43" s="4">
        <f t="shared" si="1"/>
        <v>64.510000000000005</v>
      </c>
      <c r="L43" s="7">
        <f t="shared" si="2"/>
        <v>75.009999999999991</v>
      </c>
      <c r="M43" s="7">
        <f t="shared" si="3"/>
        <v>-10.499999999999986</v>
      </c>
      <c r="N43" s="4">
        <v>7.24</v>
      </c>
      <c r="O43" s="4">
        <v>89.35</v>
      </c>
      <c r="P43" s="4">
        <v>63</v>
      </c>
      <c r="Q43" s="4">
        <v>23.1</v>
      </c>
      <c r="R43" s="4">
        <v>10.25</v>
      </c>
      <c r="S43" s="4">
        <v>18.21</v>
      </c>
      <c r="T43" s="4">
        <v>3.64</v>
      </c>
      <c r="U43" s="4">
        <v>6.76</v>
      </c>
      <c r="V43" s="4">
        <v>3462.69</v>
      </c>
      <c r="W43" s="4">
        <v>1026.05</v>
      </c>
      <c r="X43" s="4">
        <v>1192.3499999999999</v>
      </c>
      <c r="Y43" s="4">
        <v>726.29</v>
      </c>
      <c r="Z43" s="4">
        <v>5.16</v>
      </c>
      <c r="AA43" s="4">
        <v>1.59</v>
      </c>
      <c r="AB43" s="4">
        <v>4.43</v>
      </c>
      <c r="AC43" s="4">
        <v>73.790000000000006</v>
      </c>
      <c r="AD43" s="4">
        <v>490</v>
      </c>
      <c r="AE43" s="4">
        <v>4700</v>
      </c>
      <c r="AF43" s="4">
        <v>73.709999999999994</v>
      </c>
      <c r="AG43" s="4">
        <v>0.47</v>
      </c>
      <c r="AH43" s="4">
        <v>12.8</v>
      </c>
      <c r="AI43" s="4">
        <v>27.16</v>
      </c>
      <c r="AJ43" s="4">
        <v>60</v>
      </c>
      <c r="AK43" s="4">
        <v>9</v>
      </c>
      <c r="AL43" s="4">
        <v>9</v>
      </c>
      <c r="AM43" s="4">
        <v>0.83</v>
      </c>
      <c r="AN43" s="4">
        <v>294</v>
      </c>
      <c r="AO43" s="4">
        <v>301.5</v>
      </c>
      <c r="AP43" s="4">
        <v>363568.98</v>
      </c>
      <c r="AQ43" s="4">
        <v>238536.3</v>
      </c>
      <c r="AR43" s="4" t="s">
        <v>231</v>
      </c>
      <c r="AS43" s="5">
        <f t="shared" si="0"/>
        <v>7.1365684931506843</v>
      </c>
    </row>
    <row r="44" spans="1:45" ht="14.25" customHeight="1" x14ac:dyDescent="0.55000000000000004">
      <c r="A44" s="4">
        <v>20.76</v>
      </c>
      <c r="B44" s="4">
        <v>31.68</v>
      </c>
      <c r="C44" s="4">
        <v>5513.36</v>
      </c>
      <c r="D44" s="4">
        <v>7.6</v>
      </c>
      <c r="E44" s="4" t="s">
        <v>232</v>
      </c>
      <c r="F44" s="4" t="s">
        <v>233</v>
      </c>
      <c r="G44" s="4" t="s">
        <v>234</v>
      </c>
      <c r="H44" s="4" t="s">
        <v>235</v>
      </c>
      <c r="I44" s="4">
        <v>0</v>
      </c>
      <c r="J44" s="4">
        <v>416.9</v>
      </c>
      <c r="K44" s="4">
        <f t="shared" si="1"/>
        <v>44.67</v>
      </c>
      <c r="L44" s="7">
        <f t="shared" si="2"/>
        <v>50.22</v>
      </c>
      <c r="M44" s="7">
        <f t="shared" si="3"/>
        <v>-5.5499999999999972</v>
      </c>
      <c r="N44" s="4">
        <v>7</v>
      </c>
      <c r="O44" s="4">
        <v>89.29</v>
      </c>
      <c r="P44" s="4">
        <v>86</v>
      </c>
      <c r="Q44" s="4">
        <v>17.3</v>
      </c>
      <c r="R44" s="4">
        <v>10.92</v>
      </c>
      <c r="S44" s="4">
        <v>15.64</v>
      </c>
      <c r="T44" s="4">
        <v>5.12</v>
      </c>
      <c r="U44" s="4">
        <v>13.22</v>
      </c>
      <c r="V44" s="4">
        <v>3528.55</v>
      </c>
      <c r="W44" s="4">
        <v>1076.29</v>
      </c>
      <c r="X44" s="4">
        <v>1542.23</v>
      </c>
      <c r="Y44" s="4">
        <v>822.86</v>
      </c>
      <c r="Z44" s="4">
        <v>5.78</v>
      </c>
      <c r="AA44" s="4">
        <v>1.7</v>
      </c>
      <c r="AB44" s="4">
        <v>4.21</v>
      </c>
      <c r="AC44" s="4">
        <v>68.069999999999993</v>
      </c>
      <c r="AD44" s="4">
        <v>490</v>
      </c>
      <c r="AE44" s="4">
        <v>4700</v>
      </c>
      <c r="AF44" s="4">
        <v>78.53</v>
      </c>
      <c r="AG44" s="4">
        <v>0.47</v>
      </c>
      <c r="AH44" s="4">
        <v>6.42</v>
      </c>
      <c r="AI44" s="4">
        <v>43.95</v>
      </c>
      <c r="AJ44" s="4">
        <v>60</v>
      </c>
      <c r="AK44" s="4">
        <v>9</v>
      </c>
      <c r="AL44" s="4">
        <v>9</v>
      </c>
      <c r="AM44" s="4">
        <v>0.52</v>
      </c>
      <c r="AN44" s="4">
        <v>294</v>
      </c>
      <c r="AO44" s="4">
        <v>298.64</v>
      </c>
      <c r="AP44" s="4">
        <v>346184.93</v>
      </c>
      <c r="AQ44" s="4">
        <v>135461.28</v>
      </c>
      <c r="AR44" s="4" t="s">
        <v>236</v>
      </c>
      <c r="AS44" s="5">
        <f t="shared" si="0"/>
        <v>12.027605593607305</v>
      </c>
    </row>
    <row r="45" spans="1:45" ht="14.25" customHeight="1" x14ac:dyDescent="0.55000000000000004">
      <c r="A45" s="4">
        <v>19.989999999999998</v>
      </c>
      <c r="B45" s="4">
        <v>30.7</v>
      </c>
      <c r="C45" s="4">
        <v>5439.17</v>
      </c>
      <c r="D45" s="4">
        <v>7.61</v>
      </c>
      <c r="E45" s="4" t="s">
        <v>237</v>
      </c>
      <c r="F45" s="4" t="s">
        <v>238</v>
      </c>
      <c r="G45" s="4" t="s">
        <v>239</v>
      </c>
      <c r="H45" s="4" t="s">
        <v>240</v>
      </c>
      <c r="I45" s="4">
        <v>0</v>
      </c>
      <c r="J45" s="4">
        <v>833.51</v>
      </c>
      <c r="K45" s="4">
        <f t="shared" si="1"/>
        <v>70.13</v>
      </c>
      <c r="L45" s="7">
        <f t="shared" si="2"/>
        <v>78.91</v>
      </c>
      <c r="M45" s="7">
        <f t="shared" si="3"/>
        <v>-8.7800000000000011</v>
      </c>
      <c r="N45" s="4">
        <v>7.29</v>
      </c>
      <c r="O45" s="4">
        <v>89.29</v>
      </c>
      <c r="P45" s="4">
        <v>77</v>
      </c>
      <c r="Q45" s="4">
        <v>17</v>
      </c>
      <c r="R45" s="4">
        <v>10.71</v>
      </c>
      <c r="S45" s="4">
        <v>14.3</v>
      </c>
      <c r="T45" s="4">
        <v>5.69</v>
      </c>
      <c r="U45" s="4">
        <v>6.53</v>
      </c>
      <c r="V45" s="4">
        <v>3481.07</v>
      </c>
      <c r="W45" s="4">
        <v>1033.03</v>
      </c>
      <c r="X45" s="4">
        <v>1205.48</v>
      </c>
      <c r="Y45" s="4">
        <v>733.26</v>
      </c>
      <c r="Z45" s="4">
        <v>5.78</v>
      </c>
      <c r="AA45" s="4">
        <v>1.56</v>
      </c>
      <c r="AB45" s="4">
        <v>4.4800000000000004</v>
      </c>
      <c r="AC45" s="4">
        <v>65.31</v>
      </c>
      <c r="AD45" s="4">
        <v>490</v>
      </c>
      <c r="AE45" s="4">
        <v>4700</v>
      </c>
      <c r="AF45" s="4">
        <v>77.040000000000006</v>
      </c>
      <c r="AG45" s="4">
        <v>0.47</v>
      </c>
      <c r="AH45" s="4">
        <v>13.94</v>
      </c>
      <c r="AI45" s="4">
        <v>27.97</v>
      </c>
      <c r="AJ45" s="4">
        <v>60</v>
      </c>
      <c r="AK45" s="4">
        <v>9</v>
      </c>
      <c r="AL45" s="4">
        <v>9</v>
      </c>
      <c r="AM45" s="4">
        <v>0.81</v>
      </c>
      <c r="AN45" s="4">
        <v>294</v>
      </c>
      <c r="AO45" s="4">
        <v>301.27999999999997</v>
      </c>
      <c r="AP45" s="4">
        <v>380401.67</v>
      </c>
      <c r="AQ45" s="4">
        <v>284886.05</v>
      </c>
      <c r="AR45" s="4" t="s">
        <v>241</v>
      </c>
      <c r="AS45" s="5">
        <f t="shared" si="0"/>
        <v>5.4518047945205481</v>
      </c>
    </row>
    <row r="46" spans="1:45" ht="14.25" customHeight="1" x14ac:dyDescent="0.55000000000000004">
      <c r="A46" s="4">
        <v>19.440000000000001</v>
      </c>
      <c r="B46" s="4">
        <v>31.04</v>
      </c>
      <c r="C46" s="4">
        <v>5523.06</v>
      </c>
      <c r="D46" s="4">
        <v>7.59</v>
      </c>
      <c r="E46" s="4" t="s">
        <v>242</v>
      </c>
      <c r="F46" s="4" t="s">
        <v>243</v>
      </c>
      <c r="G46" s="4" t="s">
        <v>129</v>
      </c>
      <c r="H46" s="4" t="s">
        <v>244</v>
      </c>
      <c r="I46" s="4">
        <v>0</v>
      </c>
      <c r="J46" s="4">
        <v>914.33</v>
      </c>
      <c r="K46" s="4">
        <f t="shared" si="1"/>
        <v>78.949999999999989</v>
      </c>
      <c r="L46" s="7">
        <f t="shared" si="2"/>
        <v>88.17</v>
      </c>
      <c r="M46" s="7">
        <f t="shared" si="3"/>
        <v>-9.2200000000000131</v>
      </c>
      <c r="N46" s="4">
        <v>7.35</v>
      </c>
      <c r="O46" s="4">
        <v>88.1</v>
      </c>
      <c r="P46" s="4">
        <v>86</v>
      </c>
      <c r="Q46" s="4">
        <v>16</v>
      </c>
      <c r="R46" s="4">
        <v>11.61</v>
      </c>
      <c r="S46" s="4">
        <v>14.37</v>
      </c>
      <c r="T46" s="4">
        <v>5.0599999999999996</v>
      </c>
      <c r="U46" s="4">
        <v>6.04</v>
      </c>
      <c r="V46" s="4">
        <v>3534.76</v>
      </c>
      <c r="W46" s="4">
        <v>1046.33</v>
      </c>
      <c r="X46" s="4">
        <v>1195.3</v>
      </c>
      <c r="Y46" s="4">
        <v>737.39</v>
      </c>
      <c r="Z46" s="4">
        <v>5.37</v>
      </c>
      <c r="AA46" s="4">
        <v>1.54</v>
      </c>
      <c r="AB46" s="4">
        <v>4.51</v>
      </c>
      <c r="AC46" s="4">
        <v>69.62</v>
      </c>
      <c r="AD46" s="4">
        <v>490</v>
      </c>
      <c r="AE46" s="4">
        <v>4700</v>
      </c>
      <c r="AF46" s="4">
        <v>83.46</v>
      </c>
      <c r="AG46" s="4">
        <v>0.47</v>
      </c>
      <c r="AH46" s="4">
        <v>16.559999999999999</v>
      </c>
      <c r="AI46" s="4">
        <v>23.11</v>
      </c>
      <c r="AJ46" s="4">
        <v>60</v>
      </c>
      <c r="AK46" s="4">
        <v>9</v>
      </c>
      <c r="AL46" s="4">
        <v>9</v>
      </c>
      <c r="AM46" s="4">
        <v>0.98</v>
      </c>
      <c r="AN46" s="4">
        <v>294</v>
      </c>
      <c r="AO46" s="4">
        <v>302.82</v>
      </c>
      <c r="AP46" s="4">
        <v>410227.83</v>
      </c>
      <c r="AQ46" s="4">
        <v>279026.73</v>
      </c>
      <c r="AR46" s="4" t="s">
        <v>245</v>
      </c>
      <c r="AS46" s="5">
        <f t="shared" si="0"/>
        <v>7.4886472602739742</v>
      </c>
    </row>
    <row r="47" spans="1:45" ht="14.25" customHeight="1" x14ac:dyDescent="0.55000000000000004">
      <c r="A47" s="4">
        <v>21.7</v>
      </c>
      <c r="B47" s="4">
        <v>32</v>
      </c>
      <c r="C47" s="4">
        <v>5429.94</v>
      </c>
      <c r="D47" s="4">
        <v>7.6</v>
      </c>
      <c r="E47" s="4" t="s">
        <v>246</v>
      </c>
      <c r="F47" s="4" t="s">
        <v>247</v>
      </c>
      <c r="G47" s="4" t="s">
        <v>248</v>
      </c>
      <c r="H47" s="4" t="s">
        <v>249</v>
      </c>
      <c r="I47" s="4">
        <v>0</v>
      </c>
      <c r="J47" s="4">
        <v>505.41</v>
      </c>
      <c r="K47" s="4">
        <f t="shared" si="1"/>
        <v>45.92</v>
      </c>
      <c r="L47" s="7">
        <f t="shared" si="2"/>
        <v>52.709999999999994</v>
      </c>
      <c r="M47" s="7">
        <f t="shared" si="3"/>
        <v>-6.789999999999992</v>
      </c>
      <c r="N47" s="4">
        <v>7.03</v>
      </c>
      <c r="O47" s="4">
        <v>90.26</v>
      </c>
      <c r="P47" s="4">
        <v>61</v>
      </c>
      <c r="Q47" s="4">
        <v>23</v>
      </c>
      <c r="R47" s="4">
        <v>10.3</v>
      </c>
      <c r="S47" s="4">
        <v>17.84</v>
      </c>
      <c r="T47" s="4">
        <v>3.85</v>
      </c>
      <c r="U47" s="4">
        <v>10.74</v>
      </c>
      <c r="V47" s="4">
        <v>3475.16</v>
      </c>
      <c r="W47" s="4">
        <v>1044.24</v>
      </c>
      <c r="X47" s="4">
        <v>1366.91</v>
      </c>
      <c r="Y47" s="4">
        <v>769.65</v>
      </c>
      <c r="Z47" s="4">
        <v>5.23</v>
      </c>
      <c r="AA47" s="4">
        <v>1.65</v>
      </c>
      <c r="AB47" s="4">
        <v>4.3099999999999996</v>
      </c>
      <c r="AC47" s="4">
        <v>72.77</v>
      </c>
      <c r="AD47" s="4">
        <v>490</v>
      </c>
      <c r="AE47" s="4">
        <v>4700</v>
      </c>
      <c r="AF47" s="4">
        <v>74.06</v>
      </c>
      <c r="AG47" s="4">
        <v>0.47</v>
      </c>
      <c r="AH47" s="4">
        <v>7.6</v>
      </c>
      <c r="AI47" s="4">
        <v>38.65</v>
      </c>
      <c r="AJ47" s="4">
        <v>60</v>
      </c>
      <c r="AK47" s="4">
        <v>9</v>
      </c>
      <c r="AL47" s="4">
        <v>9</v>
      </c>
      <c r="AM47" s="4">
        <v>0.59</v>
      </c>
      <c r="AN47" s="4">
        <v>294</v>
      </c>
      <c r="AO47" s="4">
        <v>299.27</v>
      </c>
      <c r="AP47" s="4">
        <v>343096.1</v>
      </c>
      <c r="AQ47" s="4">
        <v>137082.14000000001</v>
      </c>
      <c r="AR47" s="4" t="s">
        <v>250</v>
      </c>
      <c r="AS47" s="5">
        <f t="shared" si="0"/>
        <v>11.758787671232875</v>
      </c>
    </row>
    <row r="48" spans="1:45" ht="14.25" customHeight="1" x14ac:dyDescent="0.55000000000000004">
      <c r="A48" s="4">
        <v>19.3</v>
      </c>
      <c r="B48" s="4">
        <v>30.09</v>
      </c>
      <c r="C48" s="4">
        <v>5479.45</v>
      </c>
      <c r="D48" s="4">
        <v>7.61</v>
      </c>
      <c r="E48" s="4" t="s">
        <v>251</v>
      </c>
      <c r="F48" s="4" t="s">
        <v>252</v>
      </c>
      <c r="G48" s="4" t="s">
        <v>253</v>
      </c>
      <c r="H48" s="4" t="s">
        <v>254</v>
      </c>
      <c r="I48" s="4">
        <v>0</v>
      </c>
      <c r="J48" s="4">
        <v>829.54</v>
      </c>
      <c r="K48" s="4">
        <f t="shared" si="1"/>
        <v>67.28</v>
      </c>
      <c r="L48" s="7">
        <f t="shared" si="2"/>
        <v>74.38</v>
      </c>
      <c r="M48" s="7">
        <f t="shared" si="3"/>
        <v>-7.0999999999999943</v>
      </c>
      <c r="N48" s="4">
        <v>7.27</v>
      </c>
      <c r="O48" s="4">
        <v>89.4</v>
      </c>
      <c r="P48" s="4">
        <v>84</v>
      </c>
      <c r="Q48" s="4">
        <v>16.8</v>
      </c>
      <c r="R48" s="4">
        <v>10.8</v>
      </c>
      <c r="S48" s="4">
        <v>14.92</v>
      </c>
      <c r="T48" s="4">
        <v>4.38</v>
      </c>
      <c r="U48" s="4">
        <v>6.61</v>
      </c>
      <c r="V48" s="4">
        <v>3506.85</v>
      </c>
      <c r="W48" s="4">
        <v>1038.8900000000001</v>
      </c>
      <c r="X48" s="4">
        <v>1201.8800000000001</v>
      </c>
      <c r="Y48" s="4">
        <v>734.57</v>
      </c>
      <c r="Z48" s="4">
        <v>5.43</v>
      </c>
      <c r="AA48" s="4">
        <v>1.56</v>
      </c>
      <c r="AB48" s="4">
        <v>4.5</v>
      </c>
      <c r="AC48" s="4">
        <v>71.150000000000006</v>
      </c>
      <c r="AD48" s="4">
        <v>490</v>
      </c>
      <c r="AE48" s="4">
        <v>4700</v>
      </c>
      <c r="AF48" s="4">
        <v>77.64</v>
      </c>
      <c r="AG48" s="4">
        <v>0.47</v>
      </c>
      <c r="AH48" s="4">
        <v>13.85</v>
      </c>
      <c r="AI48" s="4">
        <v>27.39</v>
      </c>
      <c r="AJ48" s="4">
        <v>60</v>
      </c>
      <c r="AK48" s="4">
        <v>9</v>
      </c>
      <c r="AL48" s="4">
        <v>9</v>
      </c>
      <c r="AM48" s="4">
        <v>0.83</v>
      </c>
      <c r="AN48" s="4">
        <v>294</v>
      </c>
      <c r="AO48" s="4">
        <v>301.44</v>
      </c>
      <c r="AP48" s="4">
        <v>397270.45</v>
      </c>
      <c r="AQ48" s="4">
        <v>232158.77</v>
      </c>
      <c r="AR48" s="4" t="s">
        <v>255</v>
      </c>
      <c r="AS48" s="5">
        <f t="shared" si="0"/>
        <v>9.4241826484018283</v>
      </c>
    </row>
    <row r="49" spans="1:45" ht="14.25" customHeight="1" x14ac:dyDescent="0.55000000000000004">
      <c r="A49" s="4">
        <v>21.37</v>
      </c>
      <c r="B49" s="4">
        <v>32.18</v>
      </c>
      <c r="C49" s="4">
        <v>5516.81</v>
      </c>
      <c r="D49" s="4">
        <v>7.59</v>
      </c>
      <c r="E49" s="4" t="s">
        <v>256</v>
      </c>
      <c r="F49" s="4" t="s">
        <v>257</v>
      </c>
      <c r="G49" s="4" t="s">
        <v>258</v>
      </c>
      <c r="H49" s="4" t="s">
        <v>259</v>
      </c>
      <c r="I49" s="4">
        <v>0</v>
      </c>
      <c r="J49" s="4">
        <v>731.33</v>
      </c>
      <c r="K49" s="4">
        <f t="shared" si="1"/>
        <v>59.47</v>
      </c>
      <c r="L49" s="7">
        <f t="shared" si="2"/>
        <v>63.72</v>
      </c>
      <c r="M49" s="7">
        <f t="shared" si="3"/>
        <v>-4.25</v>
      </c>
      <c r="N49" s="4">
        <v>7.19</v>
      </c>
      <c r="O49" s="4">
        <v>88.5</v>
      </c>
      <c r="P49" s="4">
        <v>73</v>
      </c>
      <c r="Q49" s="4">
        <v>21.2</v>
      </c>
      <c r="R49" s="4">
        <v>10.81</v>
      </c>
      <c r="S49" s="4">
        <v>17.79</v>
      </c>
      <c r="T49" s="4">
        <v>3.58</v>
      </c>
      <c r="U49" s="4">
        <v>7.54</v>
      </c>
      <c r="V49" s="4">
        <v>3530.76</v>
      </c>
      <c r="W49" s="4">
        <v>1049.08</v>
      </c>
      <c r="X49" s="4">
        <v>1247.3</v>
      </c>
      <c r="Y49" s="4">
        <v>748.39</v>
      </c>
      <c r="Z49" s="4">
        <v>5.6</v>
      </c>
      <c r="AA49" s="4">
        <v>1.6</v>
      </c>
      <c r="AB49" s="4">
        <v>4.4000000000000004</v>
      </c>
      <c r="AC49" s="4">
        <v>75.11</v>
      </c>
      <c r="AD49" s="4">
        <v>490</v>
      </c>
      <c r="AE49" s="4">
        <v>4700</v>
      </c>
      <c r="AF49" s="4">
        <v>77.75</v>
      </c>
      <c r="AG49" s="4">
        <v>0.47</v>
      </c>
      <c r="AH49" s="4">
        <v>11.88</v>
      </c>
      <c r="AI49" s="4">
        <v>31.98</v>
      </c>
      <c r="AJ49" s="4">
        <v>60</v>
      </c>
      <c r="AK49" s="4">
        <v>9</v>
      </c>
      <c r="AL49" s="4">
        <v>9</v>
      </c>
      <c r="AM49" s="4">
        <v>0.71</v>
      </c>
      <c r="AN49" s="4">
        <v>294</v>
      </c>
      <c r="AO49" s="4">
        <v>300.37</v>
      </c>
      <c r="AP49" s="4">
        <v>403087.97</v>
      </c>
      <c r="AQ49" s="4">
        <v>184684.63</v>
      </c>
      <c r="AR49" s="4" t="s">
        <v>260</v>
      </c>
      <c r="AS49" s="5">
        <f t="shared" si="0"/>
        <v>12.465944063926939</v>
      </c>
    </row>
    <row r="50" spans="1:45" ht="14.25" customHeight="1" x14ac:dyDescent="0.55000000000000004">
      <c r="A50" s="4">
        <v>19.809999999999999</v>
      </c>
      <c r="B50" s="4">
        <v>30.97</v>
      </c>
      <c r="C50" s="4">
        <v>5529.18</v>
      </c>
      <c r="D50" s="4">
        <v>7.6</v>
      </c>
      <c r="E50" s="4" t="s">
        <v>261</v>
      </c>
      <c r="F50" s="4" t="s">
        <v>262</v>
      </c>
      <c r="G50" s="4" t="s">
        <v>263</v>
      </c>
      <c r="H50" s="4" t="s">
        <v>264</v>
      </c>
      <c r="I50" s="4">
        <v>0</v>
      </c>
      <c r="J50" s="4">
        <v>819.24</v>
      </c>
      <c r="K50" s="4">
        <f t="shared" si="1"/>
        <v>68.16</v>
      </c>
      <c r="L50" s="7">
        <f t="shared" si="2"/>
        <v>75.47999999999999</v>
      </c>
      <c r="M50" s="7">
        <f t="shared" si="3"/>
        <v>-7.3199999999999932</v>
      </c>
      <c r="N50" s="4">
        <v>7.28</v>
      </c>
      <c r="O50" s="4">
        <v>88.45</v>
      </c>
      <c r="P50" s="4">
        <v>86</v>
      </c>
      <c r="Q50" s="4">
        <v>16.399999999999999</v>
      </c>
      <c r="R50" s="4">
        <v>11.17</v>
      </c>
      <c r="S50" s="4">
        <v>14.76</v>
      </c>
      <c r="T50" s="4">
        <v>5.04</v>
      </c>
      <c r="U50" s="4">
        <v>6.75</v>
      </c>
      <c r="V50" s="4">
        <v>3538.68</v>
      </c>
      <c r="W50" s="4">
        <v>1050.49</v>
      </c>
      <c r="X50" s="4">
        <v>1229.96</v>
      </c>
      <c r="Y50" s="4">
        <v>746.44</v>
      </c>
      <c r="Z50" s="4">
        <v>5.42</v>
      </c>
      <c r="AA50" s="4">
        <v>1.57</v>
      </c>
      <c r="AB50" s="4">
        <v>4.46</v>
      </c>
      <c r="AC50" s="4">
        <v>68.89</v>
      </c>
      <c r="AD50" s="4">
        <v>490</v>
      </c>
      <c r="AE50" s="4">
        <v>4700</v>
      </c>
      <c r="AF50" s="4">
        <v>80.31</v>
      </c>
      <c r="AG50" s="4">
        <v>0.47</v>
      </c>
      <c r="AH50" s="4">
        <v>13.97</v>
      </c>
      <c r="AI50" s="4">
        <v>26.99</v>
      </c>
      <c r="AJ50" s="4">
        <v>60</v>
      </c>
      <c r="AK50" s="4">
        <v>9</v>
      </c>
      <c r="AL50" s="4">
        <v>9</v>
      </c>
      <c r="AM50" s="4">
        <v>0.84</v>
      </c>
      <c r="AN50" s="4">
        <v>294</v>
      </c>
      <c r="AO50" s="4">
        <v>301.55</v>
      </c>
      <c r="AP50" s="4">
        <v>396056.91</v>
      </c>
      <c r="AQ50" s="4">
        <v>222684.59</v>
      </c>
      <c r="AR50" s="4" t="s">
        <v>265</v>
      </c>
      <c r="AS50" s="5">
        <f t="shared" si="0"/>
        <v>9.8956803652968031</v>
      </c>
    </row>
    <row r="51" spans="1:45" ht="14.25" customHeight="1" x14ac:dyDescent="0.55000000000000004">
      <c r="A51" s="4">
        <v>20.03</v>
      </c>
      <c r="B51" s="4">
        <v>31.03</v>
      </c>
      <c r="C51" s="4">
        <v>5504.76</v>
      </c>
      <c r="D51" s="4">
        <v>7.61</v>
      </c>
      <c r="E51" s="4" t="s">
        <v>266</v>
      </c>
      <c r="F51" s="4" t="s">
        <v>267</v>
      </c>
      <c r="G51" s="4" t="s">
        <v>268</v>
      </c>
      <c r="H51" s="4" t="s">
        <v>269</v>
      </c>
      <c r="I51" s="4">
        <v>0</v>
      </c>
      <c r="J51" s="4">
        <v>923.1</v>
      </c>
      <c r="K51" s="4">
        <f t="shared" si="1"/>
        <v>81.12</v>
      </c>
      <c r="L51" s="7">
        <f t="shared" si="2"/>
        <v>87.58</v>
      </c>
      <c r="M51" s="7">
        <f t="shared" si="3"/>
        <v>-6.4599999999999937</v>
      </c>
      <c r="N51" s="4">
        <v>7.36</v>
      </c>
      <c r="O51" s="4">
        <v>88.64</v>
      </c>
      <c r="P51" s="4">
        <v>85</v>
      </c>
      <c r="Q51" s="4">
        <v>16.7</v>
      </c>
      <c r="R51" s="4">
        <v>11</v>
      </c>
      <c r="S51" s="4">
        <v>14.94</v>
      </c>
      <c r="T51" s="4">
        <v>5.09</v>
      </c>
      <c r="U51" s="4">
        <v>5.96</v>
      </c>
      <c r="V51" s="4">
        <v>3523.05</v>
      </c>
      <c r="W51" s="4">
        <v>1043.01</v>
      </c>
      <c r="X51" s="4">
        <v>1191.48</v>
      </c>
      <c r="Y51" s="4">
        <v>735.19</v>
      </c>
      <c r="Z51" s="4">
        <v>6.48</v>
      </c>
      <c r="AA51" s="4">
        <v>1.56</v>
      </c>
      <c r="AB51" s="4">
        <v>4.4800000000000004</v>
      </c>
      <c r="AC51" s="4">
        <v>68.349999999999994</v>
      </c>
      <c r="AD51" s="4">
        <v>490</v>
      </c>
      <c r="AE51" s="4">
        <v>4700</v>
      </c>
      <c r="AF51" s="4">
        <v>79.069999999999993</v>
      </c>
      <c r="AG51" s="4">
        <v>0.47</v>
      </c>
      <c r="AH51" s="4">
        <v>15.93</v>
      </c>
      <c r="AI51" s="4">
        <v>27.14</v>
      </c>
      <c r="AJ51" s="4">
        <v>60</v>
      </c>
      <c r="AK51" s="4">
        <v>9</v>
      </c>
      <c r="AL51" s="4">
        <v>9</v>
      </c>
      <c r="AM51" s="4">
        <v>0.83</v>
      </c>
      <c r="AN51" s="4">
        <v>294</v>
      </c>
      <c r="AO51" s="4">
        <v>301.51</v>
      </c>
      <c r="AP51" s="4">
        <v>419167.71</v>
      </c>
      <c r="AQ51" s="4">
        <v>372331.36</v>
      </c>
      <c r="AR51" s="4" t="s">
        <v>270</v>
      </c>
      <c r="AS51" s="5">
        <f t="shared" si="0"/>
        <v>2.6733076484018286</v>
      </c>
    </row>
    <row r="52" spans="1:45" ht="14.25" customHeight="1" x14ac:dyDescent="0.55000000000000004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f t="shared" si="1"/>
        <v>0</v>
      </c>
      <c r="L52" s="7">
        <f t="shared" si="2"/>
        <v>0</v>
      </c>
      <c r="M52" s="7">
        <f t="shared" si="3"/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5">
        <f t="shared" si="0"/>
        <v>0</v>
      </c>
    </row>
    <row r="53" spans="1:45" ht="14.25" customHeight="1" x14ac:dyDescent="0.55000000000000004">
      <c r="A53" s="4">
        <v>20.7</v>
      </c>
      <c r="B53" s="4">
        <v>31.14</v>
      </c>
      <c r="C53" s="4">
        <v>5512.88</v>
      </c>
      <c r="D53" s="4">
        <v>7.59</v>
      </c>
      <c r="E53" s="4" t="s">
        <v>271</v>
      </c>
      <c r="F53" s="4" t="s">
        <v>272</v>
      </c>
      <c r="G53" s="4" t="s">
        <v>273</v>
      </c>
      <c r="H53" s="4" t="s">
        <v>274</v>
      </c>
      <c r="I53" s="4">
        <v>0</v>
      </c>
      <c r="J53" s="4">
        <v>495.46</v>
      </c>
      <c r="K53" s="4">
        <f t="shared" si="1"/>
        <v>45.7</v>
      </c>
      <c r="L53" s="7">
        <f t="shared" si="2"/>
        <v>48.1</v>
      </c>
      <c r="M53" s="7">
        <f t="shared" si="3"/>
        <v>-2.3999999999999986</v>
      </c>
      <c r="N53" s="4">
        <v>7.02</v>
      </c>
      <c r="O53" s="4">
        <v>89.29</v>
      </c>
      <c r="P53" s="4">
        <v>78</v>
      </c>
      <c r="Q53" s="4">
        <v>18.899999999999999</v>
      </c>
      <c r="R53" s="4">
        <v>10.45</v>
      </c>
      <c r="S53" s="4">
        <v>16.23</v>
      </c>
      <c r="T53" s="4">
        <v>4.47</v>
      </c>
      <c r="U53" s="4">
        <v>11.13</v>
      </c>
      <c r="V53" s="4">
        <v>3528.24</v>
      </c>
      <c r="W53" s="4">
        <v>1061.1400000000001</v>
      </c>
      <c r="X53" s="4">
        <v>1398.28</v>
      </c>
      <c r="Y53" s="4">
        <v>784.01</v>
      </c>
      <c r="Z53" s="4">
        <v>6.17</v>
      </c>
      <c r="AA53" s="4">
        <v>1.64</v>
      </c>
      <c r="AB53" s="4">
        <v>4.32</v>
      </c>
      <c r="AC53" s="4">
        <v>70.05</v>
      </c>
      <c r="AD53" s="4">
        <v>490</v>
      </c>
      <c r="AE53" s="4">
        <v>4700</v>
      </c>
      <c r="AF53" s="4">
        <v>75.11</v>
      </c>
      <c r="AG53" s="4">
        <v>0.47</v>
      </c>
      <c r="AH53" s="4">
        <v>7.42</v>
      </c>
      <c r="AI53" s="4">
        <v>45.88</v>
      </c>
      <c r="AJ53" s="4">
        <v>60</v>
      </c>
      <c r="AK53" s="4">
        <v>9</v>
      </c>
      <c r="AL53" s="4">
        <v>9</v>
      </c>
      <c r="AM53" s="4">
        <v>0.49</v>
      </c>
      <c r="AN53" s="4">
        <v>294</v>
      </c>
      <c r="AO53" s="4">
        <v>298.44</v>
      </c>
      <c r="AP53" s="4">
        <v>374316.31</v>
      </c>
      <c r="AQ53" s="4">
        <v>145648.16</v>
      </c>
      <c r="AR53" s="4" t="s">
        <v>275</v>
      </c>
      <c r="AS53" s="5">
        <f t="shared" si="0"/>
        <v>13.0518350456621</v>
      </c>
    </row>
    <row r="54" spans="1:45" ht="14.25" customHeight="1" x14ac:dyDescent="0.55000000000000004">
      <c r="A54" s="4">
        <v>21.66</v>
      </c>
      <c r="B54" s="4">
        <v>32.24</v>
      </c>
      <c r="C54" s="4">
        <v>5502.51</v>
      </c>
      <c r="D54" s="4">
        <v>7.61</v>
      </c>
      <c r="E54" s="4" t="s">
        <v>276</v>
      </c>
      <c r="F54" s="4" t="s">
        <v>277</v>
      </c>
      <c r="G54" s="4" t="s">
        <v>278</v>
      </c>
      <c r="H54" s="4" t="s">
        <v>279</v>
      </c>
      <c r="I54" s="4">
        <v>0</v>
      </c>
      <c r="J54" s="4">
        <v>964.22</v>
      </c>
      <c r="K54" s="4">
        <f t="shared" si="1"/>
        <v>83.039999999999992</v>
      </c>
      <c r="L54" s="7">
        <f t="shared" si="2"/>
        <v>94.759999999999991</v>
      </c>
      <c r="M54" s="7">
        <f t="shared" si="3"/>
        <v>-11.719999999999999</v>
      </c>
      <c r="N54" s="4">
        <v>7.36</v>
      </c>
      <c r="O54" s="4">
        <v>88.63</v>
      </c>
      <c r="P54" s="4">
        <v>63</v>
      </c>
      <c r="Q54" s="4">
        <v>22.9</v>
      </c>
      <c r="R54" s="4">
        <v>10.59</v>
      </c>
      <c r="S54" s="4">
        <v>18.03</v>
      </c>
      <c r="T54" s="4">
        <v>3.62</v>
      </c>
      <c r="U54" s="4">
        <v>5.71</v>
      </c>
      <c r="V54" s="4">
        <v>3521.61</v>
      </c>
      <c r="W54" s="4">
        <v>1039.75</v>
      </c>
      <c r="X54" s="4">
        <v>1166.22</v>
      </c>
      <c r="Y54" s="4">
        <v>727.84</v>
      </c>
      <c r="Z54" s="4">
        <v>5.7</v>
      </c>
      <c r="AA54" s="4">
        <v>1.59</v>
      </c>
      <c r="AB54" s="4">
        <v>4.4400000000000004</v>
      </c>
      <c r="AC54" s="4">
        <v>74.5</v>
      </c>
      <c r="AD54" s="4">
        <v>490</v>
      </c>
      <c r="AE54" s="4">
        <v>4700</v>
      </c>
      <c r="AF54" s="4">
        <v>76.150000000000006</v>
      </c>
      <c r="AG54" s="4">
        <v>0.47</v>
      </c>
      <c r="AH54" s="4">
        <v>16.18</v>
      </c>
      <c r="AI54" s="4">
        <v>23.29</v>
      </c>
      <c r="AJ54" s="4">
        <v>60</v>
      </c>
      <c r="AK54" s="4">
        <v>9</v>
      </c>
      <c r="AL54" s="4">
        <v>9</v>
      </c>
      <c r="AM54" s="4">
        <v>0.97</v>
      </c>
      <c r="AN54" s="4">
        <v>294</v>
      </c>
      <c r="AO54" s="4">
        <v>302.75</v>
      </c>
      <c r="AP54" s="4">
        <v>388376.92</v>
      </c>
      <c r="AQ54" s="4">
        <v>382888.79</v>
      </c>
      <c r="AR54" s="4" t="s">
        <v>280</v>
      </c>
      <c r="AS54" s="5">
        <f t="shared" si="0"/>
        <v>0.31324942922374455</v>
      </c>
    </row>
    <row r="55" spans="1:45" ht="14.25" customHeight="1" x14ac:dyDescent="0.55000000000000004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f t="shared" si="1"/>
        <v>0</v>
      </c>
      <c r="L55" s="7">
        <f t="shared" si="2"/>
        <v>0</v>
      </c>
      <c r="M55" s="7">
        <f t="shared" si="3"/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5">
        <f t="shared" si="0"/>
        <v>0</v>
      </c>
    </row>
    <row r="56" spans="1:45" ht="14.25" customHeight="1" x14ac:dyDescent="0.55000000000000004">
      <c r="A56" s="4">
        <v>21.81</v>
      </c>
      <c r="B56" s="4">
        <v>32.33</v>
      </c>
      <c r="C56" s="4">
        <v>5503</v>
      </c>
      <c r="D56" s="4">
        <v>7.59</v>
      </c>
      <c r="E56" s="4" t="s">
        <v>281</v>
      </c>
      <c r="F56" s="4" t="s">
        <v>282</v>
      </c>
      <c r="G56" s="4" t="s">
        <v>283</v>
      </c>
      <c r="H56" s="4" t="s">
        <v>284</v>
      </c>
      <c r="I56" s="4">
        <v>0</v>
      </c>
      <c r="J56" s="4">
        <v>765.15</v>
      </c>
      <c r="K56" s="4">
        <f t="shared" si="1"/>
        <v>64.5</v>
      </c>
      <c r="L56" s="7">
        <f t="shared" si="2"/>
        <v>73.38</v>
      </c>
      <c r="M56" s="7">
        <f t="shared" si="3"/>
        <v>-8.8799999999999955</v>
      </c>
      <c r="N56" s="4">
        <v>7.25</v>
      </c>
      <c r="O56" s="4">
        <v>89.03</v>
      </c>
      <c r="P56" s="4">
        <v>89</v>
      </c>
      <c r="Q56" s="4">
        <v>19.899999999999999</v>
      </c>
      <c r="R56" s="4">
        <v>10.52</v>
      </c>
      <c r="S56" s="4">
        <v>18.55</v>
      </c>
      <c r="T56" s="4">
        <v>3.26</v>
      </c>
      <c r="U56" s="4">
        <v>7.19</v>
      </c>
      <c r="V56" s="4">
        <v>3521.92</v>
      </c>
      <c r="W56" s="4">
        <v>1047.78</v>
      </c>
      <c r="X56" s="4">
        <v>1248.4100000000001</v>
      </c>
      <c r="Y56" s="4">
        <v>749.03</v>
      </c>
      <c r="Z56" s="4">
        <v>5.27</v>
      </c>
      <c r="AA56" s="4">
        <v>1.61</v>
      </c>
      <c r="AB56" s="4">
        <v>4.38</v>
      </c>
      <c r="AC56" s="4">
        <v>76.33</v>
      </c>
      <c r="AD56" s="4">
        <v>490</v>
      </c>
      <c r="AE56" s="4">
        <v>4700</v>
      </c>
      <c r="AF56" s="4">
        <v>75.650000000000006</v>
      </c>
      <c r="AG56" s="4">
        <v>0.47</v>
      </c>
      <c r="AH56" s="4">
        <v>12.22</v>
      </c>
      <c r="AI56" s="4">
        <v>27.76</v>
      </c>
      <c r="AJ56" s="4">
        <v>60</v>
      </c>
      <c r="AK56" s="4">
        <v>9</v>
      </c>
      <c r="AL56" s="4">
        <v>9</v>
      </c>
      <c r="AM56" s="4">
        <v>0.82</v>
      </c>
      <c r="AN56" s="4">
        <v>294</v>
      </c>
      <c r="AO56" s="4">
        <v>301.33999999999997</v>
      </c>
      <c r="AP56" s="4">
        <v>376901.9</v>
      </c>
      <c r="AQ56" s="4">
        <v>209730.13</v>
      </c>
      <c r="AR56" s="4" t="s">
        <v>285</v>
      </c>
      <c r="AS56" s="5">
        <f t="shared" si="0"/>
        <v>9.5417676940639282</v>
      </c>
    </row>
    <row r="57" spans="1:45" ht="14.25" customHeight="1" x14ac:dyDescent="0.55000000000000004">
      <c r="A57" s="4">
        <v>22</v>
      </c>
      <c r="B57" s="4">
        <v>32.56</v>
      </c>
      <c r="C57" s="4">
        <v>5511.75</v>
      </c>
      <c r="D57" s="4">
        <v>7.59</v>
      </c>
      <c r="E57" s="4" t="s">
        <v>286</v>
      </c>
      <c r="F57" s="4" t="s">
        <v>287</v>
      </c>
      <c r="G57" s="4" t="s">
        <v>45</v>
      </c>
      <c r="H57" s="4" t="s">
        <v>288</v>
      </c>
      <c r="I57" s="4">
        <v>0</v>
      </c>
      <c r="J57" s="4">
        <v>666.36</v>
      </c>
      <c r="K57" s="4">
        <f t="shared" si="1"/>
        <v>56.55</v>
      </c>
      <c r="L57" s="7">
        <f t="shared" si="2"/>
        <v>63.67</v>
      </c>
      <c r="M57" s="7">
        <f t="shared" si="3"/>
        <v>-7.1200000000000045</v>
      </c>
      <c r="N57" s="4">
        <v>7.17</v>
      </c>
      <c r="O57" s="4">
        <v>89.02</v>
      </c>
      <c r="P57" s="4">
        <v>83</v>
      </c>
      <c r="Q57" s="4">
        <v>20.8</v>
      </c>
      <c r="R57" s="4">
        <v>10.56</v>
      </c>
      <c r="S57" s="4">
        <v>18.68</v>
      </c>
      <c r="T57" s="4">
        <v>3.32</v>
      </c>
      <c r="U57" s="4">
        <v>8.27</v>
      </c>
      <c r="V57" s="4">
        <v>3527.52</v>
      </c>
      <c r="W57" s="4">
        <v>1053.57</v>
      </c>
      <c r="X57" s="4">
        <v>1297.81</v>
      </c>
      <c r="Y57" s="4">
        <v>761.7</v>
      </c>
      <c r="Z57" s="4">
        <v>5.33</v>
      </c>
      <c r="AA57" s="4">
        <v>1.63</v>
      </c>
      <c r="AB57" s="4">
        <v>4.33</v>
      </c>
      <c r="AC57" s="4">
        <v>76.069999999999993</v>
      </c>
      <c r="AD57" s="4">
        <v>490</v>
      </c>
      <c r="AE57" s="4">
        <v>4700</v>
      </c>
      <c r="AF57" s="4">
        <v>75.95</v>
      </c>
      <c r="AG57" s="4">
        <v>0.47</v>
      </c>
      <c r="AH57" s="4">
        <v>10.44</v>
      </c>
      <c r="AI57" s="4">
        <v>32</v>
      </c>
      <c r="AJ57" s="4">
        <v>60</v>
      </c>
      <c r="AK57" s="4">
        <v>9</v>
      </c>
      <c r="AL57" s="4">
        <v>9</v>
      </c>
      <c r="AM57" s="4">
        <v>0.71</v>
      </c>
      <c r="AN57" s="4">
        <v>294</v>
      </c>
      <c r="AO57" s="4">
        <v>300.37</v>
      </c>
      <c r="AP57" s="4">
        <v>369312.89</v>
      </c>
      <c r="AQ57" s="4">
        <v>169693.52</v>
      </c>
      <c r="AR57" s="4" t="s">
        <v>289</v>
      </c>
      <c r="AS57" s="5">
        <f t="shared" si="0"/>
        <v>11.393799657534249</v>
      </c>
    </row>
    <row r="58" spans="1:45" ht="14.25" customHeight="1" x14ac:dyDescent="0.55000000000000004">
      <c r="A58" s="4">
        <v>21.62</v>
      </c>
      <c r="B58" s="4">
        <v>32.22</v>
      </c>
      <c r="C58" s="4">
        <v>5487.09</v>
      </c>
      <c r="D58" s="4">
        <v>7.6</v>
      </c>
      <c r="E58" s="4" t="s">
        <v>290</v>
      </c>
      <c r="F58" s="4" t="s">
        <v>291</v>
      </c>
      <c r="G58" s="4" t="s">
        <v>292</v>
      </c>
      <c r="H58" s="4" t="s">
        <v>293</v>
      </c>
      <c r="I58" s="4">
        <v>0</v>
      </c>
      <c r="J58" s="4">
        <v>479.81</v>
      </c>
      <c r="K58" s="4">
        <f t="shared" si="1"/>
        <v>59.52</v>
      </c>
      <c r="L58" s="7">
        <f t="shared" si="2"/>
        <v>63.440000000000005</v>
      </c>
      <c r="M58" s="7">
        <f t="shared" si="3"/>
        <v>-3.9200000000000017</v>
      </c>
      <c r="N58" s="4">
        <v>6.99</v>
      </c>
      <c r="O58" s="4">
        <v>89.29</v>
      </c>
      <c r="P58" s="4">
        <v>94</v>
      </c>
      <c r="Q58" s="4">
        <v>19</v>
      </c>
      <c r="R58" s="4">
        <v>10.6</v>
      </c>
      <c r="S58" s="4">
        <v>18.27</v>
      </c>
      <c r="T58" s="4">
        <v>3.35</v>
      </c>
      <c r="U58" s="4">
        <v>11.44</v>
      </c>
      <c r="V58" s="4">
        <v>3511.74</v>
      </c>
      <c r="W58" s="4">
        <v>1054.9000000000001</v>
      </c>
      <c r="X58" s="4">
        <v>1388.42</v>
      </c>
      <c r="Y58" s="4">
        <v>778.02</v>
      </c>
      <c r="Z58" s="4">
        <v>6.1</v>
      </c>
      <c r="AA58" s="4">
        <v>1.66</v>
      </c>
      <c r="AB58" s="4">
        <v>4.28</v>
      </c>
      <c r="AC58" s="4">
        <v>76</v>
      </c>
      <c r="AD58" s="4">
        <v>490</v>
      </c>
      <c r="AE58" s="4">
        <v>4700</v>
      </c>
      <c r="AF58" s="4">
        <v>76.23</v>
      </c>
      <c r="AG58" s="4">
        <v>0.47</v>
      </c>
      <c r="AH58" s="4">
        <v>7.3</v>
      </c>
      <c r="AI58" s="4">
        <v>34.79</v>
      </c>
      <c r="AJ58" s="4">
        <v>60</v>
      </c>
      <c r="AK58" s="4">
        <v>9</v>
      </c>
      <c r="AL58" s="4">
        <v>9</v>
      </c>
      <c r="AM58" s="4">
        <v>0.65</v>
      </c>
      <c r="AN58" s="4">
        <v>294</v>
      </c>
      <c r="AO58" s="4">
        <v>299.86</v>
      </c>
      <c r="AP58" s="4">
        <v>492764.95</v>
      </c>
      <c r="AQ58" s="4">
        <v>199899.8</v>
      </c>
      <c r="AR58" s="4" t="s">
        <v>294</v>
      </c>
      <c r="AS58" s="5">
        <f t="shared" si="0"/>
        <v>16.716047374429227</v>
      </c>
    </row>
    <row r="59" spans="1:45" ht="14.25" customHeight="1" x14ac:dyDescent="0.55000000000000004">
      <c r="A59" s="4">
        <v>21.45</v>
      </c>
      <c r="B59" s="4">
        <v>32.159999999999997</v>
      </c>
      <c r="C59" s="4">
        <v>5474.1</v>
      </c>
      <c r="D59" s="4">
        <v>7.6</v>
      </c>
      <c r="E59" s="4" t="s">
        <v>295</v>
      </c>
      <c r="F59" s="4" t="s">
        <v>296</v>
      </c>
      <c r="G59" s="4" t="s">
        <v>45</v>
      </c>
      <c r="H59" s="4" t="s">
        <v>297</v>
      </c>
      <c r="I59" s="4">
        <v>0</v>
      </c>
      <c r="J59" s="4">
        <v>322.8</v>
      </c>
      <c r="K59" s="4">
        <f t="shared" si="1"/>
        <v>52.94</v>
      </c>
      <c r="L59" s="7">
        <f t="shared" si="2"/>
        <v>56.509999999999991</v>
      </c>
      <c r="M59" s="7">
        <f t="shared" si="3"/>
        <v>-3.5699999999999932</v>
      </c>
      <c r="N59" s="4">
        <v>6.85</v>
      </c>
      <c r="O59" s="4">
        <v>89.28</v>
      </c>
      <c r="P59" s="4">
        <v>94</v>
      </c>
      <c r="Q59" s="4">
        <v>19.5</v>
      </c>
      <c r="R59" s="4">
        <v>10.71</v>
      </c>
      <c r="S59" s="4">
        <v>18.77</v>
      </c>
      <c r="T59" s="4">
        <v>2.68</v>
      </c>
      <c r="U59" s="4">
        <v>16.96</v>
      </c>
      <c r="V59" s="4">
        <v>3503.42</v>
      </c>
      <c r="W59" s="4">
        <v>1064.71</v>
      </c>
      <c r="X59" s="4">
        <v>1565.46</v>
      </c>
      <c r="Y59" s="4">
        <v>814.61</v>
      </c>
      <c r="Z59" s="4">
        <v>6.09</v>
      </c>
      <c r="AA59" s="4">
        <v>1.71</v>
      </c>
      <c r="AB59" s="4">
        <v>4.18</v>
      </c>
      <c r="AC59" s="4">
        <v>79.97</v>
      </c>
      <c r="AD59" s="4">
        <v>490</v>
      </c>
      <c r="AE59" s="4">
        <v>4700</v>
      </c>
      <c r="AF59" s="4">
        <v>77.03</v>
      </c>
      <c r="AG59" s="4">
        <v>0.47</v>
      </c>
      <c r="AH59" s="4">
        <v>4.83</v>
      </c>
      <c r="AI59" s="4">
        <v>39.049999999999997</v>
      </c>
      <c r="AJ59" s="4">
        <v>60</v>
      </c>
      <c r="AK59" s="4">
        <v>9</v>
      </c>
      <c r="AL59" s="4">
        <v>9</v>
      </c>
      <c r="AM59" s="4">
        <v>0.57999999999999996</v>
      </c>
      <c r="AN59" s="4">
        <v>294</v>
      </c>
      <c r="AO59" s="4">
        <v>299.22000000000003</v>
      </c>
      <c r="AP59" s="4">
        <v>496362.54</v>
      </c>
      <c r="AQ59" s="4">
        <v>173112.18</v>
      </c>
      <c r="AR59" s="4" t="s">
        <v>298</v>
      </c>
      <c r="AS59" s="5">
        <f t="shared" si="0"/>
        <v>18.450363013698631</v>
      </c>
    </row>
    <row r="60" spans="1:45" ht="14.25" customHeight="1" x14ac:dyDescent="0.55000000000000004">
      <c r="A60" s="4">
        <v>21.92</v>
      </c>
      <c r="B60" s="4">
        <v>32.47</v>
      </c>
      <c r="C60" s="4">
        <v>5498.18</v>
      </c>
      <c r="D60" s="4">
        <v>7.6</v>
      </c>
      <c r="E60" s="4" t="s">
        <v>299</v>
      </c>
      <c r="F60" s="4" t="s">
        <v>300</v>
      </c>
      <c r="G60" s="4" t="s">
        <v>301</v>
      </c>
      <c r="H60" s="4" t="s">
        <v>302</v>
      </c>
      <c r="I60" s="4">
        <v>0</v>
      </c>
      <c r="J60" s="4">
        <v>676.54</v>
      </c>
      <c r="K60" s="4">
        <f t="shared" si="1"/>
        <v>56.88</v>
      </c>
      <c r="L60" s="7">
        <f t="shared" si="2"/>
        <v>63.410000000000004</v>
      </c>
      <c r="M60" s="7">
        <f t="shared" si="3"/>
        <v>-6.5300000000000011</v>
      </c>
      <c r="N60" s="4">
        <v>7.17</v>
      </c>
      <c r="O60" s="4">
        <v>88.97</v>
      </c>
      <c r="P60" s="4">
        <v>84</v>
      </c>
      <c r="Q60" s="4">
        <v>20.7</v>
      </c>
      <c r="R60" s="4">
        <v>10.55</v>
      </c>
      <c r="S60" s="4">
        <v>18.71</v>
      </c>
      <c r="T60" s="4">
        <v>3.21</v>
      </c>
      <c r="U60" s="4">
        <v>8.1300000000000008</v>
      </c>
      <c r="V60" s="4">
        <v>3518.84</v>
      </c>
      <c r="W60" s="4">
        <v>1049.8</v>
      </c>
      <c r="X60" s="4">
        <v>1284.08</v>
      </c>
      <c r="Y60" s="4">
        <v>756.88</v>
      </c>
      <c r="Z60" s="4">
        <v>5.83</v>
      </c>
      <c r="AA60" s="4">
        <v>1.63</v>
      </c>
      <c r="AB60" s="4">
        <v>4.34</v>
      </c>
      <c r="AC60" s="4">
        <v>76.64</v>
      </c>
      <c r="AD60" s="4">
        <v>490</v>
      </c>
      <c r="AE60" s="4">
        <v>4700</v>
      </c>
      <c r="AF60" s="4">
        <v>75.849999999999994</v>
      </c>
      <c r="AG60" s="4">
        <v>0.47</v>
      </c>
      <c r="AH60" s="4">
        <v>10.64</v>
      </c>
      <c r="AI60" s="4">
        <v>34.81</v>
      </c>
      <c r="AJ60" s="4">
        <v>60</v>
      </c>
      <c r="AK60" s="4">
        <v>9</v>
      </c>
      <c r="AL60" s="4">
        <v>9</v>
      </c>
      <c r="AM60" s="4">
        <v>0.65</v>
      </c>
      <c r="AN60" s="4">
        <v>294</v>
      </c>
      <c r="AO60" s="4">
        <v>299.85000000000002</v>
      </c>
      <c r="AP60" s="4">
        <v>367426.57</v>
      </c>
      <c r="AQ60" s="4">
        <v>211249.6</v>
      </c>
      <c r="AR60" s="4" t="s">
        <v>303</v>
      </c>
      <c r="AS60" s="5">
        <f t="shared" si="0"/>
        <v>8.914210616438357</v>
      </c>
    </row>
    <row r="61" spans="1:45" ht="14.25" customHeight="1" x14ac:dyDescent="0.55000000000000004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f t="shared" si="1"/>
        <v>0</v>
      </c>
      <c r="L61" s="7">
        <f t="shared" si="2"/>
        <v>0</v>
      </c>
      <c r="M61" s="7">
        <f t="shared" si="3"/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5">
        <f t="shared" si="0"/>
        <v>0</v>
      </c>
    </row>
    <row r="62" spans="1:45" ht="14.25" customHeight="1" x14ac:dyDescent="0.55000000000000004">
      <c r="A62" s="4">
        <v>21.87</v>
      </c>
      <c r="B62" s="4">
        <v>32.07</v>
      </c>
      <c r="C62" s="4">
        <v>5484.42</v>
      </c>
      <c r="D62" s="4">
        <v>7.6</v>
      </c>
      <c r="E62" s="4" t="s">
        <v>304</v>
      </c>
      <c r="F62" s="4" t="s">
        <v>305</v>
      </c>
      <c r="G62" s="4" t="s">
        <v>278</v>
      </c>
      <c r="H62" s="4" t="s">
        <v>306</v>
      </c>
      <c r="I62" s="4">
        <v>0</v>
      </c>
      <c r="J62" s="4">
        <v>743.91</v>
      </c>
      <c r="K62" s="4">
        <f t="shared" si="1"/>
        <v>59.75</v>
      </c>
      <c r="L62" s="7">
        <f t="shared" si="2"/>
        <v>69.19</v>
      </c>
      <c r="M62" s="7">
        <f t="shared" si="3"/>
        <v>-9.4399999999999977</v>
      </c>
      <c r="N62" s="4">
        <v>7.2</v>
      </c>
      <c r="O62" s="4">
        <v>89.36</v>
      </c>
      <c r="P62" s="4">
        <v>77</v>
      </c>
      <c r="Q62" s="4">
        <v>21.2</v>
      </c>
      <c r="R62" s="4">
        <v>10.199999999999999</v>
      </c>
      <c r="S62" s="4">
        <v>18.3</v>
      </c>
      <c r="T62" s="4">
        <v>3.57</v>
      </c>
      <c r="U62" s="4">
        <v>7.37</v>
      </c>
      <c r="V62" s="4">
        <v>3510.03</v>
      </c>
      <c r="W62" s="4">
        <v>1042.06</v>
      </c>
      <c r="X62" s="4">
        <v>1231.69</v>
      </c>
      <c r="Y62" s="4">
        <v>741.78</v>
      </c>
      <c r="Z62" s="4">
        <v>5.18</v>
      </c>
      <c r="AA62" s="4">
        <v>1.61</v>
      </c>
      <c r="AB62" s="4">
        <v>4.3899999999999997</v>
      </c>
      <c r="AC62" s="4">
        <v>74.05</v>
      </c>
      <c r="AD62" s="4">
        <v>490</v>
      </c>
      <c r="AE62" s="4">
        <v>4700</v>
      </c>
      <c r="AF62" s="4">
        <v>73.33</v>
      </c>
      <c r="AG62" s="4">
        <v>0.47</v>
      </c>
      <c r="AH62" s="4">
        <v>11.51</v>
      </c>
      <c r="AI62" s="4">
        <v>29.44</v>
      </c>
      <c r="AJ62" s="4">
        <v>60</v>
      </c>
      <c r="AK62" s="4">
        <v>9</v>
      </c>
      <c r="AL62" s="4">
        <v>9</v>
      </c>
      <c r="AM62" s="4">
        <v>0.77</v>
      </c>
      <c r="AN62" s="4">
        <v>294</v>
      </c>
      <c r="AO62" s="4">
        <v>300.92</v>
      </c>
      <c r="AP62" s="4">
        <v>358461.6</v>
      </c>
      <c r="AQ62" s="4">
        <v>211862.34</v>
      </c>
      <c r="AR62" s="4" t="s">
        <v>307</v>
      </c>
      <c r="AS62" s="5">
        <f t="shared" si="0"/>
        <v>8.367537671232876</v>
      </c>
    </row>
    <row r="63" spans="1:45" ht="14.25" customHeight="1" x14ac:dyDescent="0.55000000000000004">
      <c r="A63" s="4">
        <v>21.68</v>
      </c>
      <c r="B63" s="4">
        <v>32.36</v>
      </c>
      <c r="C63" s="4">
        <v>5493.34</v>
      </c>
      <c r="D63" s="4">
        <v>7.59</v>
      </c>
      <c r="E63" s="4" t="s">
        <v>308</v>
      </c>
      <c r="F63" s="4" t="s">
        <v>309</v>
      </c>
      <c r="G63" s="4" t="s">
        <v>310</v>
      </c>
      <c r="H63" s="4" t="s">
        <v>311</v>
      </c>
      <c r="I63" s="4">
        <v>0</v>
      </c>
      <c r="J63" s="4">
        <v>535.39</v>
      </c>
      <c r="K63" s="4">
        <f t="shared" si="1"/>
        <v>47.04</v>
      </c>
      <c r="L63" s="7">
        <f t="shared" si="2"/>
        <v>54.04</v>
      </c>
      <c r="M63" s="7">
        <f t="shared" si="3"/>
        <v>-7</v>
      </c>
      <c r="N63" s="4">
        <v>7.03</v>
      </c>
      <c r="O63" s="4">
        <v>88.64</v>
      </c>
      <c r="P63" s="4">
        <v>61</v>
      </c>
      <c r="Q63" s="4">
        <v>23</v>
      </c>
      <c r="R63" s="4">
        <v>10.68</v>
      </c>
      <c r="S63" s="4">
        <v>17.84</v>
      </c>
      <c r="T63" s="4">
        <v>3.84</v>
      </c>
      <c r="U63" s="4">
        <v>10.26</v>
      </c>
      <c r="V63" s="4">
        <v>3515.74</v>
      </c>
      <c r="W63" s="4">
        <v>1052.32</v>
      </c>
      <c r="X63" s="4">
        <v>1343.03</v>
      </c>
      <c r="Y63" s="4">
        <v>768</v>
      </c>
      <c r="Z63" s="4">
        <v>5.22</v>
      </c>
      <c r="AA63" s="4">
        <v>1.63</v>
      </c>
      <c r="AB63" s="4">
        <v>4.33</v>
      </c>
      <c r="AC63" s="4">
        <v>73.56</v>
      </c>
      <c r="AD63" s="4">
        <v>490</v>
      </c>
      <c r="AE63" s="4">
        <v>4700</v>
      </c>
      <c r="AF63" s="4">
        <v>76.8</v>
      </c>
      <c r="AG63" s="4">
        <v>0.47</v>
      </c>
      <c r="AH63" s="4">
        <v>8.2899999999999991</v>
      </c>
      <c r="AI63" s="4">
        <v>37.700000000000003</v>
      </c>
      <c r="AJ63" s="4">
        <v>60</v>
      </c>
      <c r="AK63" s="4">
        <v>9</v>
      </c>
      <c r="AL63" s="4">
        <v>9</v>
      </c>
      <c r="AM63" s="4">
        <v>0.6</v>
      </c>
      <c r="AN63" s="4">
        <v>294</v>
      </c>
      <c r="AO63" s="4">
        <v>299.39999999999998</v>
      </c>
      <c r="AP63" s="4">
        <v>347141.9</v>
      </c>
      <c r="AQ63" s="4">
        <v>149054.22</v>
      </c>
      <c r="AR63" s="4" t="s">
        <v>312</v>
      </c>
      <c r="AS63" s="5">
        <f t="shared" si="0"/>
        <v>11.306374429223746</v>
      </c>
    </row>
    <row r="64" spans="1:45" ht="14.25" customHeight="1" x14ac:dyDescent="0.55000000000000004">
      <c r="A64" s="4">
        <v>21.72</v>
      </c>
      <c r="B64" s="4">
        <v>32.08</v>
      </c>
      <c r="C64" s="4">
        <v>5488.16</v>
      </c>
      <c r="D64" s="4">
        <v>7.61</v>
      </c>
      <c r="E64" s="4" t="s">
        <v>313</v>
      </c>
      <c r="F64" s="4" t="s">
        <v>314</v>
      </c>
      <c r="G64" s="4" t="s">
        <v>315</v>
      </c>
      <c r="H64" s="4" t="s">
        <v>316</v>
      </c>
      <c r="I64" s="4">
        <v>0</v>
      </c>
      <c r="J64" s="4">
        <v>918.36</v>
      </c>
      <c r="K64" s="4">
        <f t="shared" si="1"/>
        <v>75.64</v>
      </c>
      <c r="L64" s="7">
        <f t="shared" si="2"/>
        <v>87.66</v>
      </c>
      <c r="M64" s="7">
        <f t="shared" si="3"/>
        <v>-12.019999999999996</v>
      </c>
      <c r="N64" s="4">
        <v>7.33</v>
      </c>
      <c r="O64" s="4">
        <v>89.36</v>
      </c>
      <c r="P64" s="4">
        <v>66</v>
      </c>
      <c r="Q64" s="4">
        <v>22.6</v>
      </c>
      <c r="R64" s="4">
        <v>10.36</v>
      </c>
      <c r="S64" s="4">
        <v>18.16</v>
      </c>
      <c r="T64" s="4">
        <v>3.56</v>
      </c>
      <c r="U64" s="4">
        <v>5.98</v>
      </c>
      <c r="V64" s="4">
        <v>3512.42</v>
      </c>
      <c r="W64" s="4">
        <v>1037.8599999999999</v>
      </c>
      <c r="X64" s="4">
        <v>1173.8699999999999</v>
      </c>
      <c r="Y64" s="4">
        <v>728.38</v>
      </c>
      <c r="Z64" s="4">
        <v>5.18</v>
      </c>
      <c r="AA64" s="4">
        <v>1.59</v>
      </c>
      <c r="AB64" s="4">
        <v>4.43</v>
      </c>
      <c r="AC64" s="4">
        <v>74.45</v>
      </c>
      <c r="AD64" s="4">
        <v>490</v>
      </c>
      <c r="AE64" s="4">
        <v>4700</v>
      </c>
      <c r="AF64" s="4">
        <v>74.52</v>
      </c>
      <c r="AG64" s="4">
        <v>0.47</v>
      </c>
      <c r="AH64" s="4">
        <v>14.97</v>
      </c>
      <c r="AI64" s="4">
        <v>23.24</v>
      </c>
      <c r="AJ64" s="4">
        <v>60</v>
      </c>
      <c r="AK64" s="4">
        <v>9</v>
      </c>
      <c r="AL64" s="4">
        <v>9</v>
      </c>
      <c r="AM64" s="4">
        <v>0.97</v>
      </c>
      <c r="AN64" s="4">
        <v>294</v>
      </c>
      <c r="AO64" s="4">
        <v>302.77</v>
      </c>
      <c r="AP64" s="4">
        <v>375459.2</v>
      </c>
      <c r="AQ64" s="4">
        <v>295593.3</v>
      </c>
      <c r="AR64" s="4" t="s">
        <v>317</v>
      </c>
      <c r="AS64" s="5">
        <f t="shared" si="0"/>
        <v>4.558555936073061</v>
      </c>
    </row>
    <row r="65" spans="1:45" ht="14.25" customHeight="1" x14ac:dyDescent="0.55000000000000004">
      <c r="A65" s="4">
        <v>22.05</v>
      </c>
      <c r="B65" s="4">
        <v>32.65</v>
      </c>
      <c r="C65" s="4">
        <v>5520.46</v>
      </c>
      <c r="D65" s="4">
        <v>7.6</v>
      </c>
      <c r="E65" s="4" t="s">
        <v>318</v>
      </c>
      <c r="F65" s="4" t="s">
        <v>319</v>
      </c>
      <c r="G65" s="4" t="s">
        <v>320</v>
      </c>
      <c r="H65" s="4" t="s">
        <v>321</v>
      </c>
      <c r="I65" s="4">
        <v>0</v>
      </c>
      <c r="J65" s="4">
        <v>552.16</v>
      </c>
      <c r="K65" s="4">
        <f t="shared" si="1"/>
        <v>49.36</v>
      </c>
      <c r="L65" s="7">
        <f t="shared" si="2"/>
        <v>53.44</v>
      </c>
      <c r="M65" s="7">
        <f t="shared" si="3"/>
        <v>-4.0799999999999983</v>
      </c>
      <c r="N65" s="4">
        <v>7.07</v>
      </c>
      <c r="O65" s="4">
        <v>89.57</v>
      </c>
      <c r="P65" s="4">
        <v>84</v>
      </c>
      <c r="Q65" s="4">
        <v>20.9</v>
      </c>
      <c r="R65" s="4">
        <v>10.6</v>
      </c>
      <c r="S65" s="4">
        <v>18.899999999999999</v>
      </c>
      <c r="T65" s="4">
        <v>3.15</v>
      </c>
      <c r="U65" s="4">
        <v>10</v>
      </c>
      <c r="V65" s="4">
        <v>3533.09</v>
      </c>
      <c r="W65" s="4">
        <v>1059.69</v>
      </c>
      <c r="X65" s="4">
        <v>1360.35</v>
      </c>
      <c r="Y65" s="4">
        <v>776.31</v>
      </c>
      <c r="Z65" s="4">
        <v>6</v>
      </c>
      <c r="AA65" s="4">
        <v>1.66</v>
      </c>
      <c r="AB65" s="4">
        <v>4.28</v>
      </c>
      <c r="AC65" s="4">
        <v>77.09</v>
      </c>
      <c r="AD65" s="4">
        <v>490</v>
      </c>
      <c r="AE65" s="4">
        <v>4700</v>
      </c>
      <c r="AF65" s="4">
        <v>76.23</v>
      </c>
      <c r="AG65" s="4">
        <v>0.47</v>
      </c>
      <c r="AH65" s="4">
        <v>8.4700000000000006</v>
      </c>
      <c r="AI65" s="4">
        <v>41.3</v>
      </c>
      <c r="AJ65" s="4">
        <v>60</v>
      </c>
      <c r="AK65" s="4">
        <v>9</v>
      </c>
      <c r="AL65" s="4">
        <v>9</v>
      </c>
      <c r="AM65" s="4">
        <v>0.55000000000000004</v>
      </c>
      <c r="AN65" s="4">
        <v>294</v>
      </c>
      <c r="AO65" s="4">
        <v>298.93</v>
      </c>
      <c r="AP65" s="4">
        <v>372154.34</v>
      </c>
      <c r="AQ65" s="4">
        <v>166929.66</v>
      </c>
      <c r="AR65" s="4" t="s">
        <v>322</v>
      </c>
      <c r="AS65" s="5">
        <f t="shared" si="0"/>
        <v>11.713737442922376</v>
      </c>
    </row>
    <row r="66" spans="1:45" ht="14.25" customHeight="1" x14ac:dyDescent="0.55000000000000004">
      <c r="A66" s="4">
        <v>21.71</v>
      </c>
      <c r="B66" s="4">
        <v>32.46</v>
      </c>
      <c r="C66" s="4">
        <v>5453.47</v>
      </c>
      <c r="D66" s="4">
        <v>7.59</v>
      </c>
      <c r="E66" s="4" t="s">
        <v>323</v>
      </c>
      <c r="F66" s="4" t="s">
        <v>324</v>
      </c>
      <c r="G66" s="4" t="s">
        <v>325</v>
      </c>
      <c r="H66" s="4" t="s">
        <v>326</v>
      </c>
      <c r="I66" s="4">
        <v>0</v>
      </c>
      <c r="J66" s="4">
        <v>159.41999999999999</v>
      </c>
      <c r="K66" s="4">
        <f t="shared" si="1"/>
        <v>46.309999999999995</v>
      </c>
      <c r="L66" s="7">
        <f t="shared" si="2"/>
        <v>51.65</v>
      </c>
      <c r="M66" s="7">
        <f t="shared" si="3"/>
        <v>-5.3400000000000034</v>
      </c>
      <c r="N66" s="4">
        <v>6.71</v>
      </c>
      <c r="O66" s="4">
        <v>89.16</v>
      </c>
      <c r="P66" s="4">
        <v>91</v>
      </c>
      <c r="Q66" s="4">
        <v>19.600000000000001</v>
      </c>
      <c r="R66" s="4">
        <v>10.75</v>
      </c>
      <c r="S66" s="4">
        <v>18.5</v>
      </c>
      <c r="T66" s="4">
        <v>3.21</v>
      </c>
      <c r="U66" s="4">
        <v>34.21</v>
      </c>
      <c r="V66" s="4">
        <v>3490.22</v>
      </c>
      <c r="W66" s="4">
        <v>1104.05</v>
      </c>
      <c r="X66" s="4">
        <v>2158.35</v>
      </c>
      <c r="Y66" s="4">
        <v>943.05</v>
      </c>
      <c r="Z66" s="4">
        <v>5.83</v>
      </c>
      <c r="AA66" s="4">
        <v>1.86</v>
      </c>
      <c r="AB66" s="4">
        <v>3.87</v>
      </c>
      <c r="AC66" s="4">
        <v>77.010000000000005</v>
      </c>
      <c r="AD66" s="4">
        <v>490</v>
      </c>
      <c r="AE66" s="4">
        <v>4700</v>
      </c>
      <c r="AF66" s="4">
        <v>77.33</v>
      </c>
      <c r="AG66" s="4">
        <v>0.47</v>
      </c>
      <c r="AH66" s="4">
        <v>2.33</v>
      </c>
      <c r="AI66" s="4">
        <v>42.73</v>
      </c>
      <c r="AJ66" s="4">
        <v>60</v>
      </c>
      <c r="AK66" s="4">
        <v>9</v>
      </c>
      <c r="AL66" s="4">
        <v>9</v>
      </c>
      <c r="AM66" s="4">
        <v>0.53</v>
      </c>
      <c r="AN66" s="4">
        <v>294</v>
      </c>
      <c r="AO66" s="4">
        <v>298.77</v>
      </c>
      <c r="AP66" s="4">
        <v>465304.22</v>
      </c>
      <c r="AQ66" s="4">
        <v>153732.35</v>
      </c>
      <c r="AR66" s="4" t="s">
        <v>327</v>
      </c>
      <c r="AS66" s="5">
        <f t="shared" si="0"/>
        <v>17.783782534246576</v>
      </c>
    </row>
    <row r="67" spans="1:45" ht="14.25" customHeight="1" x14ac:dyDescent="0.55000000000000004">
      <c r="A67" s="4">
        <v>21.65</v>
      </c>
      <c r="B67" s="4">
        <v>32.14</v>
      </c>
      <c r="C67" s="4">
        <v>5458.4</v>
      </c>
      <c r="D67" s="4">
        <v>7.59</v>
      </c>
      <c r="E67" s="4" t="s">
        <v>328</v>
      </c>
      <c r="F67" s="4" t="s">
        <v>329</v>
      </c>
      <c r="G67" s="4" t="s">
        <v>229</v>
      </c>
      <c r="H67" s="4" t="s">
        <v>330</v>
      </c>
      <c r="I67" s="4">
        <v>0</v>
      </c>
      <c r="J67" s="4">
        <v>363.08</v>
      </c>
      <c r="K67" s="4">
        <f t="shared" ref="K67:K130" si="4">IF(E67=0,0,
VALUE(MID(E67,2,FIND(",",E67)-2))+
VALUE(MID(F67,2,FIND(",",F67)-2))+
VALUE(MID(G67,2,FIND(",",G67)-2))
)</f>
        <v>40.430000000000007</v>
      </c>
      <c r="L67" s="7">
        <f t="shared" ref="L67:L130" si="5">IF(E67=0,0,
VALUE(MID(E67,FIND(",",E67)+1,FIND("]",E67)-FIND(",",E67)-1))+
VALUE(MID(F67,FIND(",",F67)+1,FIND("]",F67)-FIND(",",F67)-1))+
VALUE(MID(G67,FIND(",",G67)+1,FIND("]",G67)-FIND(",",G67)-1))
)</f>
        <v>45.42</v>
      </c>
      <c r="M67" s="7">
        <f t="shared" ref="M67:M130" si="6">(K67-L67)</f>
        <v>-4.9899999999999949</v>
      </c>
      <c r="N67" s="4">
        <v>6.91</v>
      </c>
      <c r="O67" s="4">
        <v>88.75</v>
      </c>
      <c r="P67" s="4">
        <v>62</v>
      </c>
      <c r="Q67" s="4">
        <v>23.3</v>
      </c>
      <c r="R67" s="4">
        <v>10.49</v>
      </c>
      <c r="S67" s="4">
        <v>18.25</v>
      </c>
      <c r="T67" s="4">
        <v>3.4</v>
      </c>
      <c r="U67" s="4">
        <v>15.03</v>
      </c>
      <c r="V67" s="4">
        <v>3493.38</v>
      </c>
      <c r="W67" s="4">
        <v>1062.4100000000001</v>
      </c>
      <c r="X67" s="4">
        <v>1535.76</v>
      </c>
      <c r="Y67" s="4">
        <v>810.74</v>
      </c>
      <c r="Z67" s="4">
        <v>5.79</v>
      </c>
      <c r="AA67" s="4">
        <v>1.7</v>
      </c>
      <c r="AB67" s="4">
        <v>4.2</v>
      </c>
      <c r="AC67" s="4">
        <v>75.55</v>
      </c>
      <c r="AD67" s="4">
        <v>490</v>
      </c>
      <c r="AE67" s="4">
        <v>4700</v>
      </c>
      <c r="AF67" s="4">
        <v>75.430000000000007</v>
      </c>
      <c r="AG67" s="4">
        <v>0.47</v>
      </c>
      <c r="AH67" s="4">
        <v>5.38</v>
      </c>
      <c r="AI67" s="4">
        <v>48.59</v>
      </c>
      <c r="AJ67" s="4">
        <v>60</v>
      </c>
      <c r="AK67" s="4">
        <v>9</v>
      </c>
      <c r="AL67" s="4">
        <v>9</v>
      </c>
      <c r="AM67" s="4">
        <v>0.47</v>
      </c>
      <c r="AN67" s="4">
        <v>294</v>
      </c>
      <c r="AO67" s="4">
        <v>298.19</v>
      </c>
      <c r="AP67" s="4">
        <v>341538.2</v>
      </c>
      <c r="AQ67" s="4">
        <v>136420.29</v>
      </c>
      <c r="AR67" s="4" t="s">
        <v>331</v>
      </c>
      <c r="AS67" s="5">
        <f t="shared" si="0"/>
        <v>11.707643264840183</v>
      </c>
    </row>
    <row r="68" spans="1:45" ht="14.25" customHeight="1" x14ac:dyDescent="0.55000000000000004">
      <c r="A68" s="4">
        <v>21.76</v>
      </c>
      <c r="B68" s="4">
        <v>32.25</v>
      </c>
      <c r="C68" s="4">
        <v>5522.44</v>
      </c>
      <c r="D68" s="4">
        <v>7.59</v>
      </c>
      <c r="E68" s="4" t="s">
        <v>332</v>
      </c>
      <c r="F68" s="4" t="s">
        <v>333</v>
      </c>
      <c r="G68" s="4" t="s">
        <v>85</v>
      </c>
      <c r="H68" s="4" t="s">
        <v>334</v>
      </c>
      <c r="I68" s="4">
        <v>0</v>
      </c>
      <c r="J68" s="4">
        <v>586.88</v>
      </c>
      <c r="K68" s="4">
        <f t="shared" si="4"/>
        <v>50.99</v>
      </c>
      <c r="L68" s="7">
        <f t="shared" si="5"/>
        <v>58.059999999999995</v>
      </c>
      <c r="M68" s="7">
        <f t="shared" si="6"/>
        <v>-7.0699999999999932</v>
      </c>
      <c r="N68" s="4">
        <v>7.1</v>
      </c>
      <c r="O68" s="4">
        <v>88.79</v>
      </c>
      <c r="P68" s="4">
        <v>84</v>
      </c>
      <c r="Q68" s="4">
        <v>20.5</v>
      </c>
      <c r="R68" s="4">
        <v>10.49</v>
      </c>
      <c r="S68" s="4">
        <v>18.510000000000002</v>
      </c>
      <c r="T68" s="4">
        <v>3.25</v>
      </c>
      <c r="U68" s="4">
        <v>9.41</v>
      </c>
      <c r="V68" s="4">
        <v>3534.36</v>
      </c>
      <c r="W68" s="4">
        <v>1058.22</v>
      </c>
      <c r="X68" s="4">
        <v>1337.71</v>
      </c>
      <c r="Y68" s="4">
        <v>771.24</v>
      </c>
      <c r="Z68" s="4">
        <v>5.27</v>
      </c>
      <c r="AA68" s="4">
        <v>1.64</v>
      </c>
      <c r="AB68" s="4">
        <v>4.32</v>
      </c>
      <c r="AC68" s="4">
        <v>76.33</v>
      </c>
      <c r="AD68" s="4">
        <v>490</v>
      </c>
      <c r="AE68" s="4">
        <v>4700</v>
      </c>
      <c r="AF68" s="4">
        <v>75.42</v>
      </c>
      <c r="AG68" s="4">
        <v>0.47</v>
      </c>
      <c r="AH68" s="4">
        <v>8.9700000000000006</v>
      </c>
      <c r="AI68" s="4">
        <v>35.090000000000003</v>
      </c>
      <c r="AJ68" s="4">
        <v>60</v>
      </c>
      <c r="AK68" s="4">
        <v>9</v>
      </c>
      <c r="AL68" s="4">
        <v>9</v>
      </c>
      <c r="AM68" s="4">
        <v>0.65</v>
      </c>
      <c r="AN68" s="4">
        <v>294</v>
      </c>
      <c r="AO68" s="4">
        <v>299.81</v>
      </c>
      <c r="AP68" s="4">
        <v>356118.92</v>
      </c>
      <c r="AQ68" s="4">
        <v>153453.70000000001</v>
      </c>
      <c r="AR68" s="4" t="s">
        <v>335</v>
      </c>
      <c r="AS68" s="5">
        <f t="shared" si="0"/>
        <v>11.567649543378995</v>
      </c>
    </row>
    <row r="69" spans="1:45" ht="14.25" customHeight="1" x14ac:dyDescent="0.55000000000000004">
      <c r="A69" s="4">
        <v>21.74</v>
      </c>
      <c r="B69" s="4">
        <v>31.93</v>
      </c>
      <c r="C69" s="4">
        <v>5505.77</v>
      </c>
      <c r="D69" s="4">
        <v>7.59</v>
      </c>
      <c r="E69" s="4" t="s">
        <v>336</v>
      </c>
      <c r="F69" s="4" t="s">
        <v>337</v>
      </c>
      <c r="G69" s="4" t="s">
        <v>338</v>
      </c>
      <c r="H69" s="4" t="s">
        <v>339</v>
      </c>
      <c r="I69" s="4">
        <v>0</v>
      </c>
      <c r="J69" s="4">
        <v>519.52</v>
      </c>
      <c r="K69" s="4">
        <f t="shared" si="4"/>
        <v>47.739999999999995</v>
      </c>
      <c r="L69" s="7">
        <f t="shared" si="5"/>
        <v>53.96</v>
      </c>
      <c r="M69" s="7">
        <f t="shared" si="6"/>
        <v>-6.220000000000006</v>
      </c>
      <c r="N69" s="4">
        <v>7.05</v>
      </c>
      <c r="O69" s="4">
        <v>89.28</v>
      </c>
      <c r="P69" s="4">
        <v>89</v>
      </c>
      <c r="Q69" s="4">
        <v>19.399999999999999</v>
      </c>
      <c r="R69" s="4">
        <v>10.18</v>
      </c>
      <c r="S69" s="4">
        <v>18.059999999999999</v>
      </c>
      <c r="T69" s="4">
        <v>3.69</v>
      </c>
      <c r="U69" s="4">
        <v>10.6</v>
      </c>
      <c r="V69" s="4">
        <v>3523.69</v>
      </c>
      <c r="W69" s="4">
        <v>1060.1199999999999</v>
      </c>
      <c r="X69" s="4">
        <v>1390.61</v>
      </c>
      <c r="Y69" s="4">
        <v>782.91</v>
      </c>
      <c r="Z69" s="4">
        <v>5.75</v>
      </c>
      <c r="AA69" s="4">
        <v>1.65</v>
      </c>
      <c r="AB69" s="4">
        <v>4.29</v>
      </c>
      <c r="AC69" s="4">
        <v>73.41</v>
      </c>
      <c r="AD69" s="4">
        <v>490</v>
      </c>
      <c r="AE69" s="4">
        <v>4700</v>
      </c>
      <c r="AF69" s="4">
        <v>73.22</v>
      </c>
      <c r="AG69" s="4">
        <v>0.47</v>
      </c>
      <c r="AH69" s="4">
        <v>7.63</v>
      </c>
      <c r="AI69" s="4">
        <v>40.9</v>
      </c>
      <c r="AJ69" s="4">
        <v>60</v>
      </c>
      <c r="AK69" s="4">
        <v>9</v>
      </c>
      <c r="AL69" s="4">
        <v>9</v>
      </c>
      <c r="AM69" s="4">
        <v>0.55000000000000004</v>
      </c>
      <c r="AN69" s="4">
        <v>294</v>
      </c>
      <c r="AO69" s="4">
        <v>298.98</v>
      </c>
      <c r="AP69" s="4">
        <v>347420</v>
      </c>
      <c r="AQ69" s="4">
        <v>167055.29999999999</v>
      </c>
      <c r="AR69" s="4" t="s">
        <v>340</v>
      </c>
      <c r="AS69" s="5">
        <f t="shared" si="0"/>
        <v>10.294788812785388</v>
      </c>
    </row>
    <row r="70" spans="1:45" ht="14.25" customHeight="1" x14ac:dyDescent="0.55000000000000004">
      <c r="A70" s="4">
        <v>21.5</v>
      </c>
      <c r="B70" s="4">
        <v>32.33</v>
      </c>
      <c r="C70" s="4">
        <v>5449.38</v>
      </c>
      <c r="D70" s="4">
        <v>7.6</v>
      </c>
      <c r="E70" s="4" t="s">
        <v>341</v>
      </c>
      <c r="F70" s="4" t="s">
        <v>342</v>
      </c>
      <c r="G70" s="4" t="s">
        <v>343</v>
      </c>
      <c r="H70" s="4" t="s">
        <v>344</v>
      </c>
      <c r="I70" s="4">
        <v>0</v>
      </c>
      <c r="J70" s="4">
        <v>155.46</v>
      </c>
      <c r="K70" s="4">
        <f t="shared" si="4"/>
        <v>46.11999999999999</v>
      </c>
      <c r="L70" s="7">
        <f t="shared" si="5"/>
        <v>52.14</v>
      </c>
      <c r="M70" s="7">
        <f t="shared" si="6"/>
        <v>-6.0200000000000102</v>
      </c>
      <c r="N70" s="4">
        <v>6.7</v>
      </c>
      <c r="O70" s="4">
        <v>89</v>
      </c>
      <c r="P70" s="4">
        <v>92</v>
      </c>
      <c r="Q70" s="4">
        <v>19.100000000000001</v>
      </c>
      <c r="R70" s="4">
        <v>10.83</v>
      </c>
      <c r="S70" s="4">
        <v>18.13</v>
      </c>
      <c r="T70" s="4">
        <v>3.37</v>
      </c>
      <c r="U70" s="4">
        <v>35.049999999999997</v>
      </c>
      <c r="V70" s="4">
        <v>3487.6</v>
      </c>
      <c r="W70" s="4">
        <v>1103.26</v>
      </c>
      <c r="X70" s="4">
        <v>2171.2800000000002</v>
      </c>
      <c r="Y70" s="4">
        <v>943.96</v>
      </c>
      <c r="Z70" s="4">
        <v>5.75</v>
      </c>
      <c r="AA70" s="4">
        <v>1.87</v>
      </c>
      <c r="AB70" s="4">
        <v>3.86</v>
      </c>
      <c r="AC70" s="4">
        <v>76.239999999999995</v>
      </c>
      <c r="AD70" s="4">
        <v>490</v>
      </c>
      <c r="AE70" s="4">
        <v>4700</v>
      </c>
      <c r="AF70" s="4">
        <v>77.849999999999994</v>
      </c>
      <c r="AG70" s="4">
        <v>0.47</v>
      </c>
      <c r="AH70" s="4">
        <v>2.29</v>
      </c>
      <c r="AI70" s="4">
        <v>42.34</v>
      </c>
      <c r="AJ70" s="4">
        <v>60</v>
      </c>
      <c r="AK70" s="4">
        <v>9</v>
      </c>
      <c r="AL70" s="4">
        <v>9</v>
      </c>
      <c r="AM70" s="4">
        <v>0.53</v>
      </c>
      <c r="AN70" s="4">
        <v>294</v>
      </c>
      <c r="AO70" s="4">
        <v>298.81</v>
      </c>
      <c r="AP70" s="4">
        <v>459860.78</v>
      </c>
      <c r="AQ70" s="4">
        <v>158102.22</v>
      </c>
      <c r="AR70" s="4" t="s">
        <v>345</v>
      </c>
      <c r="AS70" s="5">
        <f t="shared" si="0"/>
        <v>17.223662100456625</v>
      </c>
    </row>
    <row r="71" spans="1:45" ht="14.25" customHeight="1" x14ac:dyDescent="0.55000000000000004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f t="shared" si="4"/>
        <v>0</v>
      </c>
      <c r="L71" s="7">
        <f t="shared" si="5"/>
        <v>0</v>
      </c>
      <c r="M71" s="7">
        <f t="shared" si="6"/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5">
        <f t="shared" si="0"/>
        <v>0</v>
      </c>
    </row>
    <row r="72" spans="1:45" ht="14.25" customHeight="1" x14ac:dyDescent="0.55000000000000004">
      <c r="A72" s="4">
        <v>21.98</v>
      </c>
      <c r="B72" s="4">
        <v>32.729999999999997</v>
      </c>
      <c r="C72" s="4">
        <v>5526.09</v>
      </c>
      <c r="D72" s="4">
        <v>7.6</v>
      </c>
      <c r="E72" s="4" t="s">
        <v>346</v>
      </c>
      <c r="F72" s="4" t="s">
        <v>347</v>
      </c>
      <c r="G72" s="4" t="s">
        <v>348</v>
      </c>
      <c r="H72" s="4" t="s">
        <v>349</v>
      </c>
      <c r="I72" s="4">
        <v>0</v>
      </c>
      <c r="J72" s="4">
        <v>529.61</v>
      </c>
      <c r="K72" s="4">
        <f t="shared" si="4"/>
        <v>55.47</v>
      </c>
      <c r="L72" s="7">
        <f t="shared" si="5"/>
        <v>60.59</v>
      </c>
      <c r="M72" s="7">
        <f t="shared" si="6"/>
        <v>-5.1200000000000045</v>
      </c>
      <c r="N72" s="4">
        <v>7.02</v>
      </c>
      <c r="O72" s="4">
        <v>88.84</v>
      </c>
      <c r="P72" s="4">
        <v>83</v>
      </c>
      <c r="Q72" s="4">
        <v>20.6</v>
      </c>
      <c r="R72" s="4">
        <v>10.74</v>
      </c>
      <c r="S72" s="4">
        <v>18.48</v>
      </c>
      <c r="T72" s="4">
        <v>3.5</v>
      </c>
      <c r="U72" s="4">
        <v>10.43</v>
      </c>
      <c r="V72" s="4">
        <v>3536.7</v>
      </c>
      <c r="W72" s="4">
        <v>1058.26</v>
      </c>
      <c r="X72" s="4">
        <v>1350.49</v>
      </c>
      <c r="Y72" s="4">
        <v>772.01</v>
      </c>
      <c r="Z72" s="4">
        <v>5.49</v>
      </c>
      <c r="AA72" s="4">
        <v>1.66</v>
      </c>
      <c r="AB72" s="4">
        <v>4.29</v>
      </c>
      <c r="AC72" s="4">
        <v>75.430000000000007</v>
      </c>
      <c r="AD72" s="4">
        <v>490</v>
      </c>
      <c r="AE72" s="4">
        <v>4700</v>
      </c>
      <c r="AF72" s="4">
        <v>77.25</v>
      </c>
      <c r="AG72" s="4">
        <v>0.47</v>
      </c>
      <c r="AH72" s="4">
        <v>8.19</v>
      </c>
      <c r="AI72" s="4">
        <v>33.630000000000003</v>
      </c>
      <c r="AJ72" s="4">
        <v>60</v>
      </c>
      <c r="AK72" s="4">
        <v>9</v>
      </c>
      <c r="AL72" s="4">
        <v>9</v>
      </c>
      <c r="AM72" s="4">
        <v>0.67</v>
      </c>
      <c r="AN72" s="4">
        <v>294</v>
      </c>
      <c r="AO72" s="4">
        <v>300.06</v>
      </c>
      <c r="AP72" s="4">
        <v>439813.86</v>
      </c>
      <c r="AQ72" s="4">
        <v>163554.43</v>
      </c>
      <c r="AR72" s="4" t="s">
        <v>350</v>
      </c>
      <c r="AS72" s="5">
        <f t="shared" si="0"/>
        <v>15.768232305936072</v>
      </c>
    </row>
    <row r="73" spans="1:45" ht="14.25" customHeight="1" x14ac:dyDescent="0.55000000000000004">
      <c r="A73" s="4">
        <v>21.34</v>
      </c>
      <c r="B73" s="4">
        <v>32.28</v>
      </c>
      <c r="C73" s="4">
        <v>5446.34</v>
      </c>
      <c r="D73" s="4">
        <v>7.6</v>
      </c>
      <c r="E73" s="4" t="s">
        <v>351</v>
      </c>
      <c r="F73" s="4" t="s">
        <v>352</v>
      </c>
      <c r="G73" s="4" t="s">
        <v>353</v>
      </c>
      <c r="H73" s="4" t="s">
        <v>354</v>
      </c>
      <c r="I73" s="4">
        <v>0</v>
      </c>
      <c r="J73" s="4">
        <v>160.1</v>
      </c>
      <c r="K73" s="4">
        <f t="shared" si="4"/>
        <v>46.25</v>
      </c>
      <c r="L73" s="7">
        <f t="shared" si="5"/>
        <v>52.290000000000006</v>
      </c>
      <c r="M73" s="7">
        <f t="shared" si="6"/>
        <v>-6.0400000000000063</v>
      </c>
      <c r="N73" s="4">
        <v>6.71</v>
      </c>
      <c r="O73" s="4">
        <v>88.97</v>
      </c>
      <c r="P73" s="4">
        <v>95</v>
      </c>
      <c r="Q73" s="4">
        <v>18.600000000000001</v>
      </c>
      <c r="R73" s="4">
        <v>10.94</v>
      </c>
      <c r="S73" s="4">
        <v>17.989999999999998</v>
      </c>
      <c r="T73" s="4">
        <v>3.34</v>
      </c>
      <c r="U73" s="4">
        <v>34.020000000000003</v>
      </c>
      <c r="V73" s="4">
        <v>3485.66</v>
      </c>
      <c r="W73" s="4">
        <v>1101.6600000000001</v>
      </c>
      <c r="X73" s="4">
        <v>2146.2800000000002</v>
      </c>
      <c r="Y73" s="4">
        <v>939.36</v>
      </c>
      <c r="Z73" s="4">
        <v>5.75</v>
      </c>
      <c r="AA73" s="4">
        <v>1.86</v>
      </c>
      <c r="AB73" s="4">
        <v>3.87</v>
      </c>
      <c r="AC73" s="4">
        <v>76.59</v>
      </c>
      <c r="AD73" s="4">
        <v>490</v>
      </c>
      <c r="AE73" s="4">
        <v>4700</v>
      </c>
      <c r="AF73" s="4">
        <v>78.67</v>
      </c>
      <c r="AG73" s="4">
        <v>0.47</v>
      </c>
      <c r="AH73" s="4">
        <v>2.38</v>
      </c>
      <c r="AI73" s="4">
        <v>42.21</v>
      </c>
      <c r="AJ73" s="4">
        <v>60</v>
      </c>
      <c r="AK73" s="4">
        <v>9</v>
      </c>
      <c r="AL73" s="4">
        <v>9</v>
      </c>
      <c r="AM73" s="4">
        <v>0.54</v>
      </c>
      <c r="AN73" s="4">
        <v>294</v>
      </c>
      <c r="AO73" s="4">
        <v>298.83</v>
      </c>
      <c r="AP73" s="4">
        <v>458772.76</v>
      </c>
      <c r="AQ73" s="4">
        <v>157583.49</v>
      </c>
      <c r="AR73" s="4" t="s">
        <v>355</v>
      </c>
      <c r="AS73" s="5">
        <f t="shared" si="0"/>
        <v>17.191168378995435</v>
      </c>
    </row>
    <row r="74" spans="1:45" ht="14.25" customHeight="1" x14ac:dyDescent="0.55000000000000004">
      <c r="A74" s="4">
        <v>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f t="shared" si="4"/>
        <v>0</v>
      </c>
      <c r="L74" s="7">
        <f t="shared" si="5"/>
        <v>0</v>
      </c>
      <c r="M74" s="7">
        <f t="shared" si="6"/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5">
        <f t="shared" si="0"/>
        <v>0</v>
      </c>
    </row>
    <row r="75" spans="1:45" ht="14.25" customHeight="1" x14ac:dyDescent="0.55000000000000004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f t="shared" si="4"/>
        <v>0</v>
      </c>
      <c r="L75" s="7">
        <f t="shared" si="5"/>
        <v>0</v>
      </c>
      <c r="M75" s="7">
        <f t="shared" si="6"/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5">
        <f t="shared" si="0"/>
        <v>0</v>
      </c>
    </row>
    <row r="76" spans="1:45" ht="14.25" customHeight="1" x14ac:dyDescent="0.55000000000000004">
      <c r="A76" s="4">
        <v>22</v>
      </c>
      <c r="B76" s="4">
        <v>32.659999999999997</v>
      </c>
      <c r="C76" s="4">
        <v>5516.63</v>
      </c>
      <c r="D76" s="4">
        <v>7.59</v>
      </c>
      <c r="E76" s="4" t="s">
        <v>356</v>
      </c>
      <c r="F76" s="4" t="s">
        <v>357</v>
      </c>
      <c r="G76" s="4" t="s">
        <v>358</v>
      </c>
      <c r="H76" s="4" t="s">
        <v>359</v>
      </c>
      <c r="I76" s="4">
        <v>0</v>
      </c>
      <c r="J76" s="4">
        <v>538.82000000000005</v>
      </c>
      <c r="K76" s="4">
        <f t="shared" si="4"/>
        <v>56.510000000000005</v>
      </c>
      <c r="L76" s="7">
        <f t="shared" si="5"/>
        <v>60.760000000000005</v>
      </c>
      <c r="M76" s="7">
        <f t="shared" si="6"/>
        <v>-4.25</v>
      </c>
      <c r="N76" s="4">
        <v>7.04</v>
      </c>
      <c r="O76" s="4">
        <v>88.95</v>
      </c>
      <c r="P76" s="4">
        <v>88</v>
      </c>
      <c r="Q76" s="4">
        <v>20.100000000000001</v>
      </c>
      <c r="R76" s="4">
        <v>10.67</v>
      </c>
      <c r="S76" s="4">
        <v>18.62</v>
      </c>
      <c r="T76" s="4">
        <v>3.38</v>
      </c>
      <c r="U76" s="4">
        <v>10.24</v>
      </c>
      <c r="V76" s="4">
        <v>3530.64</v>
      </c>
      <c r="W76" s="4">
        <v>1056.71</v>
      </c>
      <c r="X76" s="4">
        <v>1347.17</v>
      </c>
      <c r="Y76" s="4">
        <v>770.98</v>
      </c>
      <c r="Z76" s="4">
        <v>5.58</v>
      </c>
      <c r="AA76" s="4">
        <v>1.64</v>
      </c>
      <c r="AB76" s="4">
        <v>4.3099999999999996</v>
      </c>
      <c r="AC76" s="4">
        <v>75.95</v>
      </c>
      <c r="AD76" s="4">
        <v>490</v>
      </c>
      <c r="AE76" s="4">
        <v>4700</v>
      </c>
      <c r="AF76" s="4">
        <v>76.7</v>
      </c>
      <c r="AG76" s="4">
        <v>0.47</v>
      </c>
      <c r="AH76" s="4">
        <v>8.3000000000000007</v>
      </c>
      <c r="AI76" s="4">
        <v>33.53</v>
      </c>
      <c r="AJ76" s="4">
        <v>60</v>
      </c>
      <c r="AK76" s="4">
        <v>9</v>
      </c>
      <c r="AL76" s="4">
        <v>9</v>
      </c>
      <c r="AM76" s="4">
        <v>0.68</v>
      </c>
      <c r="AN76" s="4">
        <v>294</v>
      </c>
      <c r="AO76" s="4">
        <v>300.08</v>
      </c>
      <c r="AP76" s="4">
        <v>450866.98</v>
      </c>
      <c r="AQ76" s="4">
        <v>160576.72</v>
      </c>
      <c r="AR76" s="4" t="s">
        <v>360</v>
      </c>
      <c r="AS76" s="5">
        <f t="shared" si="0"/>
        <v>16.569078767123287</v>
      </c>
    </row>
    <row r="77" spans="1:45" ht="14.25" customHeight="1" x14ac:dyDescent="0.55000000000000004">
      <c r="A77" s="4">
        <v>21.61</v>
      </c>
      <c r="B77" s="4">
        <v>32.43</v>
      </c>
      <c r="C77" s="4">
        <v>5450.24</v>
      </c>
      <c r="D77" s="4">
        <v>7.6</v>
      </c>
      <c r="E77" s="4" t="s">
        <v>361</v>
      </c>
      <c r="F77" s="4" t="s">
        <v>362</v>
      </c>
      <c r="G77" s="4" t="s">
        <v>363</v>
      </c>
      <c r="H77" s="4" t="s">
        <v>364</v>
      </c>
      <c r="I77" s="4">
        <v>0</v>
      </c>
      <c r="J77" s="4">
        <v>152.74</v>
      </c>
      <c r="K77" s="4">
        <f t="shared" si="4"/>
        <v>45.92</v>
      </c>
      <c r="L77" s="7">
        <f t="shared" si="5"/>
        <v>51.9</v>
      </c>
      <c r="M77" s="7">
        <f t="shared" si="6"/>
        <v>-5.9799999999999969</v>
      </c>
      <c r="N77" s="4">
        <v>6.7</v>
      </c>
      <c r="O77" s="4">
        <v>89.12</v>
      </c>
      <c r="P77" s="4">
        <v>90</v>
      </c>
      <c r="Q77" s="4">
        <v>19.600000000000001</v>
      </c>
      <c r="R77" s="4">
        <v>10.82</v>
      </c>
      <c r="S77" s="4">
        <v>18.38</v>
      </c>
      <c r="T77" s="4">
        <v>3.23</v>
      </c>
      <c r="U77" s="4">
        <v>35.68</v>
      </c>
      <c r="V77" s="4">
        <v>3488.15</v>
      </c>
      <c r="W77" s="4">
        <v>1104.94</v>
      </c>
      <c r="X77" s="4">
        <v>2192.84</v>
      </c>
      <c r="Y77" s="4">
        <v>948.73</v>
      </c>
      <c r="Z77" s="4">
        <v>5.75</v>
      </c>
      <c r="AA77" s="4">
        <v>1.88</v>
      </c>
      <c r="AB77" s="4">
        <v>3.84</v>
      </c>
      <c r="AC77" s="4">
        <v>76.989999999999995</v>
      </c>
      <c r="AD77" s="4">
        <v>490</v>
      </c>
      <c r="AE77" s="4">
        <v>4700</v>
      </c>
      <c r="AF77" s="4">
        <v>77.83</v>
      </c>
      <c r="AG77" s="4">
        <v>0.47</v>
      </c>
      <c r="AH77" s="4">
        <v>2.2400000000000002</v>
      </c>
      <c r="AI77" s="4">
        <v>42.52</v>
      </c>
      <c r="AJ77" s="4">
        <v>60</v>
      </c>
      <c r="AK77" s="4">
        <v>9</v>
      </c>
      <c r="AL77" s="4">
        <v>9</v>
      </c>
      <c r="AM77" s="4">
        <v>0.53</v>
      </c>
      <c r="AN77" s="4">
        <v>294</v>
      </c>
      <c r="AO77" s="4">
        <v>298.79000000000002</v>
      </c>
      <c r="AP77" s="4">
        <v>458873.16</v>
      </c>
      <c r="AQ77" s="4">
        <v>157243.13</v>
      </c>
      <c r="AR77" s="4" t="s">
        <v>365</v>
      </c>
      <c r="AS77" s="5">
        <f t="shared" si="0"/>
        <v>17.216325913242006</v>
      </c>
    </row>
    <row r="78" spans="1:45" ht="14.25" customHeight="1" x14ac:dyDescent="0.55000000000000004">
      <c r="A78" s="4">
        <v>21.66</v>
      </c>
      <c r="B78" s="4">
        <v>32.369999999999997</v>
      </c>
      <c r="C78" s="4">
        <v>5516.47</v>
      </c>
      <c r="D78" s="4">
        <v>7.59</v>
      </c>
      <c r="E78" s="4" t="s">
        <v>366</v>
      </c>
      <c r="F78" s="4" t="s">
        <v>367</v>
      </c>
      <c r="G78" s="4" t="s">
        <v>368</v>
      </c>
      <c r="H78" s="4" t="s">
        <v>369</v>
      </c>
      <c r="I78" s="4">
        <v>0</v>
      </c>
      <c r="J78" s="4">
        <v>878.41</v>
      </c>
      <c r="K78" s="4">
        <f t="shared" si="4"/>
        <v>71.22</v>
      </c>
      <c r="L78" s="7">
        <f t="shared" si="5"/>
        <v>82.609999999999985</v>
      </c>
      <c r="M78" s="7">
        <f t="shared" si="6"/>
        <v>-11.389999999999986</v>
      </c>
      <c r="N78" s="4">
        <v>7.3</v>
      </c>
      <c r="O78" s="4">
        <v>88.32</v>
      </c>
      <c r="P78" s="4">
        <v>62</v>
      </c>
      <c r="Q78" s="4">
        <v>22.9</v>
      </c>
      <c r="R78" s="4">
        <v>10.71</v>
      </c>
      <c r="S78" s="4">
        <v>17.89</v>
      </c>
      <c r="T78" s="4">
        <v>3.77</v>
      </c>
      <c r="U78" s="4">
        <v>6.28</v>
      </c>
      <c r="V78" s="4">
        <v>3530.54</v>
      </c>
      <c r="W78" s="4">
        <v>1044.2</v>
      </c>
      <c r="X78" s="4">
        <v>1191.53</v>
      </c>
      <c r="Y78" s="4">
        <v>734.9</v>
      </c>
      <c r="Z78" s="4">
        <v>5.17</v>
      </c>
      <c r="AA78" s="4">
        <v>1.58</v>
      </c>
      <c r="AB78" s="4">
        <v>4.43</v>
      </c>
      <c r="AC78" s="4">
        <v>73.98</v>
      </c>
      <c r="AD78" s="4">
        <v>490</v>
      </c>
      <c r="AE78" s="4">
        <v>4700</v>
      </c>
      <c r="AF78" s="4">
        <v>77.010000000000005</v>
      </c>
      <c r="AG78" s="4">
        <v>0.47</v>
      </c>
      <c r="AH78" s="4">
        <v>14.59</v>
      </c>
      <c r="AI78" s="4">
        <v>24.66</v>
      </c>
      <c r="AJ78" s="4">
        <v>60</v>
      </c>
      <c r="AK78" s="4">
        <v>9</v>
      </c>
      <c r="AL78" s="4">
        <v>9</v>
      </c>
      <c r="AM78" s="4">
        <v>0.92</v>
      </c>
      <c r="AN78" s="4">
        <v>294</v>
      </c>
      <c r="AO78" s="4">
        <v>302.26</v>
      </c>
      <c r="AP78" s="4">
        <v>369572.53</v>
      </c>
      <c r="AQ78" s="4">
        <v>272585.62</v>
      </c>
      <c r="AR78" s="4" t="s">
        <v>370</v>
      </c>
      <c r="AS78" s="5">
        <f t="shared" si="0"/>
        <v>5.535782534246577</v>
      </c>
    </row>
    <row r="79" spans="1:45" ht="14.25" customHeight="1" x14ac:dyDescent="0.55000000000000004">
      <c r="A79" s="4">
        <v>21.93</v>
      </c>
      <c r="B79" s="4">
        <v>32.299999999999997</v>
      </c>
      <c r="C79" s="4">
        <v>5505.23</v>
      </c>
      <c r="D79" s="4">
        <v>7.6</v>
      </c>
      <c r="E79" s="4" t="s">
        <v>371</v>
      </c>
      <c r="F79" s="4" t="s">
        <v>372</v>
      </c>
      <c r="G79" s="4" t="s">
        <v>373</v>
      </c>
      <c r="H79" s="4" t="s">
        <v>374</v>
      </c>
      <c r="I79" s="4">
        <v>0</v>
      </c>
      <c r="J79" s="4">
        <v>712.27</v>
      </c>
      <c r="K79" s="4">
        <f t="shared" si="4"/>
        <v>58.85</v>
      </c>
      <c r="L79" s="7">
        <f t="shared" si="5"/>
        <v>66.91</v>
      </c>
      <c r="M79" s="7">
        <f t="shared" si="6"/>
        <v>-8.0599999999999952</v>
      </c>
      <c r="N79" s="4">
        <v>7.19</v>
      </c>
      <c r="O79" s="4">
        <v>88.77</v>
      </c>
      <c r="P79" s="4">
        <v>90</v>
      </c>
      <c r="Q79" s="4">
        <v>19.8</v>
      </c>
      <c r="R79" s="4">
        <v>10.37</v>
      </c>
      <c r="S79" s="4">
        <v>18.57</v>
      </c>
      <c r="T79" s="4">
        <v>3.36</v>
      </c>
      <c r="U79" s="4">
        <v>7.73</v>
      </c>
      <c r="V79" s="4">
        <v>3523.35</v>
      </c>
      <c r="W79" s="4">
        <v>1048.94</v>
      </c>
      <c r="X79" s="4">
        <v>1263</v>
      </c>
      <c r="Y79" s="4">
        <v>751.99</v>
      </c>
      <c r="Z79" s="4">
        <v>5.28</v>
      </c>
      <c r="AA79" s="4">
        <v>1.62</v>
      </c>
      <c r="AB79" s="4">
        <v>4.3600000000000003</v>
      </c>
      <c r="AC79" s="4">
        <v>75.510000000000005</v>
      </c>
      <c r="AD79" s="4">
        <v>490</v>
      </c>
      <c r="AE79" s="4">
        <v>4700</v>
      </c>
      <c r="AF79" s="4">
        <v>74.56</v>
      </c>
      <c r="AG79" s="4">
        <v>0.47</v>
      </c>
      <c r="AH79" s="4">
        <v>11.08</v>
      </c>
      <c r="AI79" s="4">
        <v>30.45</v>
      </c>
      <c r="AJ79" s="4">
        <v>60</v>
      </c>
      <c r="AK79" s="4">
        <v>9</v>
      </c>
      <c r="AL79" s="4">
        <v>9</v>
      </c>
      <c r="AM79" s="4">
        <v>0.74</v>
      </c>
      <c r="AN79" s="4">
        <v>294</v>
      </c>
      <c r="AO79" s="4">
        <v>300.69</v>
      </c>
      <c r="AP79" s="4">
        <v>367864.32000000001</v>
      </c>
      <c r="AQ79" s="4">
        <v>191084.51</v>
      </c>
      <c r="AR79" s="4" t="s">
        <v>375</v>
      </c>
      <c r="AS79" s="5">
        <f t="shared" si="0"/>
        <v>10.090171803652968</v>
      </c>
    </row>
    <row r="80" spans="1:45" ht="14.25" customHeight="1" x14ac:dyDescent="0.55000000000000004">
      <c r="A80" s="4">
        <v>20.62</v>
      </c>
      <c r="B80" s="4">
        <v>31.73</v>
      </c>
      <c r="C80" s="4">
        <v>5463.71</v>
      </c>
      <c r="D80" s="4">
        <v>7.59</v>
      </c>
      <c r="E80" s="4" t="s">
        <v>376</v>
      </c>
      <c r="F80" s="4" t="s">
        <v>377</v>
      </c>
      <c r="G80" s="4" t="s">
        <v>378</v>
      </c>
      <c r="H80" s="4" t="s">
        <v>379</v>
      </c>
      <c r="I80" s="4">
        <v>0</v>
      </c>
      <c r="J80" s="4">
        <v>325.83</v>
      </c>
      <c r="K80" s="4">
        <f t="shared" si="4"/>
        <v>40.07</v>
      </c>
      <c r="L80" s="7">
        <f t="shared" si="5"/>
        <v>44.989999999999995</v>
      </c>
      <c r="M80" s="7">
        <f t="shared" si="6"/>
        <v>-4.9199999999999946</v>
      </c>
      <c r="N80" s="4">
        <v>6.91</v>
      </c>
      <c r="O80" s="4">
        <v>88.58</v>
      </c>
      <c r="P80" s="4">
        <v>97</v>
      </c>
      <c r="Q80" s="4">
        <v>16.899999999999999</v>
      </c>
      <c r="R80" s="4">
        <v>11.1</v>
      </c>
      <c r="S80" s="4">
        <v>16.54</v>
      </c>
      <c r="T80" s="4">
        <v>4.09</v>
      </c>
      <c r="U80" s="4">
        <v>16.77</v>
      </c>
      <c r="V80" s="4">
        <v>3496.77</v>
      </c>
      <c r="W80" s="4">
        <v>1075.53</v>
      </c>
      <c r="X80" s="4">
        <v>1653.29</v>
      </c>
      <c r="Y80" s="4">
        <v>842.72</v>
      </c>
      <c r="Z80" s="4">
        <v>5.79</v>
      </c>
      <c r="AA80" s="4">
        <v>1.71</v>
      </c>
      <c r="AB80" s="4">
        <v>4.16</v>
      </c>
      <c r="AC80" s="4">
        <v>73.08</v>
      </c>
      <c r="AD80" s="4">
        <v>490</v>
      </c>
      <c r="AE80" s="4">
        <v>4700</v>
      </c>
      <c r="AF80" s="4">
        <v>79.84</v>
      </c>
      <c r="AG80" s="4">
        <v>0.47</v>
      </c>
      <c r="AH80" s="4">
        <v>5.0599999999999996</v>
      </c>
      <c r="AI80" s="4">
        <v>49.06</v>
      </c>
      <c r="AJ80" s="4">
        <v>60</v>
      </c>
      <c r="AK80" s="4">
        <v>9</v>
      </c>
      <c r="AL80" s="4">
        <v>9</v>
      </c>
      <c r="AM80" s="4">
        <v>0.46</v>
      </c>
      <c r="AN80" s="4">
        <v>294</v>
      </c>
      <c r="AO80" s="4">
        <v>298.14999999999998</v>
      </c>
      <c r="AP80" s="4">
        <v>340031.7</v>
      </c>
      <c r="AQ80" s="4">
        <v>122837.97</v>
      </c>
      <c r="AR80" s="4" t="s">
        <v>380</v>
      </c>
      <c r="AS80" s="5">
        <f t="shared" si="0"/>
        <v>12.396902397260275</v>
      </c>
    </row>
    <row r="81" spans="1:45" ht="14.25" customHeight="1" x14ac:dyDescent="0.55000000000000004">
      <c r="A81" s="4">
        <v>22.11</v>
      </c>
      <c r="B81" s="4">
        <v>32.68</v>
      </c>
      <c r="C81" s="4">
        <v>5447.2</v>
      </c>
      <c r="D81" s="4">
        <v>7.6</v>
      </c>
      <c r="E81" s="4" t="s">
        <v>381</v>
      </c>
      <c r="F81" s="4" t="s">
        <v>382</v>
      </c>
      <c r="G81" s="4" t="s">
        <v>50</v>
      </c>
      <c r="H81" s="4" t="s">
        <v>383</v>
      </c>
      <c r="I81" s="4">
        <v>0</v>
      </c>
      <c r="J81" s="4">
        <v>839.67</v>
      </c>
      <c r="K81" s="4">
        <f t="shared" si="4"/>
        <v>68.16</v>
      </c>
      <c r="L81" s="7">
        <f t="shared" si="5"/>
        <v>79.390000000000015</v>
      </c>
      <c r="M81" s="7">
        <f t="shared" si="6"/>
        <v>-11.230000000000018</v>
      </c>
      <c r="N81" s="4">
        <v>7.28</v>
      </c>
      <c r="O81" s="4">
        <v>88.28</v>
      </c>
      <c r="P81" s="4">
        <v>86</v>
      </c>
      <c r="Q81" s="4">
        <v>21</v>
      </c>
      <c r="R81" s="4">
        <v>10.57</v>
      </c>
      <c r="S81" s="4">
        <v>19.25</v>
      </c>
      <c r="T81" s="4">
        <v>2.86</v>
      </c>
      <c r="U81" s="4">
        <v>6.49</v>
      </c>
      <c r="V81" s="4">
        <v>3486.21</v>
      </c>
      <c r="W81" s="4">
        <v>1032.69</v>
      </c>
      <c r="X81" s="4">
        <v>1192.93</v>
      </c>
      <c r="Y81" s="4">
        <v>729.92</v>
      </c>
      <c r="Z81" s="4">
        <v>5.15</v>
      </c>
      <c r="AA81" s="4">
        <v>1.59</v>
      </c>
      <c r="AB81" s="4">
        <v>4.41</v>
      </c>
      <c r="AC81" s="4">
        <v>78.69</v>
      </c>
      <c r="AD81" s="4">
        <v>490</v>
      </c>
      <c r="AE81" s="4">
        <v>4700</v>
      </c>
      <c r="AF81" s="4">
        <v>75.989999999999995</v>
      </c>
      <c r="AG81" s="4">
        <v>0.47</v>
      </c>
      <c r="AH81" s="4">
        <v>13.85</v>
      </c>
      <c r="AI81" s="4">
        <v>25.66</v>
      </c>
      <c r="AJ81" s="4">
        <v>60</v>
      </c>
      <c r="AK81" s="4">
        <v>9</v>
      </c>
      <c r="AL81" s="4">
        <v>9</v>
      </c>
      <c r="AM81" s="4">
        <v>0.88</v>
      </c>
      <c r="AN81" s="4">
        <v>294</v>
      </c>
      <c r="AO81" s="4">
        <v>301.94</v>
      </c>
      <c r="AP81" s="4">
        <v>363161.77</v>
      </c>
      <c r="AQ81" s="4">
        <v>253034.32</v>
      </c>
      <c r="AR81" s="4" t="s">
        <v>384</v>
      </c>
      <c r="AS81" s="5">
        <f t="shared" si="0"/>
        <v>6.2858133561643843</v>
      </c>
    </row>
    <row r="82" spans="1:45" ht="14.25" customHeight="1" x14ac:dyDescent="0.55000000000000004">
      <c r="A82" s="4">
        <v>22.14</v>
      </c>
      <c r="B82" s="4">
        <v>32.49</v>
      </c>
      <c r="C82" s="4">
        <v>5412.81</v>
      </c>
      <c r="D82" s="4">
        <v>7.6</v>
      </c>
      <c r="E82" s="4" t="s">
        <v>385</v>
      </c>
      <c r="F82" s="4" t="s">
        <v>386</v>
      </c>
      <c r="G82" s="4" t="s">
        <v>248</v>
      </c>
      <c r="H82" s="4" t="s">
        <v>387</v>
      </c>
      <c r="I82" s="4">
        <v>0</v>
      </c>
      <c r="J82" s="4">
        <v>658.3</v>
      </c>
      <c r="K82" s="4">
        <f t="shared" si="4"/>
        <v>54.120000000000005</v>
      </c>
      <c r="L82" s="7">
        <f t="shared" si="5"/>
        <v>62.55</v>
      </c>
      <c r="M82" s="7">
        <f t="shared" si="6"/>
        <v>-8.4299999999999926</v>
      </c>
      <c r="N82" s="4">
        <v>7.14</v>
      </c>
      <c r="O82" s="4">
        <v>89.68</v>
      </c>
      <c r="P82" s="4">
        <v>84</v>
      </c>
      <c r="Q82" s="4">
        <v>21.3</v>
      </c>
      <c r="R82" s="4">
        <v>10.35</v>
      </c>
      <c r="S82" s="4">
        <v>19.29</v>
      </c>
      <c r="T82" s="4">
        <v>2.85</v>
      </c>
      <c r="U82" s="4">
        <v>8.2200000000000006</v>
      </c>
      <c r="V82" s="4">
        <v>3464.2</v>
      </c>
      <c r="W82" s="4">
        <v>1032.1500000000001</v>
      </c>
      <c r="X82" s="4">
        <v>1257.93</v>
      </c>
      <c r="Y82" s="4">
        <v>742.36</v>
      </c>
      <c r="Z82" s="4">
        <v>5.19</v>
      </c>
      <c r="AA82" s="4">
        <v>1.62</v>
      </c>
      <c r="AB82" s="4">
        <v>4.3600000000000003</v>
      </c>
      <c r="AC82" s="4">
        <v>78.39</v>
      </c>
      <c r="AD82" s="4">
        <v>490</v>
      </c>
      <c r="AE82" s="4">
        <v>4700</v>
      </c>
      <c r="AF82" s="4">
        <v>74.430000000000007</v>
      </c>
      <c r="AG82" s="4">
        <v>0.47</v>
      </c>
      <c r="AH82" s="4">
        <v>10.31</v>
      </c>
      <c r="AI82" s="4">
        <v>32.57</v>
      </c>
      <c r="AJ82" s="4">
        <v>60</v>
      </c>
      <c r="AK82" s="4">
        <v>9</v>
      </c>
      <c r="AL82" s="4">
        <v>9</v>
      </c>
      <c r="AM82" s="4">
        <v>0.7</v>
      </c>
      <c r="AN82" s="4">
        <v>294</v>
      </c>
      <c r="AO82" s="4">
        <v>300.26</v>
      </c>
      <c r="AP82" s="4">
        <v>351926.64</v>
      </c>
      <c r="AQ82" s="4">
        <v>180331.39</v>
      </c>
      <c r="AR82" s="4" t="s">
        <v>388</v>
      </c>
      <c r="AS82" s="5">
        <f t="shared" si="0"/>
        <v>9.7942494292237434</v>
      </c>
    </row>
    <row r="83" spans="1:45" ht="14.25" customHeight="1" x14ac:dyDescent="0.55000000000000004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f t="shared" si="4"/>
        <v>0</v>
      </c>
      <c r="L83" s="7">
        <f t="shared" si="5"/>
        <v>0</v>
      </c>
      <c r="M83" s="7">
        <f t="shared" si="6"/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5">
        <f t="shared" si="0"/>
        <v>0</v>
      </c>
    </row>
    <row r="84" spans="1:45" ht="14.25" customHeight="1" x14ac:dyDescent="0.55000000000000004">
      <c r="A84" s="4">
        <v>20.72</v>
      </c>
      <c r="B84" s="4">
        <v>31.74</v>
      </c>
      <c r="C84" s="4">
        <v>5446.45</v>
      </c>
      <c r="D84" s="4">
        <v>7.6</v>
      </c>
      <c r="E84" s="4" t="s">
        <v>389</v>
      </c>
      <c r="F84" s="4" t="s">
        <v>390</v>
      </c>
      <c r="G84" s="4" t="s">
        <v>391</v>
      </c>
      <c r="H84" s="4" t="s">
        <v>392</v>
      </c>
      <c r="I84" s="4">
        <v>0</v>
      </c>
      <c r="J84" s="4">
        <v>923.99</v>
      </c>
      <c r="K84" s="4">
        <f t="shared" si="4"/>
        <v>78.06</v>
      </c>
      <c r="L84" s="7">
        <f t="shared" si="5"/>
        <v>89.890000000000015</v>
      </c>
      <c r="M84" s="7">
        <f t="shared" si="6"/>
        <v>-11.830000000000013</v>
      </c>
      <c r="N84" s="4">
        <v>7.34</v>
      </c>
      <c r="O84" s="4">
        <v>88.13</v>
      </c>
      <c r="P84" s="4">
        <v>98</v>
      </c>
      <c r="Q84" s="4">
        <v>17.100000000000001</v>
      </c>
      <c r="R84" s="4">
        <v>11.03</v>
      </c>
      <c r="S84" s="4">
        <v>16.850000000000001</v>
      </c>
      <c r="T84" s="4">
        <v>3.86</v>
      </c>
      <c r="U84" s="4">
        <v>5.89</v>
      </c>
      <c r="V84" s="4">
        <v>3485.73</v>
      </c>
      <c r="W84" s="4">
        <v>1030.45</v>
      </c>
      <c r="X84" s="4">
        <v>1167.77</v>
      </c>
      <c r="Y84" s="4">
        <v>723.87</v>
      </c>
      <c r="Z84" s="4">
        <v>5.64</v>
      </c>
      <c r="AA84" s="4">
        <v>1.56</v>
      </c>
      <c r="AB84" s="4">
        <v>4.49</v>
      </c>
      <c r="AC84" s="4">
        <v>74.05</v>
      </c>
      <c r="AD84" s="4">
        <v>490</v>
      </c>
      <c r="AE84" s="4">
        <v>4700</v>
      </c>
      <c r="AF84" s="4">
        <v>79.3</v>
      </c>
      <c r="AG84" s="4">
        <v>0.47</v>
      </c>
      <c r="AH84" s="4">
        <v>16.2</v>
      </c>
      <c r="AI84" s="4">
        <v>24.55</v>
      </c>
      <c r="AJ84" s="4">
        <v>60</v>
      </c>
      <c r="AK84" s="4">
        <v>9</v>
      </c>
      <c r="AL84" s="4">
        <v>9</v>
      </c>
      <c r="AM84" s="4">
        <v>0.92</v>
      </c>
      <c r="AN84" s="4">
        <v>294</v>
      </c>
      <c r="AO84" s="4">
        <v>302.3</v>
      </c>
      <c r="AP84" s="4">
        <v>374020.77</v>
      </c>
      <c r="AQ84" s="4">
        <v>354128.5</v>
      </c>
      <c r="AR84" s="4" t="s">
        <v>393</v>
      </c>
      <c r="AS84" s="5">
        <f t="shared" si="0"/>
        <v>1.1354035388127866</v>
      </c>
    </row>
    <row r="85" spans="1:45" ht="14.25" customHeight="1" x14ac:dyDescent="0.55000000000000004">
      <c r="A85" s="4">
        <v>20.37</v>
      </c>
      <c r="B85" s="4">
        <v>31.54</v>
      </c>
      <c r="C85" s="4">
        <v>5481.35</v>
      </c>
      <c r="D85" s="4">
        <v>7.6</v>
      </c>
      <c r="E85" s="4" t="s">
        <v>394</v>
      </c>
      <c r="F85" s="4" t="s">
        <v>395</v>
      </c>
      <c r="G85" s="4" t="s">
        <v>396</v>
      </c>
      <c r="H85" s="4" t="s">
        <v>397</v>
      </c>
      <c r="I85" s="4">
        <v>0</v>
      </c>
      <c r="J85" s="4">
        <v>249.92</v>
      </c>
      <c r="K85" s="4">
        <f t="shared" si="4"/>
        <v>37.86</v>
      </c>
      <c r="L85" s="7">
        <f t="shared" si="5"/>
        <v>42.37</v>
      </c>
      <c r="M85" s="7">
        <f t="shared" si="6"/>
        <v>-4.509999999999998</v>
      </c>
      <c r="N85" s="4">
        <v>6.85</v>
      </c>
      <c r="O85" s="4">
        <v>88.47</v>
      </c>
      <c r="P85" s="4">
        <v>97</v>
      </c>
      <c r="Q85" s="4">
        <v>16.8</v>
      </c>
      <c r="R85" s="4">
        <v>11.17</v>
      </c>
      <c r="S85" s="4">
        <v>16.440000000000001</v>
      </c>
      <c r="T85" s="4">
        <v>3.94</v>
      </c>
      <c r="U85" s="4">
        <v>21.93</v>
      </c>
      <c r="V85" s="4">
        <v>3508.06</v>
      </c>
      <c r="W85" s="4">
        <v>1097.25</v>
      </c>
      <c r="X85" s="4">
        <v>1874.97</v>
      </c>
      <c r="Y85" s="4">
        <v>896.94</v>
      </c>
      <c r="Z85" s="4">
        <v>5.81</v>
      </c>
      <c r="AA85" s="4">
        <v>1.78</v>
      </c>
      <c r="AB85" s="4">
        <v>4.04</v>
      </c>
      <c r="AC85" s="4">
        <v>73.94</v>
      </c>
      <c r="AD85" s="4">
        <v>490</v>
      </c>
      <c r="AE85" s="4">
        <v>4700</v>
      </c>
      <c r="AF85" s="4">
        <v>80.290000000000006</v>
      </c>
      <c r="AG85" s="4">
        <v>0.47</v>
      </c>
      <c r="AH85" s="4">
        <v>3.84</v>
      </c>
      <c r="AI85" s="4">
        <v>52.1</v>
      </c>
      <c r="AJ85" s="4">
        <v>60</v>
      </c>
      <c r="AK85" s="4">
        <v>9</v>
      </c>
      <c r="AL85" s="4">
        <v>9</v>
      </c>
      <c r="AM85" s="4">
        <v>0.43</v>
      </c>
      <c r="AN85" s="4">
        <v>294</v>
      </c>
      <c r="AO85" s="4">
        <v>297.91000000000003</v>
      </c>
      <c r="AP85" s="4">
        <v>340211.36</v>
      </c>
      <c r="AQ85" s="4">
        <v>110525.66</v>
      </c>
      <c r="AR85" s="4" t="s">
        <v>398</v>
      </c>
      <c r="AS85" s="5">
        <f t="shared" si="0"/>
        <v>13.109914383561643</v>
      </c>
    </row>
    <row r="86" spans="1:45" ht="14.25" customHeight="1" x14ac:dyDescent="0.55000000000000004">
      <c r="A86" s="4">
        <v>22.25</v>
      </c>
      <c r="B86" s="4">
        <v>32.68</v>
      </c>
      <c r="C86" s="4">
        <v>5408.23</v>
      </c>
      <c r="D86" s="4">
        <v>7.6</v>
      </c>
      <c r="E86" s="4" t="s">
        <v>399</v>
      </c>
      <c r="F86" s="4" t="s">
        <v>400</v>
      </c>
      <c r="G86" s="4" t="s">
        <v>401</v>
      </c>
      <c r="H86" s="4" t="s">
        <v>402</v>
      </c>
      <c r="I86" s="4">
        <v>0</v>
      </c>
      <c r="J86" s="4">
        <v>546.75</v>
      </c>
      <c r="K86" s="4">
        <f t="shared" si="4"/>
        <v>48.37</v>
      </c>
      <c r="L86" s="7">
        <f t="shared" si="5"/>
        <v>55.64</v>
      </c>
      <c r="M86" s="7">
        <f t="shared" si="6"/>
        <v>-7.2700000000000031</v>
      </c>
      <c r="N86" s="4">
        <v>7.06</v>
      </c>
      <c r="O86" s="4">
        <v>89.3</v>
      </c>
      <c r="P86" s="4">
        <v>85</v>
      </c>
      <c r="Q86" s="4">
        <v>21</v>
      </c>
      <c r="R86" s="4">
        <v>10.42</v>
      </c>
      <c r="S86" s="4">
        <v>19.12</v>
      </c>
      <c r="T86" s="4">
        <v>3.13</v>
      </c>
      <c r="U86" s="4">
        <v>9.89</v>
      </c>
      <c r="V86" s="4">
        <v>3461.27</v>
      </c>
      <c r="W86" s="4">
        <v>1037.99</v>
      </c>
      <c r="X86" s="4">
        <v>1333.17</v>
      </c>
      <c r="Y86" s="4">
        <v>760.34</v>
      </c>
      <c r="Z86" s="4">
        <v>5.22</v>
      </c>
      <c r="AA86" s="4">
        <v>1.64</v>
      </c>
      <c r="AB86" s="4">
        <v>4.3099999999999996</v>
      </c>
      <c r="AC86" s="4">
        <v>76.900000000000006</v>
      </c>
      <c r="AD86" s="4">
        <v>490</v>
      </c>
      <c r="AE86" s="4">
        <v>4700</v>
      </c>
      <c r="AF86" s="4">
        <v>74.959999999999994</v>
      </c>
      <c r="AG86" s="4">
        <v>0.47</v>
      </c>
      <c r="AH86" s="4">
        <v>8.43</v>
      </c>
      <c r="AI86" s="4">
        <v>36.619999999999997</v>
      </c>
      <c r="AJ86" s="4">
        <v>60</v>
      </c>
      <c r="AK86" s="4">
        <v>9</v>
      </c>
      <c r="AL86" s="4">
        <v>9</v>
      </c>
      <c r="AM86" s="4">
        <v>0.62</v>
      </c>
      <c r="AN86" s="4">
        <v>294</v>
      </c>
      <c r="AO86" s="4">
        <v>299.56</v>
      </c>
      <c r="AP86" s="4">
        <v>346623.5</v>
      </c>
      <c r="AQ86" s="4">
        <v>146620.56</v>
      </c>
      <c r="AR86" s="4" t="s">
        <v>403</v>
      </c>
      <c r="AS86" s="5">
        <f t="shared" si="0"/>
        <v>11.415692922374429</v>
      </c>
    </row>
    <row r="87" spans="1:45" ht="14.25" customHeight="1" x14ac:dyDescent="0.55000000000000004">
      <c r="A87" s="4">
        <v>20.54</v>
      </c>
      <c r="B87" s="4">
        <v>31.14</v>
      </c>
      <c r="C87" s="4">
        <v>5385.07</v>
      </c>
      <c r="D87" s="4">
        <v>7.61</v>
      </c>
      <c r="E87" s="4" t="s">
        <v>404</v>
      </c>
      <c r="F87" s="4" t="s">
        <v>405</v>
      </c>
      <c r="G87" s="4" t="s">
        <v>406</v>
      </c>
      <c r="H87" s="4" t="s">
        <v>407</v>
      </c>
      <c r="I87" s="4">
        <v>0</v>
      </c>
      <c r="J87" s="4">
        <v>784.05</v>
      </c>
      <c r="K87" s="4">
        <f t="shared" si="4"/>
        <v>64.58</v>
      </c>
      <c r="L87" s="7">
        <f t="shared" si="5"/>
        <v>75.099999999999994</v>
      </c>
      <c r="M87" s="7">
        <f t="shared" si="6"/>
        <v>-10.519999999999996</v>
      </c>
      <c r="N87" s="4">
        <v>7.24</v>
      </c>
      <c r="O87" s="4">
        <v>89.87</v>
      </c>
      <c r="P87" s="4">
        <v>98</v>
      </c>
      <c r="Q87" s="4">
        <v>16.8</v>
      </c>
      <c r="R87" s="4">
        <v>10.61</v>
      </c>
      <c r="S87" s="4">
        <v>16.55</v>
      </c>
      <c r="T87" s="4">
        <v>3.98</v>
      </c>
      <c r="U87" s="4">
        <v>6.87</v>
      </c>
      <c r="V87" s="4">
        <v>3446.44</v>
      </c>
      <c r="W87" s="4">
        <v>1023.24</v>
      </c>
      <c r="X87" s="4">
        <v>1203.6500000000001</v>
      </c>
      <c r="Y87" s="4">
        <v>727.8</v>
      </c>
      <c r="Z87" s="4">
        <v>5.16</v>
      </c>
      <c r="AA87" s="4">
        <v>1.57</v>
      </c>
      <c r="AB87" s="4">
        <v>4.46</v>
      </c>
      <c r="AC87" s="4">
        <v>72.7</v>
      </c>
      <c r="AD87" s="4">
        <v>490</v>
      </c>
      <c r="AE87" s="4">
        <v>4700</v>
      </c>
      <c r="AF87" s="4">
        <v>76.27</v>
      </c>
      <c r="AG87" s="4">
        <v>0.47</v>
      </c>
      <c r="AH87" s="4">
        <v>13</v>
      </c>
      <c r="AI87" s="4">
        <v>27.13</v>
      </c>
      <c r="AJ87" s="4">
        <v>60</v>
      </c>
      <c r="AK87" s="4">
        <v>9</v>
      </c>
      <c r="AL87" s="4">
        <v>9</v>
      </c>
      <c r="AM87" s="4">
        <v>0.83</v>
      </c>
      <c r="AN87" s="4">
        <v>294</v>
      </c>
      <c r="AO87" s="4">
        <v>301.51</v>
      </c>
      <c r="AP87" s="4">
        <v>363145.03</v>
      </c>
      <c r="AQ87" s="4">
        <v>227890.84</v>
      </c>
      <c r="AR87" s="4" t="s">
        <v>408</v>
      </c>
      <c r="AS87" s="5">
        <f t="shared" si="0"/>
        <v>7.7199880136986323</v>
      </c>
    </row>
    <row r="88" spans="1:45" ht="14.25" customHeight="1" x14ac:dyDescent="0.55000000000000004">
      <c r="A88" s="4">
        <v>20.05</v>
      </c>
      <c r="B88" s="4">
        <v>31.44</v>
      </c>
      <c r="C88" s="4">
        <v>5485.65</v>
      </c>
      <c r="D88" s="4">
        <v>7.59</v>
      </c>
      <c r="E88" s="4" t="s">
        <v>409</v>
      </c>
      <c r="F88" s="4" t="s">
        <v>410</v>
      </c>
      <c r="G88" s="4" t="s">
        <v>411</v>
      </c>
      <c r="H88" s="4" t="s">
        <v>412</v>
      </c>
      <c r="I88" s="4">
        <v>0</v>
      </c>
      <c r="J88" s="4">
        <v>681.09</v>
      </c>
      <c r="K88" s="4">
        <f t="shared" si="4"/>
        <v>56.989999999999995</v>
      </c>
      <c r="L88" s="7">
        <f t="shared" si="5"/>
        <v>65.98</v>
      </c>
      <c r="M88" s="7">
        <f t="shared" si="6"/>
        <v>-8.9900000000000091</v>
      </c>
      <c r="N88" s="4">
        <v>7.18</v>
      </c>
      <c r="O88" s="4">
        <v>88.08</v>
      </c>
      <c r="P88" s="4">
        <v>97</v>
      </c>
      <c r="Q88" s="4">
        <v>16.899999999999999</v>
      </c>
      <c r="R88" s="4">
        <v>11.39</v>
      </c>
      <c r="S88" s="4">
        <v>16.54</v>
      </c>
      <c r="T88" s="4">
        <v>3.51</v>
      </c>
      <c r="U88" s="4">
        <v>8.0500000000000007</v>
      </c>
      <c r="V88" s="4">
        <v>3510.82</v>
      </c>
      <c r="W88" s="4">
        <v>1047.5899999999999</v>
      </c>
      <c r="X88" s="4">
        <v>1281.5999999999999</v>
      </c>
      <c r="Y88" s="4">
        <v>755.48</v>
      </c>
      <c r="Z88" s="4">
        <v>5.18</v>
      </c>
      <c r="AA88" s="4">
        <v>1.58</v>
      </c>
      <c r="AB88" s="4">
        <v>4.43</v>
      </c>
      <c r="AC88" s="4">
        <v>76.44</v>
      </c>
      <c r="AD88" s="4">
        <v>490</v>
      </c>
      <c r="AE88" s="4">
        <v>4700</v>
      </c>
      <c r="AF88" s="4">
        <v>81.93</v>
      </c>
      <c r="AG88" s="4">
        <v>0.47</v>
      </c>
      <c r="AH88" s="4">
        <v>11.61</v>
      </c>
      <c r="AI88" s="4">
        <v>30.88</v>
      </c>
      <c r="AJ88" s="4">
        <v>60</v>
      </c>
      <c r="AK88" s="4">
        <v>9</v>
      </c>
      <c r="AL88" s="4">
        <v>9</v>
      </c>
      <c r="AM88" s="4">
        <v>0.73</v>
      </c>
      <c r="AN88" s="4">
        <v>294</v>
      </c>
      <c r="AO88" s="4">
        <v>300.60000000000002</v>
      </c>
      <c r="AP88" s="4">
        <v>352751.1</v>
      </c>
      <c r="AQ88" s="4">
        <v>182017.23</v>
      </c>
      <c r="AR88" s="4" t="s">
        <v>413</v>
      </c>
      <c r="AS88" s="5">
        <f t="shared" si="0"/>
        <v>9.7450839041095865</v>
      </c>
    </row>
    <row r="89" spans="1:45" ht="14.25" customHeight="1" x14ac:dyDescent="0.55000000000000004">
      <c r="A89" s="4">
        <v>21.98</v>
      </c>
      <c r="B89" s="4">
        <v>32.43</v>
      </c>
      <c r="C89" s="4">
        <v>5409.16</v>
      </c>
      <c r="D89" s="4">
        <v>7.61</v>
      </c>
      <c r="E89" s="4" t="s">
        <v>414</v>
      </c>
      <c r="F89" s="4" t="s">
        <v>415</v>
      </c>
      <c r="G89" s="4" t="s">
        <v>416</v>
      </c>
      <c r="H89" s="4" t="s">
        <v>417</v>
      </c>
      <c r="I89" s="4">
        <v>0</v>
      </c>
      <c r="J89" s="4">
        <v>829.08</v>
      </c>
      <c r="K89" s="4">
        <f t="shared" si="4"/>
        <v>68.099999999999994</v>
      </c>
      <c r="L89" s="7">
        <f t="shared" si="5"/>
        <v>79.319999999999993</v>
      </c>
      <c r="M89" s="7">
        <f t="shared" si="6"/>
        <v>-11.219999999999999</v>
      </c>
      <c r="N89" s="4">
        <v>7.27</v>
      </c>
      <c r="O89" s="4">
        <v>89.43</v>
      </c>
      <c r="P89" s="4">
        <v>85</v>
      </c>
      <c r="Q89" s="4">
        <v>21</v>
      </c>
      <c r="R89" s="4">
        <v>10.45</v>
      </c>
      <c r="S89" s="4">
        <v>19.12</v>
      </c>
      <c r="T89" s="4">
        <v>2.86</v>
      </c>
      <c r="U89" s="4">
        <v>6.52</v>
      </c>
      <c r="V89" s="4">
        <v>3461.86</v>
      </c>
      <c r="W89" s="4">
        <v>1025.93</v>
      </c>
      <c r="X89" s="4">
        <v>1189.19</v>
      </c>
      <c r="Y89" s="4">
        <v>726</v>
      </c>
      <c r="Z89" s="4">
        <v>5.15</v>
      </c>
      <c r="AA89" s="4">
        <v>1.59</v>
      </c>
      <c r="AB89" s="4">
        <v>4.42</v>
      </c>
      <c r="AC89" s="4">
        <v>78.5</v>
      </c>
      <c r="AD89" s="4">
        <v>490</v>
      </c>
      <c r="AE89" s="4">
        <v>4700</v>
      </c>
      <c r="AF89" s="4">
        <v>75.12</v>
      </c>
      <c r="AG89" s="4">
        <v>0.47</v>
      </c>
      <c r="AH89" s="4">
        <v>13.6</v>
      </c>
      <c r="AI89" s="4">
        <v>25.68</v>
      </c>
      <c r="AJ89" s="4">
        <v>60</v>
      </c>
      <c r="AK89" s="4">
        <v>9</v>
      </c>
      <c r="AL89" s="4">
        <v>9</v>
      </c>
      <c r="AM89" s="4">
        <v>0.88</v>
      </c>
      <c r="AN89" s="4">
        <v>294</v>
      </c>
      <c r="AO89" s="4">
        <v>301.93</v>
      </c>
      <c r="AP89" s="4">
        <v>366381.98</v>
      </c>
      <c r="AQ89" s="4">
        <v>250395.57</v>
      </c>
      <c r="AR89" s="4" t="s">
        <v>418</v>
      </c>
      <c r="AS89" s="5">
        <f t="shared" si="0"/>
        <v>6.6202288812785373</v>
      </c>
    </row>
    <row r="90" spans="1:45" ht="14.25" customHeight="1" x14ac:dyDescent="0.55000000000000004">
      <c r="A90" s="4">
        <v>22.33</v>
      </c>
      <c r="B90" s="4">
        <v>32.869999999999997</v>
      </c>
      <c r="C90" s="4">
        <v>5447.17</v>
      </c>
      <c r="D90" s="4">
        <v>7.6</v>
      </c>
      <c r="E90" s="4" t="s">
        <v>419</v>
      </c>
      <c r="F90" s="4" t="s">
        <v>420</v>
      </c>
      <c r="G90" s="4" t="s">
        <v>258</v>
      </c>
      <c r="H90" s="4" t="s">
        <v>421</v>
      </c>
      <c r="I90" s="4">
        <v>0</v>
      </c>
      <c r="J90" s="4">
        <v>627.66</v>
      </c>
      <c r="K90" s="4">
        <f t="shared" si="4"/>
        <v>52.56</v>
      </c>
      <c r="L90" s="7">
        <f t="shared" si="5"/>
        <v>60.67</v>
      </c>
      <c r="M90" s="7">
        <f t="shared" si="6"/>
        <v>-8.11</v>
      </c>
      <c r="N90" s="4">
        <v>7.12</v>
      </c>
      <c r="O90" s="4">
        <v>89.18</v>
      </c>
      <c r="P90" s="4">
        <v>80</v>
      </c>
      <c r="Q90" s="4">
        <v>22</v>
      </c>
      <c r="R90" s="4">
        <v>10.54</v>
      </c>
      <c r="S90" s="4">
        <v>19.45</v>
      </c>
      <c r="T90" s="4">
        <v>2.88</v>
      </c>
      <c r="U90" s="4">
        <v>8.68</v>
      </c>
      <c r="V90" s="4">
        <v>3486.19</v>
      </c>
      <c r="W90" s="4">
        <v>1040.18</v>
      </c>
      <c r="X90" s="4">
        <v>1283.28</v>
      </c>
      <c r="Y90" s="4">
        <v>751.23</v>
      </c>
      <c r="Z90" s="4">
        <v>5.2</v>
      </c>
      <c r="AA90" s="4">
        <v>1.63</v>
      </c>
      <c r="AB90" s="4">
        <v>4.34</v>
      </c>
      <c r="AC90" s="4">
        <v>78.510000000000005</v>
      </c>
      <c r="AD90" s="4">
        <v>490</v>
      </c>
      <c r="AE90" s="4">
        <v>4700</v>
      </c>
      <c r="AF90" s="4">
        <v>75.760000000000005</v>
      </c>
      <c r="AG90" s="4">
        <v>0.47</v>
      </c>
      <c r="AH90" s="4">
        <v>9.8699999999999992</v>
      </c>
      <c r="AI90" s="4">
        <v>33.58</v>
      </c>
      <c r="AJ90" s="4">
        <v>60</v>
      </c>
      <c r="AK90" s="4">
        <v>9</v>
      </c>
      <c r="AL90" s="4">
        <v>9</v>
      </c>
      <c r="AM90" s="4">
        <v>0.67</v>
      </c>
      <c r="AN90" s="4">
        <v>294</v>
      </c>
      <c r="AO90" s="4">
        <v>300.07</v>
      </c>
      <c r="AP90" s="4">
        <v>351619.23</v>
      </c>
      <c r="AQ90" s="4">
        <v>171324.06</v>
      </c>
      <c r="AR90" s="4" t="s">
        <v>422</v>
      </c>
      <c r="AS90" s="5">
        <f t="shared" si="0"/>
        <v>10.29082020547945</v>
      </c>
    </row>
    <row r="91" spans="1:45" ht="14.25" customHeight="1" x14ac:dyDescent="0.55000000000000004">
      <c r="A91" s="4">
        <v>21.61</v>
      </c>
      <c r="B91" s="4">
        <v>32.409999999999997</v>
      </c>
      <c r="C91" s="4">
        <v>5437.61</v>
      </c>
      <c r="D91" s="4">
        <v>7.6</v>
      </c>
      <c r="E91" s="4" t="s">
        <v>423</v>
      </c>
      <c r="F91" s="4" t="s">
        <v>424</v>
      </c>
      <c r="G91" s="4" t="s">
        <v>425</v>
      </c>
      <c r="H91" s="4" t="s">
        <v>426</v>
      </c>
      <c r="I91" s="4">
        <v>0</v>
      </c>
      <c r="J91" s="4">
        <v>871.94</v>
      </c>
      <c r="K91" s="4">
        <f t="shared" si="4"/>
        <v>73.08</v>
      </c>
      <c r="L91" s="7">
        <f t="shared" si="5"/>
        <v>85.3</v>
      </c>
      <c r="M91" s="7">
        <f t="shared" si="6"/>
        <v>-12.219999999999999</v>
      </c>
      <c r="N91" s="4">
        <v>7.31</v>
      </c>
      <c r="O91" s="4">
        <v>88.61</v>
      </c>
      <c r="P91" s="4">
        <v>90</v>
      </c>
      <c r="Q91" s="4">
        <v>19.7</v>
      </c>
      <c r="R91" s="4">
        <v>10.8</v>
      </c>
      <c r="S91" s="4">
        <v>18.47</v>
      </c>
      <c r="T91" s="4">
        <v>3.14</v>
      </c>
      <c r="U91" s="4">
        <v>6.24</v>
      </c>
      <c r="V91" s="4">
        <v>3480.07</v>
      </c>
      <c r="W91" s="4">
        <v>1030.5</v>
      </c>
      <c r="X91" s="4">
        <v>1184.19</v>
      </c>
      <c r="Y91" s="4">
        <v>727.34</v>
      </c>
      <c r="Z91" s="4">
        <v>5.14</v>
      </c>
      <c r="AA91" s="4">
        <v>1.58</v>
      </c>
      <c r="AB91" s="4">
        <v>4.4400000000000004</v>
      </c>
      <c r="AC91" s="4">
        <v>77.5</v>
      </c>
      <c r="AD91" s="4">
        <v>490</v>
      </c>
      <c r="AE91" s="4">
        <v>4700</v>
      </c>
      <c r="AF91" s="4">
        <v>77.680000000000007</v>
      </c>
      <c r="AG91" s="4">
        <v>0.47</v>
      </c>
      <c r="AH91" s="4">
        <v>14.83</v>
      </c>
      <c r="AI91" s="4">
        <v>23.88</v>
      </c>
      <c r="AJ91" s="4">
        <v>60</v>
      </c>
      <c r="AK91" s="4">
        <v>9</v>
      </c>
      <c r="AL91" s="4">
        <v>9</v>
      </c>
      <c r="AM91" s="4">
        <v>0.95</v>
      </c>
      <c r="AN91" s="4">
        <v>294</v>
      </c>
      <c r="AO91" s="4">
        <v>302.52999999999997</v>
      </c>
      <c r="AP91" s="4">
        <v>371207.69</v>
      </c>
      <c r="AQ91" s="4">
        <v>273422.78999999998</v>
      </c>
      <c r="AR91" s="4" t="s">
        <v>427</v>
      </c>
      <c r="AS91" s="5">
        <f t="shared" si="0"/>
        <v>5.5813299086758006</v>
      </c>
    </row>
    <row r="92" spans="1:45" ht="14.25" customHeight="1" x14ac:dyDescent="0.55000000000000004">
      <c r="A92" s="4">
        <v>21.86</v>
      </c>
      <c r="B92" s="4">
        <v>32.49</v>
      </c>
      <c r="C92" s="4">
        <v>5414.52</v>
      </c>
      <c r="D92" s="4">
        <v>7.61</v>
      </c>
      <c r="E92" s="4" t="s">
        <v>428</v>
      </c>
      <c r="F92" s="4" t="s">
        <v>429</v>
      </c>
      <c r="G92" s="4" t="s">
        <v>430</v>
      </c>
      <c r="H92" s="4" t="s">
        <v>431</v>
      </c>
      <c r="I92" s="4">
        <v>0</v>
      </c>
      <c r="J92" s="4">
        <v>888.12</v>
      </c>
      <c r="K92" s="4">
        <f t="shared" si="4"/>
        <v>73.52000000000001</v>
      </c>
      <c r="L92" s="7">
        <f t="shared" si="5"/>
        <v>85.830000000000013</v>
      </c>
      <c r="M92" s="7">
        <f t="shared" si="6"/>
        <v>-12.310000000000002</v>
      </c>
      <c r="N92" s="4">
        <v>7.32</v>
      </c>
      <c r="O92" s="4">
        <v>89</v>
      </c>
      <c r="P92" s="4">
        <v>85</v>
      </c>
      <c r="Q92" s="4">
        <v>20.5</v>
      </c>
      <c r="R92" s="4">
        <v>10.63</v>
      </c>
      <c r="S92" s="4">
        <v>18.64</v>
      </c>
      <c r="T92" s="4">
        <v>3.23</v>
      </c>
      <c r="U92" s="4">
        <v>6.1</v>
      </c>
      <c r="V92" s="4">
        <v>3465.29</v>
      </c>
      <c r="W92" s="4">
        <v>1025.54</v>
      </c>
      <c r="X92" s="4">
        <v>1173.07</v>
      </c>
      <c r="Y92" s="4">
        <v>722.7</v>
      </c>
      <c r="Z92" s="4">
        <v>5.14</v>
      </c>
      <c r="AA92" s="4">
        <v>1.58</v>
      </c>
      <c r="AB92" s="4">
        <v>4.4400000000000004</v>
      </c>
      <c r="AC92" s="4">
        <v>76.7</v>
      </c>
      <c r="AD92" s="4">
        <v>490</v>
      </c>
      <c r="AE92" s="4">
        <v>4700</v>
      </c>
      <c r="AF92" s="4">
        <v>76.41</v>
      </c>
      <c r="AG92" s="4">
        <v>0.47</v>
      </c>
      <c r="AH92" s="4">
        <v>14.99</v>
      </c>
      <c r="AI92" s="4">
        <v>23.74</v>
      </c>
      <c r="AJ92" s="4">
        <v>60</v>
      </c>
      <c r="AK92" s="4">
        <v>9</v>
      </c>
      <c r="AL92" s="4">
        <v>9</v>
      </c>
      <c r="AM92" s="4">
        <v>0.95</v>
      </c>
      <c r="AN92" s="4">
        <v>294</v>
      </c>
      <c r="AO92" s="4">
        <v>302.58</v>
      </c>
      <c r="AP92" s="4">
        <v>367182.37</v>
      </c>
      <c r="AQ92" s="4">
        <v>278787.38</v>
      </c>
      <c r="AR92" s="4" t="s">
        <v>432</v>
      </c>
      <c r="AS92" s="5">
        <f t="shared" si="0"/>
        <v>5.0453761415525111</v>
      </c>
    </row>
    <row r="93" spans="1:45" ht="14.25" customHeight="1" x14ac:dyDescent="0.55000000000000004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f t="shared" si="4"/>
        <v>0</v>
      </c>
      <c r="L93" s="7">
        <f t="shared" si="5"/>
        <v>0</v>
      </c>
      <c r="M93" s="7">
        <f t="shared" si="6"/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5">
        <f t="shared" si="0"/>
        <v>0</v>
      </c>
    </row>
    <row r="94" spans="1:45" ht="14.25" customHeight="1" x14ac:dyDescent="0.55000000000000004">
      <c r="A94" s="4">
        <v>22.32</v>
      </c>
      <c r="B94" s="4">
        <v>32.75</v>
      </c>
      <c r="C94" s="4">
        <v>5392.16</v>
      </c>
      <c r="D94" s="4">
        <v>7.61</v>
      </c>
      <c r="E94" s="4" t="s">
        <v>433</v>
      </c>
      <c r="F94" s="4" t="s">
        <v>434</v>
      </c>
      <c r="G94" s="4" t="s">
        <v>435</v>
      </c>
      <c r="H94" s="4" t="s">
        <v>407</v>
      </c>
      <c r="I94" s="4">
        <v>0</v>
      </c>
      <c r="J94" s="4">
        <v>795.62</v>
      </c>
      <c r="K94" s="4">
        <f t="shared" si="4"/>
        <v>64.61</v>
      </c>
      <c r="L94" s="7">
        <f t="shared" si="5"/>
        <v>75.14</v>
      </c>
      <c r="M94" s="7">
        <f t="shared" si="6"/>
        <v>-10.530000000000001</v>
      </c>
      <c r="N94" s="4">
        <v>7.25</v>
      </c>
      <c r="O94" s="4">
        <v>89.58</v>
      </c>
      <c r="P94" s="4">
        <v>79</v>
      </c>
      <c r="Q94" s="4">
        <v>22</v>
      </c>
      <c r="R94" s="4">
        <v>10.43</v>
      </c>
      <c r="S94" s="4">
        <v>19.32</v>
      </c>
      <c r="T94" s="4">
        <v>3</v>
      </c>
      <c r="U94" s="4">
        <v>6.78</v>
      </c>
      <c r="V94" s="4">
        <v>3450.98</v>
      </c>
      <c r="W94" s="4">
        <v>1023.93</v>
      </c>
      <c r="X94" s="4">
        <v>1198.8900000000001</v>
      </c>
      <c r="Y94" s="4">
        <v>727.07</v>
      </c>
      <c r="Z94" s="4">
        <v>5.16</v>
      </c>
      <c r="AA94" s="4">
        <v>1.6</v>
      </c>
      <c r="AB94" s="4">
        <v>4.4000000000000004</v>
      </c>
      <c r="AC94" s="4">
        <v>77.67</v>
      </c>
      <c r="AD94" s="4">
        <v>490</v>
      </c>
      <c r="AE94" s="4">
        <v>4700</v>
      </c>
      <c r="AF94" s="4">
        <v>75.02</v>
      </c>
      <c r="AG94" s="4">
        <v>0.47</v>
      </c>
      <c r="AH94" s="4">
        <v>12.98</v>
      </c>
      <c r="AI94" s="4">
        <v>27.12</v>
      </c>
      <c r="AJ94" s="4">
        <v>60</v>
      </c>
      <c r="AK94" s="4">
        <v>9</v>
      </c>
      <c r="AL94" s="4">
        <v>9</v>
      </c>
      <c r="AM94" s="4">
        <v>0.83</v>
      </c>
      <c r="AN94" s="4">
        <v>294</v>
      </c>
      <c r="AO94" s="4">
        <v>301.51</v>
      </c>
      <c r="AP94" s="4">
        <v>360275.16</v>
      </c>
      <c r="AQ94" s="4">
        <v>231182.86</v>
      </c>
      <c r="AR94" s="4" t="s">
        <v>436</v>
      </c>
      <c r="AS94" s="5">
        <f t="shared" si="0"/>
        <v>7.3682819634703192</v>
      </c>
    </row>
    <row r="95" spans="1:45" ht="14.25" customHeight="1" x14ac:dyDescent="0.55000000000000004">
      <c r="A95" s="4">
        <v>22.14</v>
      </c>
      <c r="B95" s="4">
        <v>32.72</v>
      </c>
      <c r="C95" s="4">
        <v>5441.78</v>
      </c>
      <c r="D95" s="4">
        <v>7.6</v>
      </c>
      <c r="E95" s="4" t="s">
        <v>437</v>
      </c>
      <c r="F95" s="4" t="s">
        <v>438</v>
      </c>
      <c r="G95" s="4" t="s">
        <v>439</v>
      </c>
      <c r="H95" s="4" t="s">
        <v>440</v>
      </c>
      <c r="I95" s="4">
        <v>0</v>
      </c>
      <c r="J95" s="4">
        <v>630.82000000000005</v>
      </c>
      <c r="K95" s="4">
        <f t="shared" si="4"/>
        <v>52.87</v>
      </c>
      <c r="L95" s="7">
        <f t="shared" si="5"/>
        <v>61.03</v>
      </c>
      <c r="M95" s="7">
        <f t="shared" si="6"/>
        <v>-8.1600000000000037</v>
      </c>
      <c r="N95" s="4">
        <v>7.12</v>
      </c>
      <c r="O95" s="4">
        <v>88.34</v>
      </c>
      <c r="P95" s="4">
        <v>89</v>
      </c>
      <c r="Q95" s="4">
        <v>20.399999999999999</v>
      </c>
      <c r="R95" s="4">
        <v>10.58</v>
      </c>
      <c r="S95" s="4">
        <v>19.04</v>
      </c>
      <c r="T95" s="4">
        <v>3.1</v>
      </c>
      <c r="U95" s="4">
        <v>8.6300000000000008</v>
      </c>
      <c r="V95" s="4">
        <v>3482.74</v>
      </c>
      <c r="W95" s="4">
        <v>1039.19</v>
      </c>
      <c r="X95" s="4">
        <v>1281.57</v>
      </c>
      <c r="Y95" s="4">
        <v>750.49</v>
      </c>
      <c r="Z95" s="4">
        <v>5.2</v>
      </c>
      <c r="AA95" s="4">
        <v>1.62</v>
      </c>
      <c r="AB95" s="4">
        <v>4.3499999999999996</v>
      </c>
      <c r="AC95" s="4">
        <v>77.34</v>
      </c>
      <c r="AD95" s="4">
        <v>490</v>
      </c>
      <c r="AE95" s="4">
        <v>4700</v>
      </c>
      <c r="AF95" s="4">
        <v>76.069999999999993</v>
      </c>
      <c r="AG95" s="4">
        <v>0.47</v>
      </c>
      <c r="AH95" s="4">
        <v>9.9700000000000006</v>
      </c>
      <c r="AI95" s="4">
        <v>33.39</v>
      </c>
      <c r="AJ95" s="4">
        <v>60</v>
      </c>
      <c r="AK95" s="4">
        <v>9</v>
      </c>
      <c r="AL95" s="4">
        <v>9</v>
      </c>
      <c r="AM95" s="4">
        <v>0.68</v>
      </c>
      <c r="AN95" s="4">
        <v>294</v>
      </c>
      <c r="AO95" s="4">
        <v>300.10000000000002</v>
      </c>
      <c r="AP95" s="4">
        <v>351954.99</v>
      </c>
      <c r="AQ95" s="4">
        <v>171972.99</v>
      </c>
      <c r="AR95" s="4" t="s">
        <v>441</v>
      </c>
      <c r="AS95" s="5">
        <f t="shared" si="0"/>
        <v>10.272945205479452</v>
      </c>
    </row>
    <row r="96" spans="1:45" ht="14.25" customHeight="1" x14ac:dyDescent="0.55000000000000004">
      <c r="A96" s="4">
        <v>0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f t="shared" si="4"/>
        <v>0</v>
      </c>
      <c r="L96" s="7">
        <f t="shared" si="5"/>
        <v>0</v>
      </c>
      <c r="M96" s="7">
        <f t="shared" si="6"/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5">
        <f t="shared" si="0"/>
        <v>0</v>
      </c>
    </row>
    <row r="97" spans="1:45" ht="14.25" customHeight="1" x14ac:dyDescent="0.55000000000000004">
      <c r="A97" s="4">
        <v>21.29</v>
      </c>
      <c r="B97" s="4">
        <v>32.17</v>
      </c>
      <c r="C97" s="4">
        <v>5456.16</v>
      </c>
      <c r="D97" s="4">
        <v>7.6</v>
      </c>
      <c r="E97" s="4" t="s">
        <v>442</v>
      </c>
      <c r="F97" s="4" t="s">
        <v>443</v>
      </c>
      <c r="G97" s="4" t="s">
        <v>444</v>
      </c>
      <c r="H97" s="4" t="s">
        <v>445</v>
      </c>
      <c r="I97" s="4">
        <v>0</v>
      </c>
      <c r="J97" s="4">
        <v>780.29</v>
      </c>
      <c r="K97" s="4">
        <f t="shared" si="4"/>
        <v>63.38</v>
      </c>
      <c r="L97" s="7">
        <f t="shared" si="5"/>
        <v>73.669999999999987</v>
      </c>
      <c r="M97" s="7">
        <f t="shared" si="6"/>
        <v>-10.289999999999985</v>
      </c>
      <c r="N97" s="4">
        <v>7.24</v>
      </c>
      <c r="O97" s="4">
        <v>88.79</v>
      </c>
      <c r="P97" s="4">
        <v>95</v>
      </c>
      <c r="Q97" s="4">
        <v>18.7</v>
      </c>
      <c r="R97" s="4">
        <v>10.88</v>
      </c>
      <c r="S97" s="4">
        <v>18.09</v>
      </c>
      <c r="T97" s="4">
        <v>3.19</v>
      </c>
      <c r="U97" s="4">
        <v>6.99</v>
      </c>
      <c r="V97" s="4">
        <v>3491.94</v>
      </c>
      <c r="W97" s="4">
        <v>1036.81</v>
      </c>
      <c r="X97" s="4">
        <v>1220.54</v>
      </c>
      <c r="Y97" s="4">
        <v>737.61</v>
      </c>
      <c r="Z97" s="4">
        <v>5.16</v>
      </c>
      <c r="AA97" s="4">
        <v>1.59</v>
      </c>
      <c r="AB97" s="4">
        <v>4.43</v>
      </c>
      <c r="AC97" s="4">
        <v>77.319999999999993</v>
      </c>
      <c r="AD97" s="4">
        <v>490</v>
      </c>
      <c r="AE97" s="4">
        <v>4700</v>
      </c>
      <c r="AF97" s="4">
        <v>78.27</v>
      </c>
      <c r="AG97" s="4">
        <v>0.47</v>
      </c>
      <c r="AH97" s="4">
        <v>13.06</v>
      </c>
      <c r="AI97" s="4">
        <v>27.66</v>
      </c>
      <c r="AJ97" s="4">
        <v>60</v>
      </c>
      <c r="AK97" s="4">
        <v>9</v>
      </c>
      <c r="AL97" s="4">
        <v>9</v>
      </c>
      <c r="AM97" s="4">
        <v>0.82</v>
      </c>
      <c r="AN97" s="4">
        <v>294</v>
      </c>
      <c r="AO97" s="4">
        <v>301.37</v>
      </c>
      <c r="AP97" s="4">
        <v>358439.07</v>
      </c>
      <c r="AQ97" s="4">
        <v>223359.19</v>
      </c>
      <c r="AR97" s="4" t="s">
        <v>446</v>
      </c>
      <c r="AS97" s="5">
        <f t="shared" si="0"/>
        <v>7.7100388127853883</v>
      </c>
    </row>
    <row r="98" spans="1:45" ht="14.25" customHeight="1" x14ac:dyDescent="0.55000000000000004">
      <c r="A98" s="4">
        <v>20.97</v>
      </c>
      <c r="B98" s="4">
        <v>31.84</v>
      </c>
      <c r="C98" s="4">
        <v>5468.45</v>
      </c>
      <c r="D98" s="4">
        <v>7.6</v>
      </c>
      <c r="E98" s="4" t="s">
        <v>447</v>
      </c>
      <c r="F98" s="4" t="s">
        <v>448</v>
      </c>
      <c r="G98" s="4" t="s">
        <v>449</v>
      </c>
      <c r="H98" s="4" t="s">
        <v>450</v>
      </c>
      <c r="I98" s="4">
        <v>0</v>
      </c>
      <c r="J98" s="4">
        <v>755.28</v>
      </c>
      <c r="K98" s="4">
        <f t="shared" si="4"/>
        <v>62.97</v>
      </c>
      <c r="L98" s="7">
        <f t="shared" si="5"/>
        <v>73.17</v>
      </c>
      <c r="M98" s="7">
        <f t="shared" si="6"/>
        <v>-10.200000000000003</v>
      </c>
      <c r="N98" s="4">
        <v>7.23</v>
      </c>
      <c r="O98" s="4">
        <v>88.92</v>
      </c>
      <c r="P98" s="4">
        <v>97</v>
      </c>
      <c r="Q98" s="4">
        <v>18.100000000000001</v>
      </c>
      <c r="R98" s="4">
        <v>10.88</v>
      </c>
      <c r="S98" s="4">
        <v>17.739999999999998</v>
      </c>
      <c r="T98" s="4">
        <v>3.23</v>
      </c>
      <c r="U98" s="4">
        <v>7.24</v>
      </c>
      <c r="V98" s="4">
        <v>3499.81</v>
      </c>
      <c r="W98" s="4">
        <v>1040.8800000000001</v>
      </c>
      <c r="X98" s="4">
        <v>1239.76</v>
      </c>
      <c r="Y98" s="4">
        <v>743.74</v>
      </c>
      <c r="Z98" s="4">
        <v>5.16</v>
      </c>
      <c r="AA98" s="4">
        <v>1.59</v>
      </c>
      <c r="AB98" s="4">
        <v>4.42</v>
      </c>
      <c r="AC98" s="4">
        <v>77.099999999999994</v>
      </c>
      <c r="AD98" s="4">
        <v>490</v>
      </c>
      <c r="AE98" s="4">
        <v>4700</v>
      </c>
      <c r="AF98" s="4">
        <v>78.209999999999994</v>
      </c>
      <c r="AG98" s="4">
        <v>0.47</v>
      </c>
      <c r="AH98" s="4">
        <v>12.53</v>
      </c>
      <c r="AI98" s="4">
        <v>27.85</v>
      </c>
      <c r="AJ98" s="4">
        <v>60</v>
      </c>
      <c r="AK98" s="4">
        <v>9</v>
      </c>
      <c r="AL98" s="4">
        <v>9</v>
      </c>
      <c r="AM98" s="4">
        <v>0.81</v>
      </c>
      <c r="AN98" s="4">
        <v>294</v>
      </c>
      <c r="AO98" s="4">
        <v>301.32</v>
      </c>
      <c r="AP98" s="4">
        <v>361777.41</v>
      </c>
      <c r="AQ98" s="4">
        <v>213858.47</v>
      </c>
      <c r="AR98" s="4" t="s">
        <v>451</v>
      </c>
      <c r="AS98" s="5">
        <f t="shared" si="0"/>
        <v>8.4428618721461177</v>
      </c>
    </row>
    <row r="99" spans="1:45" ht="14.25" customHeight="1" x14ac:dyDescent="0.55000000000000004">
      <c r="A99" s="4">
        <v>20.34</v>
      </c>
      <c r="B99" s="4">
        <v>31</v>
      </c>
      <c r="C99" s="4">
        <v>5382.27</v>
      </c>
      <c r="D99" s="4">
        <v>7.61</v>
      </c>
      <c r="E99" s="4" t="s">
        <v>452</v>
      </c>
      <c r="F99" s="4" t="s">
        <v>453</v>
      </c>
      <c r="G99" s="4" t="s">
        <v>454</v>
      </c>
      <c r="H99" s="4" t="s">
        <v>455</v>
      </c>
      <c r="I99" s="4">
        <v>0</v>
      </c>
      <c r="J99" s="4">
        <v>463.3</v>
      </c>
      <c r="K99" s="4">
        <f t="shared" si="4"/>
        <v>44.88</v>
      </c>
      <c r="L99" s="7">
        <f t="shared" si="5"/>
        <v>50.680000000000007</v>
      </c>
      <c r="M99" s="7">
        <f t="shared" si="6"/>
        <v>-5.8000000000000043</v>
      </c>
      <c r="N99" s="4">
        <v>7.01</v>
      </c>
      <c r="O99" s="4">
        <v>89.81</v>
      </c>
      <c r="P99" s="4">
        <v>98</v>
      </c>
      <c r="Q99" s="4">
        <v>16.600000000000001</v>
      </c>
      <c r="R99" s="4">
        <v>10.66</v>
      </c>
      <c r="S99" s="4">
        <v>16.350000000000001</v>
      </c>
      <c r="T99" s="4">
        <v>3.99</v>
      </c>
      <c r="U99" s="4">
        <v>11.62</v>
      </c>
      <c r="V99" s="4">
        <v>3444.65</v>
      </c>
      <c r="W99" s="4">
        <v>1040.4100000000001</v>
      </c>
      <c r="X99" s="4">
        <v>1409.57</v>
      </c>
      <c r="Y99" s="4">
        <v>777.04</v>
      </c>
      <c r="Z99" s="4">
        <v>5.76</v>
      </c>
      <c r="AA99" s="4">
        <v>1.64</v>
      </c>
      <c r="AB99" s="4">
        <v>4.33</v>
      </c>
      <c r="AC99" s="4">
        <v>72.790000000000006</v>
      </c>
      <c r="AD99" s="4">
        <v>490</v>
      </c>
      <c r="AE99" s="4">
        <v>4700</v>
      </c>
      <c r="AF99" s="4">
        <v>76.680000000000007</v>
      </c>
      <c r="AG99" s="4">
        <v>0.47</v>
      </c>
      <c r="AH99" s="4">
        <v>7.22</v>
      </c>
      <c r="AI99" s="4">
        <v>43.56</v>
      </c>
      <c r="AJ99" s="4">
        <v>60</v>
      </c>
      <c r="AK99" s="4">
        <v>9</v>
      </c>
      <c r="AL99" s="4">
        <v>9</v>
      </c>
      <c r="AM99" s="4">
        <v>0.52</v>
      </c>
      <c r="AN99" s="4">
        <v>294</v>
      </c>
      <c r="AO99" s="4">
        <v>298.68</v>
      </c>
      <c r="AP99" s="4">
        <v>343258.46</v>
      </c>
      <c r="AQ99" s="4">
        <v>153185.35</v>
      </c>
      <c r="AR99" s="4" t="s">
        <v>456</v>
      </c>
      <c r="AS99" s="5">
        <f t="shared" si="0"/>
        <v>10.848921803652969</v>
      </c>
    </row>
    <row r="100" spans="1:45" ht="14.25" customHeight="1" x14ac:dyDescent="0.55000000000000004">
      <c r="A100" s="4">
        <v>22.35</v>
      </c>
      <c r="B100" s="4">
        <v>32.78</v>
      </c>
      <c r="C100" s="4">
        <v>5416.79</v>
      </c>
      <c r="D100" s="4">
        <v>7.6</v>
      </c>
      <c r="E100" s="4" t="s">
        <v>457</v>
      </c>
      <c r="F100" s="4" t="s">
        <v>458</v>
      </c>
      <c r="G100" s="4" t="s">
        <v>219</v>
      </c>
      <c r="H100" s="4" t="s">
        <v>459</v>
      </c>
      <c r="I100" s="4">
        <v>0</v>
      </c>
      <c r="J100" s="4">
        <v>606.79</v>
      </c>
      <c r="K100" s="4">
        <f t="shared" si="4"/>
        <v>51.5</v>
      </c>
      <c r="L100" s="7">
        <f t="shared" si="5"/>
        <v>59.4</v>
      </c>
      <c r="M100" s="7">
        <f t="shared" si="6"/>
        <v>-7.8999999999999986</v>
      </c>
      <c r="N100" s="4">
        <v>7.11</v>
      </c>
      <c r="O100" s="4">
        <v>89.45</v>
      </c>
      <c r="P100" s="4">
        <v>80</v>
      </c>
      <c r="Q100" s="4">
        <v>22</v>
      </c>
      <c r="R100" s="4">
        <v>10.43</v>
      </c>
      <c r="S100" s="4">
        <v>19.45</v>
      </c>
      <c r="T100" s="4">
        <v>2.9</v>
      </c>
      <c r="U100" s="4">
        <v>8.93</v>
      </c>
      <c r="V100" s="4">
        <v>3466.75</v>
      </c>
      <c r="W100" s="4">
        <v>1035.92</v>
      </c>
      <c r="X100" s="4">
        <v>1292.2</v>
      </c>
      <c r="Y100" s="4">
        <v>751.16</v>
      </c>
      <c r="Z100" s="4">
        <v>5.2</v>
      </c>
      <c r="AA100" s="4">
        <v>1.63</v>
      </c>
      <c r="AB100" s="4">
        <v>4.33</v>
      </c>
      <c r="AC100" s="4">
        <v>78.239999999999995</v>
      </c>
      <c r="AD100" s="4">
        <v>490</v>
      </c>
      <c r="AE100" s="4">
        <v>4700</v>
      </c>
      <c r="AF100" s="4">
        <v>74.98</v>
      </c>
      <c r="AG100" s="4">
        <v>0.47</v>
      </c>
      <c r="AH100" s="4">
        <v>9.4600000000000009</v>
      </c>
      <c r="AI100" s="4">
        <v>34.299999999999997</v>
      </c>
      <c r="AJ100" s="4">
        <v>60</v>
      </c>
      <c r="AK100" s="4">
        <v>9</v>
      </c>
      <c r="AL100" s="4">
        <v>9</v>
      </c>
      <c r="AM100" s="4">
        <v>0.66</v>
      </c>
      <c r="AN100" s="4">
        <v>294</v>
      </c>
      <c r="AO100" s="4">
        <v>299.94</v>
      </c>
      <c r="AP100" s="4">
        <v>349853.27</v>
      </c>
      <c r="AQ100" s="4">
        <v>163731.26999999999</v>
      </c>
      <c r="AR100" s="4" t="s">
        <v>460</v>
      </c>
      <c r="AS100" s="5">
        <f t="shared" si="0"/>
        <v>10.62340182648402</v>
      </c>
    </row>
    <row r="101" spans="1:45" ht="14.25" customHeight="1" x14ac:dyDescent="0.55000000000000004">
      <c r="A101" s="4">
        <v>20.49</v>
      </c>
      <c r="B101" s="4">
        <v>31.34</v>
      </c>
      <c r="C101" s="4">
        <v>5391.97</v>
      </c>
      <c r="D101" s="4">
        <v>7.61</v>
      </c>
      <c r="E101" s="4" t="s">
        <v>461</v>
      </c>
      <c r="F101" s="4" t="s">
        <v>462</v>
      </c>
      <c r="G101" s="4" t="s">
        <v>463</v>
      </c>
      <c r="H101" s="4" t="s">
        <v>464</v>
      </c>
      <c r="I101" s="4">
        <v>0</v>
      </c>
      <c r="J101" s="4">
        <v>938.65</v>
      </c>
      <c r="K101" s="4">
        <f t="shared" si="4"/>
        <v>81.259999999999991</v>
      </c>
      <c r="L101" s="7">
        <f t="shared" si="5"/>
        <v>81.259999999999991</v>
      </c>
      <c r="M101" s="7">
        <f t="shared" si="6"/>
        <v>0</v>
      </c>
      <c r="N101" s="4">
        <v>7.36</v>
      </c>
      <c r="O101" s="4">
        <v>88.87</v>
      </c>
      <c r="P101" s="4">
        <v>98</v>
      </c>
      <c r="Q101" s="4">
        <v>17.100000000000001</v>
      </c>
      <c r="R101" s="4">
        <v>10.85</v>
      </c>
      <c r="S101" s="4">
        <v>16.850000000000001</v>
      </c>
      <c r="T101" s="4">
        <v>3.64</v>
      </c>
      <c r="U101" s="4">
        <v>5.74</v>
      </c>
      <c r="V101" s="4">
        <v>3450.86</v>
      </c>
      <c r="W101" s="4">
        <v>1020.61</v>
      </c>
      <c r="X101" s="4">
        <v>1157.99</v>
      </c>
      <c r="Y101" s="4">
        <v>717.56</v>
      </c>
      <c r="Z101" s="4">
        <v>40.619999999999997</v>
      </c>
      <c r="AA101" s="4">
        <v>1.55</v>
      </c>
      <c r="AB101" s="4">
        <v>4.5</v>
      </c>
      <c r="AC101" s="4">
        <v>74.900000000000006</v>
      </c>
      <c r="AD101" s="4">
        <v>490</v>
      </c>
      <c r="AE101" s="4">
        <v>4700</v>
      </c>
      <c r="AF101" s="4">
        <v>78.040000000000006</v>
      </c>
      <c r="AG101" s="4">
        <v>0.47</v>
      </c>
      <c r="AH101" s="4">
        <v>16.45</v>
      </c>
      <c r="AI101" s="4">
        <v>169.74</v>
      </c>
      <c r="AJ101" s="4">
        <v>60</v>
      </c>
      <c r="AK101" s="4">
        <v>9</v>
      </c>
      <c r="AL101" s="4">
        <v>9</v>
      </c>
      <c r="AM101" s="4">
        <v>0.13</v>
      </c>
      <c r="AN101" s="4">
        <v>294</v>
      </c>
      <c r="AO101" s="4">
        <v>295.2</v>
      </c>
      <c r="AP101" s="4">
        <v>375874.47</v>
      </c>
      <c r="AQ101" s="4">
        <v>375874.47</v>
      </c>
      <c r="AR101" s="4" t="s">
        <v>465</v>
      </c>
      <c r="AS101" s="5">
        <f t="shared" si="0"/>
        <v>0</v>
      </c>
    </row>
    <row r="102" spans="1:45" ht="14.25" customHeight="1" x14ac:dyDescent="0.55000000000000004">
      <c r="A102" s="4">
        <v>20.25</v>
      </c>
      <c r="B102" s="4">
        <v>31.35</v>
      </c>
      <c r="C102" s="4">
        <v>5479.53</v>
      </c>
      <c r="D102" s="4">
        <v>7.61</v>
      </c>
      <c r="E102" s="4" t="s">
        <v>466</v>
      </c>
      <c r="F102" s="4" t="s">
        <v>467</v>
      </c>
      <c r="G102" s="4" t="s">
        <v>99</v>
      </c>
      <c r="H102" s="4" t="s">
        <v>468</v>
      </c>
      <c r="I102" s="4">
        <v>0</v>
      </c>
      <c r="J102" s="4">
        <v>720.44</v>
      </c>
      <c r="K102" s="4">
        <f t="shared" si="4"/>
        <v>59.17</v>
      </c>
      <c r="L102" s="7">
        <f t="shared" si="5"/>
        <v>68.62</v>
      </c>
      <c r="M102" s="7">
        <f t="shared" si="6"/>
        <v>-9.4500000000000028</v>
      </c>
      <c r="N102" s="4">
        <v>7.19</v>
      </c>
      <c r="O102" s="4">
        <v>88.93</v>
      </c>
      <c r="P102" s="4">
        <v>97</v>
      </c>
      <c r="Q102" s="4">
        <v>17.3</v>
      </c>
      <c r="R102" s="4">
        <v>11.1</v>
      </c>
      <c r="S102" s="4">
        <v>16.940000000000001</v>
      </c>
      <c r="T102" s="4">
        <v>3.31</v>
      </c>
      <c r="U102" s="4">
        <v>7.61</v>
      </c>
      <c r="V102" s="4">
        <v>3506.9</v>
      </c>
      <c r="W102" s="4">
        <v>1043.24</v>
      </c>
      <c r="X102" s="4">
        <v>1249.8</v>
      </c>
      <c r="Y102" s="4">
        <v>746.44</v>
      </c>
      <c r="Z102" s="4">
        <v>5.17</v>
      </c>
      <c r="AA102" s="4">
        <v>1.59</v>
      </c>
      <c r="AB102" s="4">
        <v>4.43</v>
      </c>
      <c r="AC102" s="4">
        <v>77.010000000000005</v>
      </c>
      <c r="AD102" s="4">
        <v>490</v>
      </c>
      <c r="AE102" s="4">
        <v>4700</v>
      </c>
      <c r="AF102" s="4">
        <v>79.83</v>
      </c>
      <c r="AG102" s="4">
        <v>0.47</v>
      </c>
      <c r="AH102" s="4">
        <v>12.08</v>
      </c>
      <c r="AI102" s="4">
        <v>29.69</v>
      </c>
      <c r="AJ102" s="4">
        <v>60</v>
      </c>
      <c r="AK102" s="4">
        <v>9</v>
      </c>
      <c r="AL102" s="4">
        <v>9</v>
      </c>
      <c r="AM102" s="4">
        <v>0.76</v>
      </c>
      <c r="AN102" s="4">
        <v>294</v>
      </c>
      <c r="AO102" s="4">
        <v>300.86</v>
      </c>
      <c r="AP102" s="4">
        <v>357590.11</v>
      </c>
      <c r="AQ102" s="4">
        <v>201323.49</v>
      </c>
      <c r="AR102" s="4" t="s">
        <v>469</v>
      </c>
      <c r="AS102" s="5">
        <f t="shared" si="0"/>
        <v>8.9193276255707765</v>
      </c>
    </row>
    <row r="103" spans="1:45" ht="14.25" customHeight="1" x14ac:dyDescent="0.55000000000000004">
      <c r="A103" s="4">
        <v>22.26</v>
      </c>
      <c r="B103" s="4">
        <v>32.89</v>
      </c>
      <c r="C103" s="4">
        <v>5467.07</v>
      </c>
      <c r="D103" s="4">
        <v>7.6</v>
      </c>
      <c r="E103" s="4" t="s">
        <v>470</v>
      </c>
      <c r="F103" s="4" t="s">
        <v>471</v>
      </c>
      <c r="G103" s="4" t="s">
        <v>472</v>
      </c>
      <c r="H103" s="4" t="s">
        <v>387</v>
      </c>
      <c r="I103" s="4">
        <v>0</v>
      </c>
      <c r="J103" s="4">
        <v>654.34</v>
      </c>
      <c r="K103" s="4">
        <f t="shared" si="4"/>
        <v>54.16</v>
      </c>
      <c r="L103" s="7">
        <f t="shared" si="5"/>
        <v>62.6</v>
      </c>
      <c r="M103" s="7">
        <f t="shared" si="6"/>
        <v>-8.4400000000000048</v>
      </c>
      <c r="N103" s="4">
        <v>7.14</v>
      </c>
      <c r="O103" s="4">
        <v>88.58</v>
      </c>
      <c r="P103" s="4">
        <v>78</v>
      </c>
      <c r="Q103" s="4">
        <v>22</v>
      </c>
      <c r="R103" s="4">
        <v>10.63</v>
      </c>
      <c r="S103" s="4">
        <v>19.190000000000001</v>
      </c>
      <c r="T103" s="4">
        <v>3.07</v>
      </c>
      <c r="U103" s="4">
        <v>8.36</v>
      </c>
      <c r="V103" s="4">
        <v>3498.92</v>
      </c>
      <c r="W103" s="4">
        <v>1043.1199999999999</v>
      </c>
      <c r="X103" s="4">
        <v>1275.9100000000001</v>
      </c>
      <c r="Y103" s="4">
        <v>751.35</v>
      </c>
      <c r="Z103" s="4">
        <v>5.19</v>
      </c>
      <c r="AA103" s="4">
        <v>1.63</v>
      </c>
      <c r="AB103" s="4">
        <v>4.3499999999999996</v>
      </c>
      <c r="AC103" s="4">
        <v>77.59</v>
      </c>
      <c r="AD103" s="4">
        <v>490</v>
      </c>
      <c r="AE103" s="4">
        <v>4700</v>
      </c>
      <c r="AF103" s="4">
        <v>76.47</v>
      </c>
      <c r="AG103" s="4">
        <v>0.47</v>
      </c>
      <c r="AH103" s="4">
        <v>10.4</v>
      </c>
      <c r="AI103" s="4">
        <v>32.549999999999997</v>
      </c>
      <c r="AJ103" s="4">
        <v>60</v>
      </c>
      <c r="AK103" s="4">
        <v>9</v>
      </c>
      <c r="AL103" s="4">
        <v>9</v>
      </c>
      <c r="AM103" s="4">
        <v>0.7</v>
      </c>
      <c r="AN103" s="4">
        <v>294</v>
      </c>
      <c r="AO103" s="4">
        <v>300.26</v>
      </c>
      <c r="AP103" s="4">
        <v>351963.65</v>
      </c>
      <c r="AQ103" s="4">
        <v>178246.94</v>
      </c>
      <c r="AR103" s="4" t="s">
        <v>473</v>
      </c>
      <c r="AS103" s="5">
        <f t="shared" si="0"/>
        <v>9.9153373287671247</v>
      </c>
    </row>
    <row r="104" spans="1:45" ht="14.25" customHeight="1" x14ac:dyDescent="0.55000000000000004">
      <c r="A104" s="4">
        <v>20.53</v>
      </c>
      <c r="B104" s="4">
        <v>31.72</v>
      </c>
      <c r="C104" s="4">
        <v>5474.89</v>
      </c>
      <c r="D104" s="4">
        <v>7.6</v>
      </c>
      <c r="E104" s="4" t="s">
        <v>474</v>
      </c>
      <c r="F104" s="4" t="s">
        <v>475</v>
      </c>
      <c r="G104" s="4" t="s">
        <v>476</v>
      </c>
      <c r="H104" s="4" t="s">
        <v>477</v>
      </c>
      <c r="I104" s="4">
        <v>0</v>
      </c>
      <c r="J104" s="4">
        <v>547.91999999999996</v>
      </c>
      <c r="K104" s="4">
        <f t="shared" si="4"/>
        <v>49.94</v>
      </c>
      <c r="L104" s="7">
        <f t="shared" si="5"/>
        <v>56.65</v>
      </c>
      <c r="M104" s="7">
        <f t="shared" si="6"/>
        <v>-6.7100000000000009</v>
      </c>
      <c r="N104" s="4">
        <v>7.09</v>
      </c>
      <c r="O104" s="4">
        <v>88.32</v>
      </c>
      <c r="P104" s="4">
        <v>98</v>
      </c>
      <c r="Q104" s="4">
        <v>17</v>
      </c>
      <c r="R104" s="4">
        <v>11.18</v>
      </c>
      <c r="S104" s="4">
        <v>16.75</v>
      </c>
      <c r="T104" s="4">
        <v>3.78</v>
      </c>
      <c r="U104" s="4">
        <v>9.99</v>
      </c>
      <c r="V104" s="4">
        <v>3503.93</v>
      </c>
      <c r="W104" s="4">
        <v>1054.04</v>
      </c>
      <c r="X104" s="4">
        <v>1372.89</v>
      </c>
      <c r="Y104" s="4">
        <v>777.25</v>
      </c>
      <c r="Z104" s="4">
        <v>5.73</v>
      </c>
      <c r="AA104" s="4">
        <v>1.63</v>
      </c>
      <c r="AB104" s="4">
        <v>4.33</v>
      </c>
      <c r="AC104" s="4">
        <v>74.739999999999995</v>
      </c>
      <c r="AD104" s="4">
        <v>490</v>
      </c>
      <c r="AE104" s="4">
        <v>4700</v>
      </c>
      <c r="AF104" s="4">
        <v>80.42</v>
      </c>
      <c r="AG104" s="4">
        <v>0.47</v>
      </c>
      <c r="AH104" s="4">
        <v>8.94</v>
      </c>
      <c r="AI104" s="4">
        <v>38.96</v>
      </c>
      <c r="AJ104" s="4">
        <v>60</v>
      </c>
      <c r="AK104" s="4">
        <v>9</v>
      </c>
      <c r="AL104" s="4">
        <v>9</v>
      </c>
      <c r="AM104" s="4">
        <v>0.57999999999999996</v>
      </c>
      <c r="AN104" s="4">
        <v>294</v>
      </c>
      <c r="AO104" s="4">
        <v>299.23</v>
      </c>
      <c r="AP104" s="4">
        <v>348495.85</v>
      </c>
      <c r="AQ104" s="4">
        <v>172774.98</v>
      </c>
      <c r="AR104" s="4" t="s">
        <v>478</v>
      </c>
      <c r="AS104" s="5">
        <f t="shared" si="0"/>
        <v>10.029730022831048</v>
      </c>
    </row>
    <row r="105" spans="1:45" ht="14.25" customHeight="1" x14ac:dyDescent="0.55000000000000004">
      <c r="A105" s="4">
        <v>22.29</v>
      </c>
      <c r="B105" s="4">
        <v>32.75</v>
      </c>
      <c r="C105" s="4">
        <v>5419.38</v>
      </c>
      <c r="D105" s="4">
        <v>7.6</v>
      </c>
      <c r="E105" s="4" t="s">
        <v>479</v>
      </c>
      <c r="F105" s="4" t="s">
        <v>480</v>
      </c>
      <c r="G105" s="4" t="s">
        <v>481</v>
      </c>
      <c r="H105" s="4" t="s">
        <v>482</v>
      </c>
      <c r="I105" s="4">
        <v>0</v>
      </c>
      <c r="J105" s="4">
        <v>879.97</v>
      </c>
      <c r="K105" s="4">
        <f t="shared" si="4"/>
        <v>73.36</v>
      </c>
      <c r="L105" s="7">
        <f t="shared" si="5"/>
        <v>84.34</v>
      </c>
      <c r="M105" s="7">
        <f t="shared" si="6"/>
        <v>-10.980000000000004</v>
      </c>
      <c r="N105" s="4">
        <v>7.31</v>
      </c>
      <c r="O105" s="4">
        <v>89.07</v>
      </c>
      <c r="P105" s="4">
        <v>85</v>
      </c>
      <c r="Q105" s="4">
        <v>20.8</v>
      </c>
      <c r="R105" s="4">
        <v>10.46</v>
      </c>
      <c r="S105" s="4">
        <v>18.93</v>
      </c>
      <c r="T105" s="4">
        <v>3.36</v>
      </c>
      <c r="U105" s="4">
        <v>6.16</v>
      </c>
      <c r="V105" s="4">
        <v>3468.4</v>
      </c>
      <c r="W105" s="4">
        <v>1026.56</v>
      </c>
      <c r="X105" s="4">
        <v>1175.74</v>
      </c>
      <c r="Y105" s="4">
        <v>723.67</v>
      </c>
      <c r="Z105" s="4">
        <v>5.65</v>
      </c>
      <c r="AA105" s="4">
        <v>1.58</v>
      </c>
      <c r="AB105" s="4">
        <v>4.43</v>
      </c>
      <c r="AC105" s="4">
        <v>75.709999999999994</v>
      </c>
      <c r="AD105" s="4">
        <v>490</v>
      </c>
      <c r="AE105" s="4">
        <v>4700</v>
      </c>
      <c r="AF105" s="4">
        <v>75.22</v>
      </c>
      <c r="AG105" s="4">
        <v>0.47</v>
      </c>
      <c r="AH105" s="4">
        <v>14.58</v>
      </c>
      <c r="AI105" s="4">
        <v>26.17</v>
      </c>
      <c r="AJ105" s="4">
        <v>60</v>
      </c>
      <c r="AK105" s="4">
        <v>9</v>
      </c>
      <c r="AL105" s="4">
        <v>9</v>
      </c>
      <c r="AM105" s="4">
        <v>0.86</v>
      </c>
      <c r="AN105" s="4">
        <v>294</v>
      </c>
      <c r="AO105" s="4">
        <v>301.77999999999997</v>
      </c>
      <c r="AP105" s="4">
        <v>370717.56</v>
      </c>
      <c r="AQ105" s="4">
        <v>324122.64</v>
      </c>
      <c r="AR105" s="4" t="s">
        <v>483</v>
      </c>
      <c r="AS105" s="5">
        <f t="shared" si="0"/>
        <v>2.6595273972602729</v>
      </c>
    </row>
    <row r="106" spans="1:45" ht="14.25" customHeight="1" x14ac:dyDescent="0.55000000000000004">
      <c r="A106" s="4">
        <v>22.21</v>
      </c>
      <c r="B106" s="4">
        <v>32.67</v>
      </c>
      <c r="C106" s="4">
        <v>5411.83</v>
      </c>
      <c r="D106" s="4">
        <v>7.6</v>
      </c>
      <c r="E106" s="4" t="s">
        <v>484</v>
      </c>
      <c r="F106" s="4" t="s">
        <v>485</v>
      </c>
      <c r="G106" s="4" t="s">
        <v>486</v>
      </c>
      <c r="H106" s="4" t="s">
        <v>487</v>
      </c>
      <c r="I106" s="4">
        <v>0</v>
      </c>
      <c r="J106" s="4">
        <v>236.12</v>
      </c>
      <c r="K106" s="4">
        <f t="shared" si="4"/>
        <v>39.15</v>
      </c>
      <c r="L106" s="7">
        <f t="shared" si="5"/>
        <v>43.339999999999996</v>
      </c>
      <c r="M106" s="7">
        <f t="shared" si="6"/>
        <v>-4.1899999999999977</v>
      </c>
      <c r="N106" s="4">
        <v>6.89</v>
      </c>
      <c r="O106" s="4">
        <v>90.14</v>
      </c>
      <c r="P106" s="4">
        <v>96</v>
      </c>
      <c r="Q106" s="4">
        <v>19.5</v>
      </c>
      <c r="R106" s="4">
        <v>10.45</v>
      </c>
      <c r="S106" s="4">
        <v>19.010000000000002</v>
      </c>
      <c r="T106" s="4">
        <v>3.2</v>
      </c>
      <c r="U106" s="4">
        <v>22.92</v>
      </c>
      <c r="V106" s="4">
        <v>3463.57</v>
      </c>
      <c r="W106" s="4">
        <v>1103.3800000000001</v>
      </c>
      <c r="X106" s="4">
        <v>2017.71</v>
      </c>
      <c r="Y106" s="4">
        <v>934.52</v>
      </c>
      <c r="Z106" s="4">
        <v>6.32</v>
      </c>
      <c r="AA106" s="4">
        <v>1.85</v>
      </c>
      <c r="AB106" s="4">
        <v>3.9</v>
      </c>
      <c r="AC106" s="4">
        <v>76.56</v>
      </c>
      <c r="AD106" s="4">
        <v>490</v>
      </c>
      <c r="AE106" s="4">
        <v>4700</v>
      </c>
      <c r="AF106" s="4">
        <v>75.17</v>
      </c>
      <c r="AG106" s="4">
        <v>0.47</v>
      </c>
      <c r="AH106" s="4">
        <v>3.43</v>
      </c>
      <c r="AI106" s="4">
        <v>54.84</v>
      </c>
      <c r="AJ106" s="4">
        <v>60</v>
      </c>
      <c r="AK106" s="4">
        <v>9</v>
      </c>
      <c r="AL106" s="4">
        <v>9</v>
      </c>
      <c r="AM106" s="4">
        <v>0.41</v>
      </c>
      <c r="AN106" s="4">
        <v>294</v>
      </c>
      <c r="AO106" s="4">
        <v>297.72000000000003</v>
      </c>
      <c r="AP106" s="4">
        <v>341230.97</v>
      </c>
      <c r="AQ106" s="4">
        <v>117658.6</v>
      </c>
      <c r="AR106" s="4" t="s">
        <v>488</v>
      </c>
      <c r="AS106" s="5">
        <f t="shared" si="0"/>
        <v>12.760980022831049</v>
      </c>
    </row>
    <row r="107" spans="1:45" ht="14.25" customHeight="1" x14ac:dyDescent="0.55000000000000004">
      <c r="A107" s="4">
        <v>22.19</v>
      </c>
      <c r="B107" s="4">
        <v>32.74</v>
      </c>
      <c r="C107" s="4">
        <v>5471.25</v>
      </c>
      <c r="D107" s="4">
        <v>7.59</v>
      </c>
      <c r="E107" s="4" t="s">
        <v>489</v>
      </c>
      <c r="F107" s="4" t="s">
        <v>490</v>
      </c>
      <c r="G107" s="4" t="s">
        <v>491</v>
      </c>
      <c r="H107" s="4" t="s">
        <v>492</v>
      </c>
      <c r="I107" s="4">
        <v>0</v>
      </c>
      <c r="J107" s="4">
        <v>685.4</v>
      </c>
      <c r="K107" s="4">
        <f t="shared" si="4"/>
        <v>57.92</v>
      </c>
      <c r="L107" s="7">
        <f t="shared" si="5"/>
        <v>67.099999999999994</v>
      </c>
      <c r="M107" s="7">
        <f t="shared" si="6"/>
        <v>-9.1799999999999926</v>
      </c>
      <c r="N107" s="4">
        <v>7.19</v>
      </c>
      <c r="O107" s="4">
        <v>88.76</v>
      </c>
      <c r="P107" s="4">
        <v>85</v>
      </c>
      <c r="Q107" s="4">
        <v>20.399999999999999</v>
      </c>
      <c r="R107" s="4">
        <v>10.55</v>
      </c>
      <c r="S107" s="4">
        <v>18.54</v>
      </c>
      <c r="T107" s="4">
        <v>3.65</v>
      </c>
      <c r="U107" s="4">
        <v>7.98</v>
      </c>
      <c r="V107" s="4">
        <v>3501.6</v>
      </c>
      <c r="W107" s="4">
        <v>1044.8800000000001</v>
      </c>
      <c r="X107" s="4">
        <v>1277.7</v>
      </c>
      <c r="Y107" s="4">
        <v>753.5</v>
      </c>
      <c r="Z107" s="4">
        <v>5.18</v>
      </c>
      <c r="AA107" s="4">
        <v>1.62</v>
      </c>
      <c r="AB107" s="4">
        <v>4.3499999999999996</v>
      </c>
      <c r="AC107" s="4">
        <v>74.319999999999993</v>
      </c>
      <c r="AD107" s="4">
        <v>490</v>
      </c>
      <c r="AE107" s="4">
        <v>4700</v>
      </c>
      <c r="AF107" s="4">
        <v>75.87</v>
      </c>
      <c r="AG107" s="4">
        <v>0.47</v>
      </c>
      <c r="AH107" s="4">
        <v>10.87</v>
      </c>
      <c r="AI107" s="4">
        <v>30.36</v>
      </c>
      <c r="AJ107" s="4">
        <v>60</v>
      </c>
      <c r="AK107" s="4">
        <v>9</v>
      </c>
      <c r="AL107" s="4">
        <v>9</v>
      </c>
      <c r="AM107" s="4">
        <v>0.75</v>
      </c>
      <c r="AN107" s="4">
        <v>294</v>
      </c>
      <c r="AO107" s="4">
        <v>300.70999999999998</v>
      </c>
      <c r="AP107" s="4">
        <v>355921.6</v>
      </c>
      <c r="AQ107" s="4">
        <v>184613.07</v>
      </c>
      <c r="AR107" s="4" t="s">
        <v>493</v>
      </c>
      <c r="AS107" s="5">
        <f t="shared" si="0"/>
        <v>9.7778841324200894</v>
      </c>
    </row>
    <row r="108" spans="1:45" ht="14.25" customHeight="1" x14ac:dyDescent="0.55000000000000004">
      <c r="A108" s="4">
        <v>21.94</v>
      </c>
      <c r="B108" s="4">
        <v>32.26</v>
      </c>
      <c r="C108" s="4">
        <v>5440.8</v>
      </c>
      <c r="D108" s="4">
        <v>7.61</v>
      </c>
      <c r="E108" s="4" t="s">
        <v>494</v>
      </c>
      <c r="F108" s="4" t="s">
        <v>495</v>
      </c>
      <c r="G108" s="4" t="s">
        <v>320</v>
      </c>
      <c r="H108" s="4" t="s">
        <v>496</v>
      </c>
      <c r="I108" s="4">
        <v>0</v>
      </c>
      <c r="J108" s="4">
        <v>790.6</v>
      </c>
      <c r="K108" s="4">
        <f t="shared" si="4"/>
        <v>64.650000000000006</v>
      </c>
      <c r="L108" s="7">
        <f t="shared" si="5"/>
        <v>74.040000000000006</v>
      </c>
      <c r="M108" s="7">
        <f t="shared" si="6"/>
        <v>-9.39</v>
      </c>
      <c r="N108" s="4">
        <v>7.25</v>
      </c>
      <c r="O108" s="4">
        <v>89.72</v>
      </c>
      <c r="P108" s="4">
        <v>76</v>
      </c>
      <c r="Q108" s="4">
        <v>21.8</v>
      </c>
      <c r="R108" s="4">
        <v>10.32</v>
      </c>
      <c r="S108" s="4">
        <v>18.739999999999998</v>
      </c>
      <c r="T108" s="4">
        <v>3.2</v>
      </c>
      <c r="U108" s="4">
        <v>6.88</v>
      </c>
      <c r="V108" s="4">
        <v>3482.11</v>
      </c>
      <c r="W108" s="4">
        <v>1033.53</v>
      </c>
      <c r="X108" s="4">
        <v>1213</v>
      </c>
      <c r="Y108" s="4">
        <v>734.54</v>
      </c>
      <c r="Z108" s="4">
        <v>5.68</v>
      </c>
      <c r="AA108" s="4">
        <v>1.61</v>
      </c>
      <c r="AB108" s="4">
        <v>4.4000000000000004</v>
      </c>
      <c r="AC108" s="4">
        <v>76.34</v>
      </c>
      <c r="AD108" s="4">
        <v>490</v>
      </c>
      <c r="AE108" s="4">
        <v>4700</v>
      </c>
      <c r="AF108" s="4">
        <v>74.23</v>
      </c>
      <c r="AG108" s="4">
        <v>0.47</v>
      </c>
      <c r="AH108" s="4">
        <v>12.62</v>
      </c>
      <c r="AI108" s="4">
        <v>29.81</v>
      </c>
      <c r="AJ108" s="4">
        <v>60</v>
      </c>
      <c r="AK108" s="4">
        <v>9</v>
      </c>
      <c r="AL108" s="4">
        <v>9</v>
      </c>
      <c r="AM108" s="4">
        <v>0.76</v>
      </c>
      <c r="AN108" s="4">
        <v>294</v>
      </c>
      <c r="AO108" s="4">
        <v>300.83</v>
      </c>
      <c r="AP108" s="4">
        <v>361435.75</v>
      </c>
      <c r="AQ108" s="4">
        <v>270258.43</v>
      </c>
      <c r="AR108" s="4" t="s">
        <v>497</v>
      </c>
      <c r="AS108" s="5">
        <f t="shared" si="0"/>
        <v>5.20418493150685</v>
      </c>
    </row>
    <row r="109" spans="1:45" ht="14.25" customHeight="1" x14ac:dyDescent="0.55000000000000004">
      <c r="A109" s="4">
        <v>21.76</v>
      </c>
      <c r="B109" s="4">
        <v>33.090000000000003</v>
      </c>
      <c r="C109" s="4">
        <v>5562.95</v>
      </c>
      <c r="D109" s="4">
        <v>7.59</v>
      </c>
      <c r="E109" s="4" t="s">
        <v>498</v>
      </c>
      <c r="F109" s="4" t="s">
        <v>499</v>
      </c>
      <c r="G109" s="4" t="s">
        <v>500</v>
      </c>
      <c r="H109" s="4" t="s">
        <v>501</v>
      </c>
      <c r="I109" s="4">
        <v>0</v>
      </c>
      <c r="J109" s="4">
        <v>402.3</v>
      </c>
      <c r="K109" s="4">
        <f t="shared" si="4"/>
        <v>43.830000000000005</v>
      </c>
      <c r="L109" s="7">
        <f t="shared" si="5"/>
        <v>46.050000000000004</v>
      </c>
      <c r="M109" s="7">
        <f t="shared" si="6"/>
        <v>-2.2199999999999989</v>
      </c>
      <c r="N109" s="4">
        <v>6.99</v>
      </c>
      <c r="O109" s="4">
        <v>88.47</v>
      </c>
      <c r="P109" s="4">
        <v>89</v>
      </c>
      <c r="Q109" s="4">
        <v>18.899999999999999</v>
      </c>
      <c r="R109" s="4">
        <v>11.32</v>
      </c>
      <c r="S109" s="4">
        <v>17.559999999999999</v>
      </c>
      <c r="T109" s="4">
        <v>4.2</v>
      </c>
      <c r="U109" s="4">
        <v>13.83</v>
      </c>
      <c r="V109" s="4">
        <v>3560.29</v>
      </c>
      <c r="W109" s="4">
        <v>1087.08</v>
      </c>
      <c r="X109" s="4">
        <v>1572.12</v>
      </c>
      <c r="Y109" s="4">
        <v>833.7</v>
      </c>
      <c r="Z109" s="4">
        <v>6.19</v>
      </c>
      <c r="AA109" s="4">
        <v>1.71</v>
      </c>
      <c r="AB109" s="4">
        <v>4.16</v>
      </c>
      <c r="AC109" s="4">
        <v>72.95</v>
      </c>
      <c r="AD109" s="4">
        <v>490</v>
      </c>
      <c r="AE109" s="4">
        <v>4700</v>
      </c>
      <c r="AF109" s="4">
        <v>81.42</v>
      </c>
      <c r="AG109" s="4">
        <v>0.47</v>
      </c>
      <c r="AH109" s="4">
        <v>6.35</v>
      </c>
      <c r="AI109" s="4">
        <v>47.92</v>
      </c>
      <c r="AJ109" s="4">
        <v>60</v>
      </c>
      <c r="AK109" s="4">
        <v>9</v>
      </c>
      <c r="AL109" s="4">
        <v>9</v>
      </c>
      <c r="AM109" s="4">
        <v>0.47</v>
      </c>
      <c r="AN109" s="4">
        <v>294</v>
      </c>
      <c r="AO109" s="4">
        <v>298.25</v>
      </c>
      <c r="AP109" s="4">
        <v>372832.36</v>
      </c>
      <c r="AQ109" s="4">
        <v>117147.16</v>
      </c>
      <c r="AR109" s="4" t="s">
        <v>502</v>
      </c>
      <c r="AS109" s="5">
        <f t="shared" si="0"/>
        <v>14.59390410958904</v>
      </c>
    </row>
    <row r="110" spans="1:45" ht="14.25" customHeight="1" x14ac:dyDescent="0.55000000000000004">
      <c r="A110" s="4">
        <v>21.73</v>
      </c>
      <c r="B110" s="4">
        <v>32.96</v>
      </c>
      <c r="C110" s="4">
        <v>5499.13</v>
      </c>
      <c r="D110" s="4">
        <v>7.61</v>
      </c>
      <c r="E110" s="4" t="s">
        <v>503</v>
      </c>
      <c r="F110" s="4" t="s">
        <v>504</v>
      </c>
      <c r="G110" s="4" t="s">
        <v>505</v>
      </c>
      <c r="H110" s="4" t="s">
        <v>506</v>
      </c>
      <c r="I110" s="4">
        <v>0</v>
      </c>
      <c r="J110" s="4">
        <v>955.17</v>
      </c>
      <c r="K110" s="4">
        <f t="shared" si="4"/>
        <v>85.59</v>
      </c>
      <c r="L110" s="7">
        <f t="shared" si="5"/>
        <v>85.59</v>
      </c>
      <c r="M110" s="7">
        <f t="shared" si="6"/>
        <v>0</v>
      </c>
      <c r="N110" s="4">
        <v>7.38</v>
      </c>
      <c r="O110" s="4">
        <v>88.24</v>
      </c>
      <c r="P110" s="4">
        <v>71</v>
      </c>
      <c r="Q110" s="4">
        <v>22.2</v>
      </c>
      <c r="R110" s="4">
        <v>11.23</v>
      </c>
      <c r="S110" s="4">
        <v>18.46</v>
      </c>
      <c r="T110" s="4">
        <v>3.27</v>
      </c>
      <c r="U110" s="4">
        <v>5.76</v>
      </c>
      <c r="V110" s="4">
        <v>3519.44</v>
      </c>
      <c r="W110" s="4">
        <v>1041.28</v>
      </c>
      <c r="X110" s="4">
        <v>1182.1500000000001</v>
      </c>
      <c r="Y110" s="4">
        <v>732.54</v>
      </c>
      <c r="Z110" s="4">
        <v>20.49</v>
      </c>
      <c r="AA110" s="4">
        <v>1.6</v>
      </c>
      <c r="AB110" s="4">
        <v>4.42</v>
      </c>
      <c r="AC110" s="4">
        <v>77.45</v>
      </c>
      <c r="AD110" s="4">
        <v>490</v>
      </c>
      <c r="AE110" s="4">
        <v>4700</v>
      </c>
      <c r="AF110" s="4">
        <v>80.72</v>
      </c>
      <c r="AG110" s="4">
        <v>0.47</v>
      </c>
      <c r="AH110" s="4">
        <v>16.97</v>
      </c>
      <c r="AI110" s="4">
        <v>81.31</v>
      </c>
      <c r="AJ110" s="4">
        <v>60</v>
      </c>
      <c r="AK110" s="4">
        <v>9</v>
      </c>
      <c r="AL110" s="4">
        <v>9</v>
      </c>
      <c r="AM110" s="4">
        <v>0.28000000000000003</v>
      </c>
      <c r="AN110" s="4">
        <v>294</v>
      </c>
      <c r="AO110" s="4">
        <v>296.51</v>
      </c>
      <c r="AP110" s="4">
        <v>402876.72</v>
      </c>
      <c r="AQ110" s="4">
        <v>402876.72</v>
      </c>
      <c r="AR110" s="4" t="s">
        <v>507</v>
      </c>
      <c r="AS110" s="5">
        <f t="shared" si="0"/>
        <v>0</v>
      </c>
    </row>
    <row r="111" spans="1:45" ht="14.25" customHeight="1" x14ac:dyDescent="0.55000000000000004">
      <c r="A111" s="4">
        <v>21.56</v>
      </c>
      <c r="B111" s="4">
        <v>33.06</v>
      </c>
      <c r="C111" s="4">
        <v>5573.23</v>
      </c>
      <c r="D111" s="4">
        <v>7.6</v>
      </c>
      <c r="E111" s="4" t="s">
        <v>508</v>
      </c>
      <c r="F111" s="4" t="s">
        <v>509</v>
      </c>
      <c r="G111" s="4" t="s">
        <v>510</v>
      </c>
      <c r="H111" s="4" t="s">
        <v>511</v>
      </c>
      <c r="I111" s="4">
        <v>0</v>
      </c>
      <c r="J111" s="4">
        <v>631.4</v>
      </c>
      <c r="K111" s="4">
        <f t="shared" si="4"/>
        <v>54.819999999999993</v>
      </c>
      <c r="L111" s="7">
        <f t="shared" si="5"/>
        <v>56.03</v>
      </c>
      <c r="M111" s="7">
        <f t="shared" si="6"/>
        <v>-1.210000000000008</v>
      </c>
      <c r="N111" s="4">
        <v>7.16</v>
      </c>
      <c r="O111" s="4">
        <v>88.18</v>
      </c>
      <c r="P111" s="4">
        <v>90</v>
      </c>
      <c r="Q111" s="4">
        <v>18.8</v>
      </c>
      <c r="R111" s="4">
        <v>11.5</v>
      </c>
      <c r="S111" s="4">
        <v>17.59</v>
      </c>
      <c r="T111" s="4">
        <v>3.98</v>
      </c>
      <c r="U111" s="4">
        <v>8.83</v>
      </c>
      <c r="V111" s="4">
        <v>3566.87</v>
      </c>
      <c r="W111" s="4">
        <v>1068.4000000000001</v>
      </c>
      <c r="X111" s="4">
        <v>1342.29</v>
      </c>
      <c r="Y111" s="4">
        <v>778.19</v>
      </c>
      <c r="Z111" s="4">
        <v>6.36</v>
      </c>
      <c r="AA111" s="4">
        <v>1.65</v>
      </c>
      <c r="AB111" s="4">
        <v>4.3099999999999996</v>
      </c>
      <c r="AC111" s="4">
        <v>74.31</v>
      </c>
      <c r="AD111" s="4">
        <v>490</v>
      </c>
      <c r="AE111" s="4">
        <v>4700</v>
      </c>
      <c r="AF111" s="4">
        <v>82.71</v>
      </c>
      <c r="AG111" s="4">
        <v>0.47</v>
      </c>
      <c r="AH111" s="4">
        <v>10.57</v>
      </c>
      <c r="AI111" s="4">
        <v>39.39</v>
      </c>
      <c r="AJ111" s="4">
        <v>60</v>
      </c>
      <c r="AK111" s="4">
        <v>9</v>
      </c>
      <c r="AL111" s="4">
        <v>9</v>
      </c>
      <c r="AM111" s="4">
        <v>0.56999999999999995</v>
      </c>
      <c r="AN111" s="4">
        <v>294</v>
      </c>
      <c r="AO111" s="4">
        <v>299.17</v>
      </c>
      <c r="AP111" s="4">
        <v>406140.71</v>
      </c>
      <c r="AQ111" s="4">
        <v>165316.46</v>
      </c>
      <c r="AR111" s="4" t="s">
        <v>512</v>
      </c>
      <c r="AS111" s="5">
        <f t="shared" si="0"/>
        <v>13.745676369863016</v>
      </c>
    </row>
    <row r="112" spans="1:45" ht="14.25" customHeight="1" x14ac:dyDescent="0.55000000000000004">
      <c r="A112" s="4">
        <v>22.11</v>
      </c>
      <c r="B112" s="4">
        <v>32.49</v>
      </c>
      <c r="C112" s="4">
        <v>5403.29</v>
      </c>
      <c r="D112" s="4">
        <v>7.61</v>
      </c>
      <c r="E112" s="4" t="s">
        <v>513</v>
      </c>
      <c r="F112" s="4" t="s">
        <v>514</v>
      </c>
      <c r="G112" s="4" t="s">
        <v>515</v>
      </c>
      <c r="H112" s="4" t="s">
        <v>516</v>
      </c>
      <c r="I112" s="4">
        <v>0</v>
      </c>
      <c r="J112" s="4">
        <v>721.56</v>
      </c>
      <c r="K112" s="4">
        <f t="shared" si="4"/>
        <v>61.93</v>
      </c>
      <c r="L112" s="7">
        <f t="shared" si="5"/>
        <v>71.910000000000011</v>
      </c>
      <c r="M112" s="7">
        <f t="shared" si="6"/>
        <v>-9.9800000000000111</v>
      </c>
      <c r="N112" s="4">
        <v>7.23</v>
      </c>
      <c r="O112" s="4">
        <v>90.44</v>
      </c>
      <c r="P112" s="4">
        <v>85</v>
      </c>
      <c r="Q112" s="4">
        <v>20.100000000000001</v>
      </c>
      <c r="R112" s="4">
        <v>10.38</v>
      </c>
      <c r="S112" s="4">
        <v>18.25</v>
      </c>
      <c r="T112" s="4">
        <v>3.87</v>
      </c>
      <c r="U112" s="4">
        <v>7.49</v>
      </c>
      <c r="V112" s="4">
        <v>3458.11</v>
      </c>
      <c r="W112" s="4">
        <v>1031.92</v>
      </c>
      <c r="X112" s="4">
        <v>1255.45</v>
      </c>
      <c r="Y112" s="4">
        <v>743.48</v>
      </c>
      <c r="Z112" s="4">
        <v>5.17</v>
      </c>
      <c r="AA112" s="4">
        <v>1.62</v>
      </c>
      <c r="AB112" s="4">
        <v>4.3600000000000003</v>
      </c>
      <c r="AC112" s="4">
        <v>72.86</v>
      </c>
      <c r="AD112" s="4">
        <v>490</v>
      </c>
      <c r="AE112" s="4">
        <v>4700</v>
      </c>
      <c r="AF112" s="4">
        <v>74.61</v>
      </c>
      <c r="AG112" s="4">
        <v>0.47</v>
      </c>
      <c r="AH112" s="4">
        <v>11.5</v>
      </c>
      <c r="AI112" s="4">
        <v>28.33</v>
      </c>
      <c r="AJ112" s="4">
        <v>60</v>
      </c>
      <c r="AK112" s="4">
        <v>9</v>
      </c>
      <c r="AL112" s="4">
        <v>9</v>
      </c>
      <c r="AM112" s="4">
        <v>0.8</v>
      </c>
      <c r="AN112" s="4">
        <v>294</v>
      </c>
      <c r="AO112" s="4">
        <v>301.19</v>
      </c>
      <c r="AP112" s="4">
        <v>359473.49</v>
      </c>
      <c r="AQ112" s="4">
        <v>194874.73</v>
      </c>
      <c r="AR112" s="4" t="s">
        <v>517</v>
      </c>
      <c r="AS112" s="5">
        <f t="shared" si="0"/>
        <v>9.3949063926940628</v>
      </c>
    </row>
    <row r="113" spans="1:45" ht="14.25" customHeight="1" x14ac:dyDescent="0.55000000000000004">
      <c r="A113" s="4">
        <v>22.15</v>
      </c>
      <c r="B113" s="4">
        <v>32.799999999999997</v>
      </c>
      <c r="C113" s="4">
        <v>5466.11</v>
      </c>
      <c r="D113" s="4">
        <v>7.6</v>
      </c>
      <c r="E113" s="4" t="s">
        <v>518</v>
      </c>
      <c r="F113" s="4" t="s">
        <v>519</v>
      </c>
      <c r="G113" s="4" t="s">
        <v>435</v>
      </c>
      <c r="H113" s="4" t="s">
        <v>520</v>
      </c>
      <c r="I113" s="4">
        <v>0</v>
      </c>
      <c r="J113" s="4">
        <v>829.11</v>
      </c>
      <c r="K113" s="4">
        <f t="shared" si="4"/>
        <v>67.89</v>
      </c>
      <c r="L113" s="7">
        <f t="shared" si="5"/>
        <v>77.86</v>
      </c>
      <c r="M113" s="7">
        <f t="shared" si="6"/>
        <v>-9.9699999999999989</v>
      </c>
      <c r="N113" s="4">
        <v>7.27</v>
      </c>
      <c r="O113" s="4">
        <v>88.39</v>
      </c>
      <c r="P113" s="4">
        <v>77</v>
      </c>
      <c r="Q113" s="4">
        <v>22.2</v>
      </c>
      <c r="R113" s="4">
        <v>10.65</v>
      </c>
      <c r="S113" s="4">
        <v>19.25</v>
      </c>
      <c r="T113" s="4">
        <v>2.9</v>
      </c>
      <c r="U113" s="4">
        <v>6.59</v>
      </c>
      <c r="V113" s="4">
        <v>3498.31</v>
      </c>
      <c r="W113" s="4">
        <v>1036.8900000000001</v>
      </c>
      <c r="X113" s="4">
        <v>1202.9100000000001</v>
      </c>
      <c r="Y113" s="4">
        <v>734.03</v>
      </c>
      <c r="Z113" s="4">
        <v>5.67</v>
      </c>
      <c r="AA113" s="4">
        <v>1.6</v>
      </c>
      <c r="AB113" s="4">
        <v>4.4000000000000004</v>
      </c>
      <c r="AC113" s="4">
        <v>78.58</v>
      </c>
      <c r="AD113" s="4">
        <v>490</v>
      </c>
      <c r="AE113" s="4">
        <v>4700</v>
      </c>
      <c r="AF113" s="4">
        <v>76.58</v>
      </c>
      <c r="AG113" s="4">
        <v>0.47</v>
      </c>
      <c r="AH113" s="4">
        <v>13.69</v>
      </c>
      <c r="AI113" s="4">
        <v>28.35</v>
      </c>
      <c r="AJ113" s="4">
        <v>60</v>
      </c>
      <c r="AK113" s="4">
        <v>9</v>
      </c>
      <c r="AL113" s="4">
        <v>9</v>
      </c>
      <c r="AM113" s="4">
        <v>0.8</v>
      </c>
      <c r="AN113" s="4">
        <v>294</v>
      </c>
      <c r="AO113" s="4">
        <v>301.19</v>
      </c>
      <c r="AP113" s="4">
        <v>364446.66</v>
      </c>
      <c r="AQ113" s="4">
        <v>291331.25</v>
      </c>
      <c r="AR113" s="4" t="s">
        <v>521</v>
      </c>
      <c r="AS113" s="5">
        <f t="shared" si="0"/>
        <v>4.1732539954337886</v>
      </c>
    </row>
    <row r="114" spans="1:45" ht="14.25" customHeight="1" x14ac:dyDescent="0.55000000000000004">
      <c r="A114" s="4">
        <v>22.18</v>
      </c>
      <c r="B114" s="4">
        <v>32.619999999999997</v>
      </c>
      <c r="C114" s="4">
        <v>5430.54</v>
      </c>
      <c r="D114" s="4">
        <v>7.59</v>
      </c>
      <c r="E114" s="4" t="s">
        <v>522</v>
      </c>
      <c r="F114" s="4" t="s">
        <v>523</v>
      </c>
      <c r="G114" s="4" t="s">
        <v>524</v>
      </c>
      <c r="H114" s="4" t="s">
        <v>525</v>
      </c>
      <c r="I114" s="4">
        <v>0</v>
      </c>
      <c r="J114" s="4">
        <v>232.52</v>
      </c>
      <c r="K114" s="4">
        <f t="shared" si="4"/>
        <v>38.14</v>
      </c>
      <c r="L114" s="7">
        <f t="shared" si="5"/>
        <v>42.17</v>
      </c>
      <c r="M114" s="7">
        <f t="shared" si="6"/>
        <v>-4.0300000000000011</v>
      </c>
      <c r="N114" s="4">
        <v>6.87</v>
      </c>
      <c r="O114" s="4">
        <v>90.45</v>
      </c>
      <c r="P114" s="4">
        <v>81</v>
      </c>
      <c r="Q114" s="4">
        <v>21.4</v>
      </c>
      <c r="R114" s="4">
        <v>10.45</v>
      </c>
      <c r="S114" s="4">
        <v>19</v>
      </c>
      <c r="T114" s="4">
        <v>3.17</v>
      </c>
      <c r="U114" s="4">
        <v>23.36</v>
      </c>
      <c r="V114" s="4">
        <v>3475.55</v>
      </c>
      <c r="W114" s="4">
        <v>1104.26</v>
      </c>
      <c r="X114" s="4">
        <v>2009.16</v>
      </c>
      <c r="Y114" s="4">
        <v>931.53</v>
      </c>
      <c r="Z114" s="4">
        <v>6.33</v>
      </c>
      <c r="AA114" s="4">
        <v>1.84</v>
      </c>
      <c r="AB114" s="4">
        <v>3.91</v>
      </c>
      <c r="AC114" s="4">
        <v>76.7</v>
      </c>
      <c r="AD114" s="4">
        <v>490</v>
      </c>
      <c r="AE114" s="4">
        <v>4700</v>
      </c>
      <c r="AF114" s="4">
        <v>75.12</v>
      </c>
      <c r="AG114" s="4">
        <v>0.47</v>
      </c>
      <c r="AH114" s="4">
        <v>3.36</v>
      </c>
      <c r="AI114" s="4">
        <v>56.37</v>
      </c>
      <c r="AJ114" s="4">
        <v>60</v>
      </c>
      <c r="AK114" s="4">
        <v>9</v>
      </c>
      <c r="AL114" s="4">
        <v>9</v>
      </c>
      <c r="AM114" s="4">
        <v>0.4</v>
      </c>
      <c r="AN114" s="4">
        <v>294</v>
      </c>
      <c r="AO114" s="4">
        <v>297.61</v>
      </c>
      <c r="AP114" s="4">
        <v>337456.22</v>
      </c>
      <c r="AQ114" s="4">
        <v>118528.84</v>
      </c>
      <c r="AR114" s="4" t="s">
        <v>526</v>
      </c>
      <c r="AS114" s="5">
        <f t="shared" si="0"/>
        <v>12.49585502283105</v>
      </c>
    </row>
    <row r="115" spans="1:45" ht="14.25" customHeight="1" x14ac:dyDescent="0.55000000000000004">
      <c r="A115" s="4">
        <v>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f t="shared" si="4"/>
        <v>0</v>
      </c>
      <c r="L115" s="7">
        <f t="shared" si="5"/>
        <v>0</v>
      </c>
      <c r="M115" s="7">
        <f t="shared" si="6"/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5">
        <f t="shared" si="0"/>
        <v>0</v>
      </c>
    </row>
    <row r="116" spans="1:45" ht="14.25" customHeight="1" x14ac:dyDescent="0.55000000000000004">
      <c r="A116" s="4">
        <v>22.19</v>
      </c>
      <c r="B116" s="4">
        <v>32.69</v>
      </c>
      <c r="C116" s="4">
        <v>5399.92</v>
      </c>
      <c r="D116" s="4">
        <v>7.6</v>
      </c>
      <c r="E116" s="4" t="s">
        <v>527</v>
      </c>
      <c r="F116" s="4" t="s">
        <v>528</v>
      </c>
      <c r="G116" s="4" t="s">
        <v>124</v>
      </c>
      <c r="H116" s="4" t="s">
        <v>529</v>
      </c>
      <c r="I116" s="4">
        <v>0</v>
      </c>
      <c r="J116" s="4">
        <v>646.17999999999995</v>
      </c>
      <c r="K116" s="4">
        <f t="shared" si="4"/>
        <v>54.59</v>
      </c>
      <c r="L116" s="7">
        <f t="shared" si="5"/>
        <v>62.68</v>
      </c>
      <c r="M116" s="7">
        <f t="shared" si="6"/>
        <v>-8.0899999999999963</v>
      </c>
      <c r="N116" s="4">
        <v>7.15</v>
      </c>
      <c r="O116" s="4">
        <v>90.08</v>
      </c>
      <c r="P116" s="4">
        <v>95</v>
      </c>
      <c r="Q116" s="4">
        <v>18.899999999999999</v>
      </c>
      <c r="R116" s="4">
        <v>10.5</v>
      </c>
      <c r="S116" s="4">
        <v>18.29</v>
      </c>
      <c r="T116" s="4">
        <v>3.9</v>
      </c>
      <c r="U116" s="4">
        <v>8.36</v>
      </c>
      <c r="V116" s="4">
        <v>3455.95</v>
      </c>
      <c r="W116" s="4">
        <v>1032.3900000000001</v>
      </c>
      <c r="X116" s="4">
        <v>1277.0899999999999</v>
      </c>
      <c r="Y116" s="4">
        <v>747.16</v>
      </c>
      <c r="Z116" s="4">
        <v>5.23</v>
      </c>
      <c r="AA116" s="4">
        <v>1.63</v>
      </c>
      <c r="AB116" s="4">
        <v>4.3499999999999996</v>
      </c>
      <c r="AC116" s="4">
        <v>72.930000000000007</v>
      </c>
      <c r="AD116" s="4">
        <v>490</v>
      </c>
      <c r="AE116" s="4">
        <v>4700</v>
      </c>
      <c r="AF116" s="4">
        <v>75.52</v>
      </c>
      <c r="AG116" s="4">
        <v>0.47</v>
      </c>
      <c r="AH116" s="4">
        <v>10.27</v>
      </c>
      <c r="AI116" s="4">
        <v>32.51</v>
      </c>
      <c r="AJ116" s="4">
        <v>60</v>
      </c>
      <c r="AK116" s="4">
        <v>9</v>
      </c>
      <c r="AL116" s="4">
        <v>9</v>
      </c>
      <c r="AM116" s="4">
        <v>0.7</v>
      </c>
      <c r="AN116" s="4">
        <v>294</v>
      </c>
      <c r="AO116" s="4">
        <v>300.27</v>
      </c>
      <c r="AP116" s="4">
        <v>355118.11</v>
      </c>
      <c r="AQ116" s="4">
        <v>170073.65</v>
      </c>
      <c r="AR116" s="4" t="s">
        <v>530</v>
      </c>
      <c r="AS116" s="5">
        <f t="shared" si="0"/>
        <v>10.561898401826484</v>
      </c>
    </row>
    <row r="117" spans="1:45" ht="14.25" customHeight="1" x14ac:dyDescent="0.55000000000000004">
      <c r="A117" s="4">
        <v>21.5</v>
      </c>
      <c r="B117" s="4">
        <v>33.03</v>
      </c>
      <c r="C117" s="4">
        <v>5566.33</v>
      </c>
      <c r="D117" s="4">
        <v>7.6</v>
      </c>
      <c r="E117" s="4" t="s">
        <v>531</v>
      </c>
      <c r="F117" s="4" t="s">
        <v>532</v>
      </c>
      <c r="G117" s="4" t="s">
        <v>533</v>
      </c>
      <c r="H117" s="4" t="s">
        <v>534</v>
      </c>
      <c r="I117" s="4">
        <v>0</v>
      </c>
      <c r="J117" s="4">
        <v>895.6</v>
      </c>
      <c r="K117" s="4">
        <f t="shared" si="4"/>
        <v>77.97</v>
      </c>
      <c r="L117" s="7">
        <f t="shared" si="5"/>
        <v>81.87</v>
      </c>
      <c r="M117" s="7">
        <f t="shared" si="6"/>
        <v>-3.9000000000000057</v>
      </c>
      <c r="N117" s="4">
        <v>7.34</v>
      </c>
      <c r="O117" s="4">
        <v>87.71</v>
      </c>
      <c r="P117" s="4">
        <v>90</v>
      </c>
      <c r="Q117" s="4">
        <v>19</v>
      </c>
      <c r="R117" s="4">
        <v>11.53</v>
      </c>
      <c r="S117" s="4">
        <v>17.78</v>
      </c>
      <c r="T117" s="4">
        <v>3.71</v>
      </c>
      <c r="U117" s="4">
        <v>6.22</v>
      </c>
      <c r="V117" s="4">
        <v>3562.45</v>
      </c>
      <c r="W117" s="4">
        <v>1055.6099999999999</v>
      </c>
      <c r="X117" s="4">
        <v>1214.67</v>
      </c>
      <c r="Y117" s="4">
        <v>745.93</v>
      </c>
      <c r="Z117" s="4">
        <v>5.71</v>
      </c>
      <c r="AA117" s="4">
        <v>1.6</v>
      </c>
      <c r="AB117" s="4">
        <v>4.4000000000000004</v>
      </c>
      <c r="AC117" s="4">
        <v>75.64</v>
      </c>
      <c r="AD117" s="4">
        <v>490</v>
      </c>
      <c r="AE117" s="4">
        <v>4700</v>
      </c>
      <c r="AF117" s="4">
        <v>82.95</v>
      </c>
      <c r="AG117" s="4">
        <v>0.47</v>
      </c>
      <c r="AH117" s="4">
        <v>15.9</v>
      </c>
      <c r="AI117" s="4">
        <v>24.89</v>
      </c>
      <c r="AJ117" s="4">
        <v>60</v>
      </c>
      <c r="AK117" s="4">
        <v>9</v>
      </c>
      <c r="AL117" s="4">
        <v>9</v>
      </c>
      <c r="AM117" s="4">
        <v>0.91</v>
      </c>
      <c r="AN117" s="4">
        <v>294</v>
      </c>
      <c r="AO117" s="4">
        <v>302.19</v>
      </c>
      <c r="AP117" s="4">
        <v>454093.98</v>
      </c>
      <c r="AQ117" s="4">
        <v>244998.58</v>
      </c>
      <c r="AR117" s="4" t="s">
        <v>535</v>
      </c>
      <c r="AS117" s="5">
        <f t="shared" si="0"/>
        <v>11.934668949771689</v>
      </c>
    </row>
    <row r="118" spans="1:45" ht="14.25" customHeight="1" x14ac:dyDescent="0.55000000000000004">
      <c r="A118" s="4">
        <v>21.77</v>
      </c>
      <c r="B118" s="4">
        <v>32.64</v>
      </c>
      <c r="C118" s="4">
        <v>5438.01</v>
      </c>
      <c r="D118" s="4">
        <v>7.62</v>
      </c>
      <c r="E118" s="4" t="s">
        <v>536</v>
      </c>
      <c r="F118" s="4" t="s">
        <v>537</v>
      </c>
      <c r="G118" s="4" t="s">
        <v>538</v>
      </c>
      <c r="H118" s="4" t="s">
        <v>539</v>
      </c>
      <c r="I118" s="4">
        <v>0</v>
      </c>
      <c r="J118" s="4">
        <v>986.01</v>
      </c>
      <c r="K118" s="4">
        <f t="shared" si="4"/>
        <v>90.98</v>
      </c>
      <c r="L118" s="7">
        <f t="shared" si="5"/>
        <v>97.649999999999991</v>
      </c>
      <c r="M118" s="7">
        <f t="shared" si="6"/>
        <v>-6.6699999999999875</v>
      </c>
      <c r="N118" s="4">
        <v>7.41</v>
      </c>
      <c r="O118" s="4">
        <v>89.39</v>
      </c>
      <c r="P118" s="4">
        <v>94</v>
      </c>
      <c r="Q118" s="4">
        <v>18.600000000000001</v>
      </c>
      <c r="R118" s="4">
        <v>10.87</v>
      </c>
      <c r="S118" s="4">
        <v>17.87</v>
      </c>
      <c r="T118" s="4">
        <v>3.9</v>
      </c>
      <c r="U118" s="4">
        <v>5.52</v>
      </c>
      <c r="V118" s="4">
        <v>3480.33</v>
      </c>
      <c r="W118" s="4">
        <v>1029.3499999999999</v>
      </c>
      <c r="X118" s="4">
        <v>1163.51</v>
      </c>
      <c r="Y118" s="4">
        <v>723.26</v>
      </c>
      <c r="Z118" s="4">
        <v>6.06</v>
      </c>
      <c r="AA118" s="4">
        <v>1.6</v>
      </c>
      <c r="AB118" s="4">
        <v>4.43</v>
      </c>
      <c r="AC118" s="4">
        <v>73.599999999999994</v>
      </c>
      <c r="AD118" s="4">
        <v>490</v>
      </c>
      <c r="AE118" s="4">
        <v>4700</v>
      </c>
      <c r="AF118" s="4">
        <v>78.17</v>
      </c>
      <c r="AG118" s="4">
        <v>0.47</v>
      </c>
      <c r="AH118" s="4">
        <v>17.309999999999999</v>
      </c>
      <c r="AI118" s="4">
        <v>22.6</v>
      </c>
      <c r="AJ118" s="4">
        <v>60</v>
      </c>
      <c r="AK118" s="4">
        <v>9</v>
      </c>
      <c r="AL118" s="4">
        <v>9</v>
      </c>
      <c r="AM118" s="4">
        <v>1</v>
      </c>
      <c r="AN118" s="4">
        <v>294</v>
      </c>
      <c r="AO118" s="4">
        <v>303.01</v>
      </c>
      <c r="AP118" s="4">
        <v>448826.7</v>
      </c>
      <c r="AQ118" s="4">
        <v>370035.68</v>
      </c>
      <c r="AR118" s="4" t="s">
        <v>540</v>
      </c>
      <c r="AS118" s="5">
        <f t="shared" si="0"/>
        <v>4.4972043378995448</v>
      </c>
    </row>
    <row r="119" spans="1:45" ht="14.25" customHeight="1" x14ac:dyDescent="0.55000000000000004">
      <c r="A119" s="4">
        <v>22.27</v>
      </c>
      <c r="B119" s="4">
        <v>33.200000000000003</v>
      </c>
      <c r="C119" s="4">
        <v>5498.56</v>
      </c>
      <c r="D119" s="4">
        <v>7.6</v>
      </c>
      <c r="E119" s="4" t="s">
        <v>541</v>
      </c>
      <c r="F119" s="4" t="s">
        <v>542</v>
      </c>
      <c r="G119" s="4" t="s">
        <v>543</v>
      </c>
      <c r="H119" s="4" t="s">
        <v>544</v>
      </c>
      <c r="I119" s="4">
        <v>0</v>
      </c>
      <c r="J119" s="4">
        <v>293.23</v>
      </c>
      <c r="K119" s="4">
        <f t="shared" si="4"/>
        <v>40.39</v>
      </c>
      <c r="L119" s="7">
        <f t="shared" si="5"/>
        <v>44.74</v>
      </c>
      <c r="M119" s="7">
        <f t="shared" si="6"/>
        <v>-4.3500000000000014</v>
      </c>
      <c r="N119" s="4">
        <v>6.92</v>
      </c>
      <c r="O119" s="4">
        <v>90.25</v>
      </c>
      <c r="P119" s="4">
        <v>87</v>
      </c>
      <c r="Q119" s="4">
        <v>19.7</v>
      </c>
      <c r="R119" s="4">
        <v>10.93</v>
      </c>
      <c r="S119" s="4">
        <v>18.100000000000001</v>
      </c>
      <c r="T119" s="4">
        <v>4.16</v>
      </c>
      <c r="U119" s="4">
        <v>18.75</v>
      </c>
      <c r="V119" s="4">
        <v>3519.08</v>
      </c>
      <c r="W119" s="4">
        <v>1098.04</v>
      </c>
      <c r="X119" s="4">
        <v>1808.34</v>
      </c>
      <c r="Y119" s="4">
        <v>887.86</v>
      </c>
      <c r="Z119" s="4">
        <v>6.32</v>
      </c>
      <c r="AA119" s="4">
        <v>1.8</v>
      </c>
      <c r="AB119" s="4">
        <v>4</v>
      </c>
      <c r="AC119" s="4">
        <v>72.430000000000007</v>
      </c>
      <c r="AD119" s="4">
        <v>490</v>
      </c>
      <c r="AE119" s="4">
        <v>4700</v>
      </c>
      <c r="AF119" s="4">
        <v>78.63</v>
      </c>
      <c r="AG119" s="4">
        <v>0.47</v>
      </c>
      <c r="AH119" s="4">
        <v>4.43</v>
      </c>
      <c r="AI119" s="4">
        <v>53.13</v>
      </c>
      <c r="AJ119" s="4">
        <v>60</v>
      </c>
      <c r="AK119" s="4">
        <v>9</v>
      </c>
      <c r="AL119" s="4">
        <v>9</v>
      </c>
      <c r="AM119" s="4">
        <v>0.43</v>
      </c>
      <c r="AN119" s="4">
        <v>294</v>
      </c>
      <c r="AO119" s="4">
        <v>297.83</v>
      </c>
      <c r="AP119" s="4">
        <v>341422.39</v>
      </c>
      <c r="AQ119" s="4">
        <v>130392.66</v>
      </c>
      <c r="AR119" s="4" t="s">
        <v>545</v>
      </c>
      <c r="AS119" s="5">
        <f t="shared" si="0"/>
        <v>12.045075913242009</v>
      </c>
    </row>
    <row r="120" spans="1:45" ht="14.25" customHeight="1" x14ac:dyDescent="0.55000000000000004">
      <c r="A120" s="4">
        <v>21.99</v>
      </c>
      <c r="B120" s="4">
        <v>33.17</v>
      </c>
      <c r="C120" s="4">
        <v>5519.67</v>
      </c>
      <c r="D120" s="4">
        <v>7.59</v>
      </c>
      <c r="E120" s="4" t="s">
        <v>546</v>
      </c>
      <c r="F120" s="4" t="s">
        <v>547</v>
      </c>
      <c r="G120" s="4" t="s">
        <v>524</v>
      </c>
      <c r="H120" s="4" t="s">
        <v>548</v>
      </c>
      <c r="I120" s="4">
        <v>0</v>
      </c>
      <c r="J120" s="4">
        <v>299.39999999999998</v>
      </c>
      <c r="K120" s="4">
        <f t="shared" si="4"/>
        <v>40.019999999999996</v>
      </c>
      <c r="L120" s="7">
        <f t="shared" si="5"/>
        <v>43.879999999999995</v>
      </c>
      <c r="M120" s="7">
        <f t="shared" si="6"/>
        <v>-3.8599999999999994</v>
      </c>
      <c r="N120" s="4">
        <v>6.92</v>
      </c>
      <c r="O120" s="4">
        <v>88.1</v>
      </c>
      <c r="P120" s="4">
        <v>75</v>
      </c>
      <c r="Q120" s="4">
        <v>21.9</v>
      </c>
      <c r="R120" s="4">
        <v>11.18</v>
      </c>
      <c r="S120" s="4">
        <v>18.7</v>
      </c>
      <c r="T120" s="4">
        <v>3.29</v>
      </c>
      <c r="U120" s="4">
        <v>18.440000000000001</v>
      </c>
      <c r="V120" s="4">
        <v>3532.59</v>
      </c>
      <c r="W120" s="4">
        <v>1100.03</v>
      </c>
      <c r="X120" s="4">
        <v>1792.73</v>
      </c>
      <c r="Y120" s="4">
        <v>885.39</v>
      </c>
      <c r="Z120" s="4">
        <v>6.39</v>
      </c>
      <c r="AA120" s="4">
        <v>1.78</v>
      </c>
      <c r="AB120" s="4">
        <v>4.0199999999999996</v>
      </c>
      <c r="AC120" s="4">
        <v>77.28</v>
      </c>
      <c r="AD120" s="4">
        <v>490</v>
      </c>
      <c r="AE120" s="4">
        <v>4700</v>
      </c>
      <c r="AF120" s="4">
        <v>80.41</v>
      </c>
      <c r="AG120" s="4">
        <v>0.47</v>
      </c>
      <c r="AH120" s="4">
        <v>4.6100000000000003</v>
      </c>
      <c r="AI120" s="4">
        <v>54.17</v>
      </c>
      <c r="AJ120" s="4">
        <v>60</v>
      </c>
      <c r="AK120" s="4">
        <v>9</v>
      </c>
      <c r="AL120" s="4">
        <v>9</v>
      </c>
      <c r="AM120" s="4">
        <v>0.42</v>
      </c>
      <c r="AN120" s="4">
        <v>294</v>
      </c>
      <c r="AO120" s="4">
        <v>297.76</v>
      </c>
      <c r="AP120" s="4">
        <v>341700</v>
      </c>
      <c r="AQ120" s="4">
        <v>127971.37</v>
      </c>
      <c r="AR120" s="4" t="s">
        <v>549</v>
      </c>
      <c r="AS120" s="5">
        <f t="shared" si="0"/>
        <v>12.199122716894978</v>
      </c>
    </row>
    <row r="121" spans="1:45" ht="14.25" customHeight="1" x14ac:dyDescent="0.55000000000000004">
      <c r="A121" s="4">
        <v>21.96</v>
      </c>
      <c r="B121" s="4">
        <v>32.549999999999997</v>
      </c>
      <c r="C121" s="4">
        <v>5473.42</v>
      </c>
      <c r="D121" s="4">
        <v>7.6</v>
      </c>
      <c r="E121" s="4" t="s">
        <v>550</v>
      </c>
      <c r="F121" s="4" t="s">
        <v>551</v>
      </c>
      <c r="G121" s="4" t="s">
        <v>552</v>
      </c>
      <c r="H121" s="4" t="s">
        <v>464</v>
      </c>
      <c r="I121" s="4">
        <v>0</v>
      </c>
      <c r="J121" s="4">
        <v>897.8</v>
      </c>
      <c r="K121" s="4">
        <f t="shared" si="4"/>
        <v>75.600000000000009</v>
      </c>
      <c r="L121" s="7">
        <f t="shared" si="5"/>
        <v>75.600000000000009</v>
      </c>
      <c r="M121" s="7">
        <f t="shared" si="6"/>
        <v>0</v>
      </c>
      <c r="N121" s="4">
        <v>7.33</v>
      </c>
      <c r="O121" s="4">
        <v>88.44</v>
      </c>
      <c r="P121" s="4">
        <v>75</v>
      </c>
      <c r="Q121" s="4">
        <v>22.2</v>
      </c>
      <c r="R121" s="4">
        <v>10.59</v>
      </c>
      <c r="S121" s="4">
        <v>18.989999999999998</v>
      </c>
      <c r="T121" s="4">
        <v>2.97</v>
      </c>
      <c r="U121" s="4">
        <v>6.1</v>
      </c>
      <c r="V121" s="4">
        <v>3502.99</v>
      </c>
      <c r="W121" s="4">
        <v>1036.6300000000001</v>
      </c>
      <c r="X121" s="4">
        <v>1184.21</v>
      </c>
      <c r="Y121" s="4">
        <v>730.27</v>
      </c>
      <c r="Z121" s="4">
        <v>37.74</v>
      </c>
      <c r="AA121" s="4">
        <v>1.59</v>
      </c>
      <c r="AB121" s="4">
        <v>4.42</v>
      </c>
      <c r="AC121" s="4">
        <v>78.09</v>
      </c>
      <c r="AD121" s="4">
        <v>490</v>
      </c>
      <c r="AE121" s="4">
        <v>4700</v>
      </c>
      <c r="AF121" s="4">
        <v>76.150000000000006</v>
      </c>
      <c r="AG121" s="4">
        <v>0.47</v>
      </c>
      <c r="AH121" s="4">
        <v>14.94</v>
      </c>
      <c r="AI121" s="4">
        <v>169.49</v>
      </c>
      <c r="AJ121" s="4">
        <v>60</v>
      </c>
      <c r="AK121" s="4">
        <v>9</v>
      </c>
      <c r="AL121" s="4">
        <v>9</v>
      </c>
      <c r="AM121" s="4">
        <v>0.13</v>
      </c>
      <c r="AN121" s="4">
        <v>294</v>
      </c>
      <c r="AO121" s="4">
        <v>295.2</v>
      </c>
      <c r="AP121" s="4">
        <v>371759.04</v>
      </c>
      <c r="AQ121" s="4">
        <v>371759.04</v>
      </c>
      <c r="AR121" s="4" t="s">
        <v>553</v>
      </c>
      <c r="AS121" s="5">
        <f t="shared" si="0"/>
        <v>0</v>
      </c>
    </row>
    <row r="122" spans="1:45" ht="14.25" customHeight="1" x14ac:dyDescent="0.55000000000000004">
      <c r="A122" s="4">
        <v>22.02</v>
      </c>
      <c r="B122" s="4">
        <v>32.39</v>
      </c>
      <c r="C122" s="4">
        <v>5441.69</v>
      </c>
      <c r="D122" s="4">
        <v>7.6</v>
      </c>
      <c r="E122" s="4" t="s">
        <v>554</v>
      </c>
      <c r="F122" s="4" t="s">
        <v>555</v>
      </c>
      <c r="G122" s="4" t="s">
        <v>556</v>
      </c>
      <c r="H122" s="4" t="s">
        <v>464</v>
      </c>
      <c r="I122" s="4">
        <v>0</v>
      </c>
      <c r="J122" s="4">
        <v>927.94</v>
      </c>
      <c r="K122" s="4">
        <f t="shared" si="4"/>
        <v>78.290000000000006</v>
      </c>
      <c r="L122" s="7">
        <f t="shared" si="5"/>
        <v>78.290000000000006</v>
      </c>
      <c r="M122" s="7">
        <f t="shared" si="6"/>
        <v>0</v>
      </c>
      <c r="N122" s="4">
        <v>7.34</v>
      </c>
      <c r="O122" s="4">
        <v>89.29</v>
      </c>
      <c r="P122" s="4">
        <v>77</v>
      </c>
      <c r="Q122" s="4">
        <v>21.8</v>
      </c>
      <c r="R122" s="4">
        <v>10.37</v>
      </c>
      <c r="S122" s="4">
        <v>18.87</v>
      </c>
      <c r="T122" s="4">
        <v>3.15</v>
      </c>
      <c r="U122" s="4">
        <v>5.86</v>
      </c>
      <c r="V122" s="4">
        <v>3482.68</v>
      </c>
      <c r="W122" s="4">
        <v>1029.4100000000001</v>
      </c>
      <c r="X122" s="4">
        <v>1165.3499999999999</v>
      </c>
      <c r="Y122" s="4">
        <v>722.88</v>
      </c>
      <c r="Z122" s="4">
        <v>39.15</v>
      </c>
      <c r="AA122" s="4">
        <v>1.58</v>
      </c>
      <c r="AB122" s="4">
        <v>4.4400000000000004</v>
      </c>
      <c r="AC122" s="4">
        <v>76.7</v>
      </c>
      <c r="AD122" s="4">
        <v>490</v>
      </c>
      <c r="AE122" s="4">
        <v>4700</v>
      </c>
      <c r="AF122" s="4">
        <v>74.59</v>
      </c>
      <c r="AG122" s="4">
        <v>0.47</v>
      </c>
      <c r="AH122" s="4">
        <v>15.33</v>
      </c>
      <c r="AI122" s="4">
        <v>169.81</v>
      </c>
      <c r="AJ122" s="4">
        <v>60</v>
      </c>
      <c r="AK122" s="4">
        <v>9</v>
      </c>
      <c r="AL122" s="4">
        <v>9</v>
      </c>
      <c r="AM122" s="4">
        <v>0.13</v>
      </c>
      <c r="AN122" s="4">
        <v>294</v>
      </c>
      <c r="AO122" s="4">
        <v>295.2</v>
      </c>
      <c r="AP122" s="4">
        <v>373532.18</v>
      </c>
      <c r="AQ122" s="4">
        <v>373532.18</v>
      </c>
      <c r="AR122" s="4" t="s">
        <v>557</v>
      </c>
      <c r="AS122" s="5">
        <f t="shared" si="0"/>
        <v>0</v>
      </c>
    </row>
    <row r="123" spans="1:45" ht="14.25" customHeight="1" x14ac:dyDescent="0.55000000000000004">
      <c r="A123" s="4">
        <v>21.94</v>
      </c>
      <c r="B123" s="4">
        <v>33.22</v>
      </c>
      <c r="C123" s="4">
        <v>5532.03</v>
      </c>
      <c r="D123" s="4">
        <v>7.6</v>
      </c>
      <c r="E123" s="4" t="s">
        <v>558</v>
      </c>
      <c r="F123" s="4" t="s">
        <v>559</v>
      </c>
      <c r="G123" s="4" t="s">
        <v>560</v>
      </c>
      <c r="H123" s="4" t="s">
        <v>561</v>
      </c>
      <c r="I123" s="4">
        <v>0</v>
      </c>
      <c r="J123" s="4">
        <v>703.21</v>
      </c>
      <c r="K123" s="4">
        <f t="shared" si="4"/>
        <v>60.39</v>
      </c>
      <c r="L123" s="7">
        <f t="shared" si="5"/>
        <v>68.31</v>
      </c>
      <c r="M123" s="7">
        <f t="shared" si="6"/>
        <v>-7.9200000000000017</v>
      </c>
      <c r="N123" s="4">
        <v>7.21</v>
      </c>
      <c r="O123" s="4">
        <v>87.91</v>
      </c>
      <c r="P123" s="4">
        <v>72</v>
      </c>
      <c r="Q123" s="4">
        <v>22.2</v>
      </c>
      <c r="R123" s="4">
        <v>11.28</v>
      </c>
      <c r="S123" s="4">
        <v>18.59</v>
      </c>
      <c r="T123" s="4">
        <v>3.35</v>
      </c>
      <c r="U123" s="4">
        <v>7.87</v>
      </c>
      <c r="V123" s="4">
        <v>3540.5</v>
      </c>
      <c r="W123" s="4">
        <v>1056.8499999999999</v>
      </c>
      <c r="X123" s="4">
        <v>1291.1400000000001</v>
      </c>
      <c r="Y123" s="4">
        <v>762.35</v>
      </c>
      <c r="Z123" s="4">
        <v>5.3</v>
      </c>
      <c r="AA123" s="4">
        <v>1.63</v>
      </c>
      <c r="AB123" s="4">
        <v>4.34</v>
      </c>
      <c r="AC123" s="4">
        <v>77.09</v>
      </c>
      <c r="AD123" s="4">
        <v>490</v>
      </c>
      <c r="AE123" s="4">
        <v>4700</v>
      </c>
      <c r="AF123" s="4">
        <v>81.08</v>
      </c>
      <c r="AG123" s="4">
        <v>0.47</v>
      </c>
      <c r="AH123" s="4">
        <v>11.81</v>
      </c>
      <c r="AI123" s="4">
        <v>29.83</v>
      </c>
      <c r="AJ123" s="4">
        <v>60</v>
      </c>
      <c r="AK123" s="4">
        <v>9</v>
      </c>
      <c r="AL123" s="4">
        <v>9</v>
      </c>
      <c r="AM123" s="4">
        <v>0.76</v>
      </c>
      <c r="AN123" s="4">
        <v>294</v>
      </c>
      <c r="AO123" s="4">
        <v>300.83</v>
      </c>
      <c r="AP123" s="4">
        <v>374372.22</v>
      </c>
      <c r="AQ123" s="4">
        <v>181985.34</v>
      </c>
      <c r="AR123" s="4" t="s">
        <v>562</v>
      </c>
      <c r="AS123" s="5">
        <f t="shared" si="0"/>
        <v>10.980986301369862</v>
      </c>
    </row>
    <row r="124" spans="1:45" ht="14.25" customHeight="1" x14ac:dyDescent="0.55000000000000004">
      <c r="A124" s="4">
        <v>22.38</v>
      </c>
      <c r="B124" s="4">
        <v>33.130000000000003</v>
      </c>
      <c r="C124" s="4">
        <v>5480.04</v>
      </c>
      <c r="D124" s="4">
        <v>7.6</v>
      </c>
      <c r="E124" s="4" t="s">
        <v>563</v>
      </c>
      <c r="F124" s="4" t="s">
        <v>564</v>
      </c>
      <c r="G124" s="4" t="s">
        <v>565</v>
      </c>
      <c r="H124" s="4" t="s">
        <v>566</v>
      </c>
      <c r="I124" s="4">
        <v>0</v>
      </c>
      <c r="J124" s="4">
        <v>745.03</v>
      </c>
      <c r="K124" s="4">
        <f t="shared" si="4"/>
        <v>63.339999999999996</v>
      </c>
      <c r="L124" s="7">
        <f t="shared" si="5"/>
        <v>73.61</v>
      </c>
      <c r="M124" s="7">
        <f t="shared" si="6"/>
        <v>-10.270000000000003</v>
      </c>
      <c r="N124" s="4">
        <v>7.24</v>
      </c>
      <c r="O124" s="4">
        <v>89</v>
      </c>
      <c r="P124" s="4">
        <v>87</v>
      </c>
      <c r="Q124" s="4">
        <v>20</v>
      </c>
      <c r="R124" s="4">
        <v>10.75</v>
      </c>
      <c r="S124" s="4">
        <v>18.399999999999999</v>
      </c>
      <c r="T124" s="4">
        <v>3.98</v>
      </c>
      <c r="U124" s="4">
        <v>7.36</v>
      </c>
      <c r="V124" s="4">
        <v>3507.23</v>
      </c>
      <c r="W124" s="4">
        <v>1045.26</v>
      </c>
      <c r="X124" s="4">
        <v>1259.8</v>
      </c>
      <c r="Y124" s="4">
        <v>750.55</v>
      </c>
      <c r="Z124" s="4">
        <v>5.16</v>
      </c>
      <c r="AA124" s="4">
        <v>1.63</v>
      </c>
      <c r="AB124" s="4">
        <v>4.3499999999999996</v>
      </c>
      <c r="AC124" s="4">
        <v>72.97</v>
      </c>
      <c r="AD124" s="4">
        <v>490</v>
      </c>
      <c r="AE124" s="4">
        <v>4700</v>
      </c>
      <c r="AF124" s="4">
        <v>77.31</v>
      </c>
      <c r="AG124" s="4">
        <v>0.47</v>
      </c>
      <c r="AH124" s="4">
        <v>12.16</v>
      </c>
      <c r="AI124" s="4">
        <v>27.68</v>
      </c>
      <c r="AJ124" s="4">
        <v>60</v>
      </c>
      <c r="AK124" s="4">
        <v>9</v>
      </c>
      <c r="AL124" s="4">
        <v>9</v>
      </c>
      <c r="AM124" s="4">
        <v>0.82</v>
      </c>
      <c r="AN124" s="4">
        <v>294</v>
      </c>
      <c r="AO124" s="4">
        <v>301.36</v>
      </c>
      <c r="AP124" s="4">
        <v>359855.34</v>
      </c>
      <c r="AQ124" s="4">
        <v>204374.02</v>
      </c>
      <c r="AR124" s="4" t="s">
        <v>567</v>
      </c>
      <c r="AS124" s="5">
        <f t="shared" si="0"/>
        <v>8.8745045662100477</v>
      </c>
    </row>
    <row r="125" spans="1:45" ht="14.25" customHeight="1" x14ac:dyDescent="0.55000000000000004">
      <c r="A125" s="4">
        <v>21.94</v>
      </c>
      <c r="B125" s="4">
        <v>32.549999999999997</v>
      </c>
      <c r="C125" s="4">
        <v>5407.96</v>
      </c>
      <c r="D125" s="4">
        <v>7.62</v>
      </c>
      <c r="E125" s="4" t="s">
        <v>568</v>
      </c>
      <c r="F125" s="4" t="s">
        <v>569</v>
      </c>
      <c r="G125" s="4" t="s">
        <v>570</v>
      </c>
      <c r="H125" s="4" t="s">
        <v>571</v>
      </c>
      <c r="I125" s="4">
        <v>0</v>
      </c>
      <c r="J125" s="4">
        <v>935.53</v>
      </c>
      <c r="K125" s="4">
        <f t="shared" si="4"/>
        <v>83.75</v>
      </c>
      <c r="L125" s="7">
        <f t="shared" si="5"/>
        <v>83.75</v>
      </c>
      <c r="M125" s="7">
        <f t="shared" si="6"/>
        <v>0</v>
      </c>
      <c r="N125" s="4">
        <v>7.37</v>
      </c>
      <c r="O125" s="4">
        <v>89.98</v>
      </c>
      <c r="P125" s="4">
        <v>69</v>
      </c>
      <c r="Q125" s="4">
        <v>22.6</v>
      </c>
      <c r="R125" s="4">
        <v>10.61</v>
      </c>
      <c r="S125" s="4">
        <v>18.57</v>
      </c>
      <c r="T125" s="4">
        <v>3.37</v>
      </c>
      <c r="U125" s="4">
        <v>5.78</v>
      </c>
      <c r="V125" s="4">
        <v>3461.09</v>
      </c>
      <c r="W125" s="4">
        <v>1024.82</v>
      </c>
      <c r="X125" s="4">
        <v>1170.3900000000001</v>
      </c>
      <c r="Y125" s="4">
        <v>722.49</v>
      </c>
      <c r="Z125" s="4">
        <v>41.32</v>
      </c>
      <c r="AA125" s="4">
        <v>1.6</v>
      </c>
      <c r="AB125" s="4">
        <v>4.43</v>
      </c>
      <c r="AC125" s="4">
        <v>75.900000000000006</v>
      </c>
      <c r="AD125" s="4">
        <v>490</v>
      </c>
      <c r="AE125" s="4">
        <v>4700</v>
      </c>
      <c r="AF125" s="4">
        <v>76.33</v>
      </c>
      <c r="AG125" s="4">
        <v>0.47</v>
      </c>
      <c r="AH125" s="4">
        <v>15.97</v>
      </c>
      <c r="AI125" s="4">
        <v>167.53</v>
      </c>
      <c r="AJ125" s="4">
        <v>60</v>
      </c>
      <c r="AK125" s="4">
        <v>9</v>
      </c>
      <c r="AL125" s="4">
        <v>9</v>
      </c>
      <c r="AM125" s="4">
        <v>0.14000000000000001</v>
      </c>
      <c r="AN125" s="4">
        <v>294</v>
      </c>
      <c r="AO125" s="4">
        <v>295.22000000000003</v>
      </c>
      <c r="AP125" s="4">
        <v>380443.11</v>
      </c>
      <c r="AQ125" s="4">
        <v>380443.11</v>
      </c>
      <c r="AR125" s="4" t="s">
        <v>572</v>
      </c>
      <c r="AS125" s="5">
        <f t="shared" si="0"/>
        <v>0</v>
      </c>
    </row>
    <row r="126" spans="1:45" ht="14.25" customHeight="1" x14ac:dyDescent="0.55000000000000004">
      <c r="A126" s="4">
        <v>21.94</v>
      </c>
      <c r="B126" s="4">
        <v>32.6</v>
      </c>
      <c r="C126" s="4">
        <v>5409.17</v>
      </c>
      <c r="D126" s="4">
        <v>7.61</v>
      </c>
      <c r="E126" s="4" t="s">
        <v>573</v>
      </c>
      <c r="F126" s="4" t="s">
        <v>574</v>
      </c>
      <c r="G126" s="4" t="s">
        <v>575</v>
      </c>
      <c r="H126" s="4" t="s">
        <v>576</v>
      </c>
      <c r="I126" s="4">
        <v>0</v>
      </c>
      <c r="J126" s="4">
        <v>871.56</v>
      </c>
      <c r="K126" s="4">
        <f t="shared" si="4"/>
        <v>74.3</v>
      </c>
      <c r="L126" s="7">
        <f t="shared" si="5"/>
        <v>82.71</v>
      </c>
      <c r="M126" s="7">
        <f t="shared" si="6"/>
        <v>-8.4099999999999966</v>
      </c>
      <c r="N126" s="4">
        <v>7.32</v>
      </c>
      <c r="O126" s="4">
        <v>89.92</v>
      </c>
      <c r="P126" s="4">
        <v>94</v>
      </c>
      <c r="Q126" s="4">
        <v>18.7</v>
      </c>
      <c r="R126" s="4">
        <v>10.65</v>
      </c>
      <c r="S126" s="4">
        <v>17.97</v>
      </c>
      <c r="T126" s="4">
        <v>3.97</v>
      </c>
      <c r="U126" s="4">
        <v>6.21</v>
      </c>
      <c r="V126" s="4">
        <v>3461.87</v>
      </c>
      <c r="W126" s="4">
        <v>1026.03</v>
      </c>
      <c r="X126" s="4">
        <v>1184.71</v>
      </c>
      <c r="Y126" s="4">
        <v>725.68</v>
      </c>
      <c r="Z126" s="4">
        <v>5.39</v>
      </c>
      <c r="AA126" s="4">
        <v>1.59</v>
      </c>
      <c r="AB126" s="4">
        <v>4.43</v>
      </c>
      <c r="AC126" s="4">
        <v>72.86</v>
      </c>
      <c r="AD126" s="4">
        <v>490</v>
      </c>
      <c r="AE126" s="4">
        <v>4700</v>
      </c>
      <c r="AF126" s="4">
        <v>76.61</v>
      </c>
      <c r="AG126" s="4">
        <v>0.47</v>
      </c>
      <c r="AH126" s="4">
        <v>14.72</v>
      </c>
      <c r="AI126" s="4">
        <v>24.63</v>
      </c>
      <c r="AJ126" s="4">
        <v>60</v>
      </c>
      <c r="AK126" s="4">
        <v>9</v>
      </c>
      <c r="AL126" s="4">
        <v>9</v>
      </c>
      <c r="AM126" s="4">
        <v>0.92</v>
      </c>
      <c r="AN126" s="4">
        <v>294</v>
      </c>
      <c r="AO126" s="4">
        <v>302.27</v>
      </c>
      <c r="AP126" s="4">
        <v>406121.15</v>
      </c>
      <c r="AQ126" s="4">
        <v>253589.79</v>
      </c>
      <c r="AR126" s="4" t="s">
        <v>577</v>
      </c>
      <c r="AS126" s="5">
        <f t="shared" si="0"/>
        <v>8.706127853881279</v>
      </c>
    </row>
    <row r="127" spans="1:45" ht="14.25" customHeight="1" x14ac:dyDescent="0.55000000000000004">
      <c r="A127" s="4">
        <v>21.76</v>
      </c>
      <c r="B127" s="4">
        <v>32.700000000000003</v>
      </c>
      <c r="C127" s="4">
        <v>5458</v>
      </c>
      <c r="D127" s="4">
        <v>7.61</v>
      </c>
      <c r="E127" s="4" t="s">
        <v>578</v>
      </c>
      <c r="F127" s="4" t="s">
        <v>579</v>
      </c>
      <c r="G127" s="4" t="s">
        <v>80</v>
      </c>
      <c r="H127" s="4" t="s">
        <v>580</v>
      </c>
      <c r="I127" s="4">
        <v>0</v>
      </c>
      <c r="J127" s="4">
        <v>1011.66</v>
      </c>
      <c r="K127" s="4">
        <f t="shared" si="4"/>
        <v>94.259999999999991</v>
      </c>
      <c r="L127" s="7">
        <f t="shared" si="5"/>
        <v>94.259999999999991</v>
      </c>
      <c r="M127" s="7">
        <f t="shared" si="6"/>
        <v>0</v>
      </c>
      <c r="N127" s="4">
        <v>7.43</v>
      </c>
      <c r="O127" s="4">
        <v>89.02</v>
      </c>
      <c r="P127" s="4">
        <v>70</v>
      </c>
      <c r="Q127" s="4">
        <v>22.5</v>
      </c>
      <c r="R127" s="4">
        <v>10.94</v>
      </c>
      <c r="S127" s="4">
        <v>18.61</v>
      </c>
      <c r="T127" s="4">
        <v>3.15</v>
      </c>
      <c r="U127" s="4">
        <v>5.4</v>
      </c>
      <c r="V127" s="4">
        <v>3493.12</v>
      </c>
      <c r="W127" s="4">
        <v>1032.31</v>
      </c>
      <c r="X127" s="4">
        <v>1159.49</v>
      </c>
      <c r="Y127" s="4">
        <v>723.75</v>
      </c>
      <c r="Z127" s="4">
        <v>28.35</v>
      </c>
      <c r="AA127" s="4">
        <v>1.59</v>
      </c>
      <c r="AB127" s="4">
        <v>4.4400000000000004</v>
      </c>
      <c r="AC127" s="4">
        <v>77.64</v>
      </c>
      <c r="AD127" s="4">
        <v>490</v>
      </c>
      <c r="AE127" s="4">
        <v>4700</v>
      </c>
      <c r="AF127" s="4">
        <v>78.69</v>
      </c>
      <c r="AG127" s="4">
        <v>0.47</v>
      </c>
      <c r="AH127" s="4">
        <v>17.899999999999999</v>
      </c>
      <c r="AI127" s="4">
        <v>102.11</v>
      </c>
      <c r="AJ127" s="4">
        <v>60</v>
      </c>
      <c r="AK127" s="4">
        <v>9</v>
      </c>
      <c r="AL127" s="4">
        <v>9</v>
      </c>
      <c r="AM127" s="4">
        <v>0.22</v>
      </c>
      <c r="AN127" s="4">
        <v>294</v>
      </c>
      <c r="AO127" s="4">
        <v>296</v>
      </c>
      <c r="AP127" s="4">
        <v>398882.54</v>
      </c>
      <c r="AQ127" s="4">
        <v>398882.54</v>
      </c>
      <c r="AR127" s="4" t="s">
        <v>581</v>
      </c>
      <c r="AS127" s="5">
        <f t="shared" si="0"/>
        <v>0</v>
      </c>
    </row>
    <row r="128" spans="1:45" ht="14.25" customHeight="1" x14ac:dyDescent="0.55000000000000004">
      <c r="A128" s="4">
        <v>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f t="shared" si="4"/>
        <v>0</v>
      </c>
      <c r="L128" s="7">
        <f t="shared" si="5"/>
        <v>0</v>
      </c>
      <c r="M128" s="7">
        <f t="shared" si="6"/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5">
        <f t="shared" si="0"/>
        <v>0</v>
      </c>
    </row>
    <row r="129" spans="1:45" ht="14.25" customHeight="1" x14ac:dyDescent="0.55000000000000004">
      <c r="A129" s="4">
        <v>22.06</v>
      </c>
      <c r="B129" s="4">
        <v>32.4</v>
      </c>
      <c r="C129" s="4">
        <v>5460.58</v>
      </c>
      <c r="D129" s="4">
        <v>7.6</v>
      </c>
      <c r="E129" s="4" t="s">
        <v>582</v>
      </c>
      <c r="F129" s="4" t="s">
        <v>583</v>
      </c>
      <c r="G129" s="4" t="s">
        <v>391</v>
      </c>
      <c r="H129" s="4" t="s">
        <v>584</v>
      </c>
      <c r="I129" s="4">
        <v>0</v>
      </c>
      <c r="J129" s="4">
        <v>629.79999999999995</v>
      </c>
      <c r="K129" s="4">
        <f t="shared" si="4"/>
        <v>52.75</v>
      </c>
      <c r="L129" s="7">
        <f t="shared" si="5"/>
        <v>60.9</v>
      </c>
      <c r="M129" s="7">
        <f t="shared" si="6"/>
        <v>-8.1499999999999986</v>
      </c>
      <c r="N129" s="4">
        <v>7.12</v>
      </c>
      <c r="O129" s="4">
        <v>89.29</v>
      </c>
      <c r="P129" s="4">
        <v>82</v>
      </c>
      <c r="Q129" s="4">
        <v>20.7</v>
      </c>
      <c r="R129" s="4">
        <v>10.34</v>
      </c>
      <c r="S129" s="4">
        <v>18.45</v>
      </c>
      <c r="T129" s="4">
        <v>3.61</v>
      </c>
      <c r="U129" s="4">
        <v>8.67</v>
      </c>
      <c r="V129" s="4">
        <v>3494.77</v>
      </c>
      <c r="W129" s="4">
        <v>1042.92</v>
      </c>
      <c r="X129" s="4">
        <v>1287.28</v>
      </c>
      <c r="Y129" s="4">
        <v>753.45</v>
      </c>
      <c r="Z129" s="4">
        <v>5.2</v>
      </c>
      <c r="AA129" s="4">
        <v>1.63</v>
      </c>
      <c r="AB129" s="4">
        <v>4.3499999999999996</v>
      </c>
      <c r="AC129" s="4">
        <v>74.14</v>
      </c>
      <c r="AD129" s="4">
        <v>490</v>
      </c>
      <c r="AE129" s="4">
        <v>4700</v>
      </c>
      <c r="AF129" s="4">
        <v>74.33</v>
      </c>
      <c r="AG129" s="4">
        <v>0.47</v>
      </c>
      <c r="AH129" s="4">
        <v>9.69</v>
      </c>
      <c r="AI129" s="4">
        <v>33.46</v>
      </c>
      <c r="AJ129" s="4">
        <v>60</v>
      </c>
      <c r="AK129" s="4">
        <v>9</v>
      </c>
      <c r="AL129" s="4">
        <v>9</v>
      </c>
      <c r="AM129" s="4">
        <v>0.68</v>
      </c>
      <c r="AN129" s="4">
        <v>294</v>
      </c>
      <c r="AO129" s="4">
        <v>300.08999999999997</v>
      </c>
      <c r="AP129" s="4">
        <v>351283.43</v>
      </c>
      <c r="AQ129" s="4">
        <v>171142.05</v>
      </c>
      <c r="AR129" s="4" t="s">
        <v>585</v>
      </c>
      <c r="AS129" s="5">
        <f t="shared" si="0"/>
        <v>10.282042237442923</v>
      </c>
    </row>
    <row r="130" spans="1:45" ht="14.25" customHeight="1" x14ac:dyDescent="0.55000000000000004">
      <c r="A130" s="4">
        <v>21.57</v>
      </c>
      <c r="B130" s="4">
        <v>32.83</v>
      </c>
      <c r="C130" s="4">
        <v>5497.93</v>
      </c>
      <c r="D130" s="4">
        <v>7.61</v>
      </c>
      <c r="E130" s="4" t="s">
        <v>586</v>
      </c>
      <c r="F130" s="4" t="s">
        <v>185</v>
      </c>
      <c r="G130" s="4" t="s">
        <v>587</v>
      </c>
      <c r="H130" s="4" t="s">
        <v>588</v>
      </c>
      <c r="I130" s="4">
        <v>0</v>
      </c>
      <c r="J130" s="4">
        <v>1051.71</v>
      </c>
      <c r="K130" s="4">
        <f t="shared" si="4"/>
        <v>103.01</v>
      </c>
      <c r="L130" s="7">
        <f t="shared" si="5"/>
        <v>103.01</v>
      </c>
      <c r="M130" s="7">
        <f t="shared" si="6"/>
        <v>0</v>
      </c>
      <c r="N130" s="4">
        <v>7.46</v>
      </c>
      <c r="O130" s="4">
        <v>88.5</v>
      </c>
      <c r="P130" s="4">
        <v>91</v>
      </c>
      <c r="Q130" s="4">
        <v>19.3</v>
      </c>
      <c r="R130" s="4">
        <v>11.26</v>
      </c>
      <c r="S130" s="4">
        <v>18.2</v>
      </c>
      <c r="T130" s="4">
        <v>3.36</v>
      </c>
      <c r="U130" s="4">
        <v>5.23</v>
      </c>
      <c r="V130" s="4">
        <v>3518.68</v>
      </c>
      <c r="W130" s="4">
        <v>1039.0999999999999</v>
      </c>
      <c r="X130" s="4">
        <v>1159.08</v>
      </c>
      <c r="Y130" s="4">
        <v>726.91</v>
      </c>
      <c r="Z130" s="4">
        <v>10.4</v>
      </c>
      <c r="AA130" s="4">
        <v>1.58</v>
      </c>
      <c r="AB130" s="4">
        <v>4.45</v>
      </c>
      <c r="AC130" s="4">
        <v>76.989999999999995</v>
      </c>
      <c r="AD130" s="4">
        <v>490</v>
      </c>
      <c r="AE130" s="4">
        <v>4700</v>
      </c>
      <c r="AF130" s="4">
        <v>80.97</v>
      </c>
      <c r="AG130" s="4">
        <v>0.47</v>
      </c>
      <c r="AH130" s="4">
        <v>19.149999999999999</v>
      </c>
      <c r="AI130" s="4">
        <v>34.299999999999997</v>
      </c>
      <c r="AJ130" s="4">
        <v>60</v>
      </c>
      <c r="AK130" s="4">
        <v>9</v>
      </c>
      <c r="AL130" s="4">
        <v>9</v>
      </c>
      <c r="AM130" s="4">
        <v>0.66</v>
      </c>
      <c r="AN130" s="4">
        <v>294</v>
      </c>
      <c r="AO130" s="4">
        <v>299.94</v>
      </c>
      <c r="AP130" s="4">
        <v>474788.57</v>
      </c>
      <c r="AQ130" s="4">
        <v>474788.57</v>
      </c>
      <c r="AR130" s="4" t="s">
        <v>589</v>
      </c>
      <c r="AS130" s="5">
        <f t="shared" si="0"/>
        <v>0</v>
      </c>
    </row>
    <row r="131" spans="1:45" ht="14.25" customHeight="1" x14ac:dyDescent="0.55000000000000004">
      <c r="A131" s="4">
        <v>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f t="shared" ref="K131:K194" si="7">IF(E131=0,0,
VALUE(MID(E131,2,FIND(",",E131)-2))+
VALUE(MID(F131,2,FIND(",",F131)-2))+
VALUE(MID(G131,2,FIND(",",G131)-2))
)</f>
        <v>0</v>
      </c>
      <c r="L131" s="7">
        <f t="shared" ref="L131:L194" si="8">IF(E131=0,0,
VALUE(MID(E131,FIND(",",E131)+1,FIND("]",E131)-FIND(",",E131)-1))+
VALUE(MID(F131,FIND(",",F131)+1,FIND("]",F131)-FIND(",",F131)-1))+
VALUE(MID(G131,FIND(",",G131)+1,FIND("]",G131)-FIND(",",G131)-1))
)</f>
        <v>0</v>
      </c>
      <c r="M131" s="7">
        <f t="shared" ref="M131:M194" si="9">(K131-L131)</f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5">
        <f t="shared" si="0"/>
        <v>0</v>
      </c>
    </row>
    <row r="132" spans="1:45" ht="14.25" customHeight="1" x14ac:dyDescent="0.55000000000000004">
      <c r="A132" s="4">
        <v>21.47</v>
      </c>
      <c r="B132" s="4">
        <v>32.020000000000003</v>
      </c>
      <c r="C132" s="4">
        <v>5434.1</v>
      </c>
      <c r="D132" s="4">
        <v>7.61</v>
      </c>
      <c r="E132" s="4" t="s">
        <v>590</v>
      </c>
      <c r="F132" s="4" t="s">
        <v>591</v>
      </c>
      <c r="G132" s="4" t="s">
        <v>592</v>
      </c>
      <c r="H132" s="4" t="s">
        <v>593</v>
      </c>
      <c r="I132" s="4">
        <v>0</v>
      </c>
      <c r="J132" s="4">
        <v>820.25</v>
      </c>
      <c r="K132" s="4">
        <f t="shared" si="7"/>
        <v>70.510000000000005</v>
      </c>
      <c r="L132" s="7">
        <f t="shared" si="8"/>
        <v>81.72</v>
      </c>
      <c r="M132" s="7">
        <f t="shared" si="9"/>
        <v>-11.209999999999994</v>
      </c>
      <c r="N132" s="4">
        <v>7.3</v>
      </c>
      <c r="O132" s="4">
        <v>89.97</v>
      </c>
      <c r="P132" s="4">
        <v>89</v>
      </c>
      <c r="Q132" s="4">
        <v>20.2</v>
      </c>
      <c r="R132" s="4">
        <v>10.55</v>
      </c>
      <c r="S132" s="4">
        <v>18.84</v>
      </c>
      <c r="T132" s="4">
        <v>2.63</v>
      </c>
      <c r="U132" s="4">
        <v>6.62</v>
      </c>
      <c r="V132" s="4">
        <v>3477.82</v>
      </c>
      <c r="W132" s="4">
        <v>1033.93</v>
      </c>
      <c r="X132" s="4">
        <v>1219.6300000000001</v>
      </c>
      <c r="Y132" s="4">
        <v>737.11</v>
      </c>
      <c r="Z132" s="4">
        <v>5.18</v>
      </c>
      <c r="AA132" s="4">
        <v>1.6</v>
      </c>
      <c r="AB132" s="4">
        <v>4.41</v>
      </c>
      <c r="AC132" s="4">
        <v>80.08</v>
      </c>
      <c r="AD132" s="4">
        <v>490</v>
      </c>
      <c r="AE132" s="4">
        <v>4700</v>
      </c>
      <c r="AF132" s="4">
        <v>75.88</v>
      </c>
      <c r="AG132" s="4">
        <v>0.47</v>
      </c>
      <c r="AH132" s="4">
        <v>13.49</v>
      </c>
      <c r="AI132" s="4">
        <v>24.93</v>
      </c>
      <c r="AJ132" s="4">
        <v>60</v>
      </c>
      <c r="AK132" s="4">
        <v>9</v>
      </c>
      <c r="AL132" s="4">
        <v>9</v>
      </c>
      <c r="AM132" s="4">
        <v>0.91</v>
      </c>
      <c r="AN132" s="4">
        <v>294</v>
      </c>
      <c r="AO132" s="4">
        <v>302.17</v>
      </c>
      <c r="AP132" s="4">
        <v>370460.15</v>
      </c>
      <c r="AQ132" s="4">
        <v>236456.29</v>
      </c>
      <c r="AR132" s="4" t="s">
        <v>594</v>
      </c>
      <c r="AS132" s="5">
        <f t="shared" si="0"/>
        <v>7.648622146118722</v>
      </c>
    </row>
    <row r="133" spans="1:45" ht="14.25" customHeight="1" x14ac:dyDescent="0.55000000000000004">
      <c r="A133" s="4">
        <v>21.98</v>
      </c>
      <c r="B133" s="4">
        <v>32.29</v>
      </c>
      <c r="C133" s="4">
        <v>5435.18</v>
      </c>
      <c r="D133" s="4">
        <v>7.6</v>
      </c>
      <c r="E133" s="4" t="s">
        <v>595</v>
      </c>
      <c r="F133" s="4" t="s">
        <v>596</v>
      </c>
      <c r="G133" s="4" t="s">
        <v>597</v>
      </c>
      <c r="H133" s="4" t="s">
        <v>477</v>
      </c>
      <c r="I133" s="4">
        <v>0</v>
      </c>
      <c r="J133" s="4">
        <v>520.04999999999995</v>
      </c>
      <c r="K133" s="4">
        <f t="shared" si="7"/>
        <v>49.93</v>
      </c>
      <c r="L133" s="7">
        <f t="shared" si="8"/>
        <v>56.650000000000006</v>
      </c>
      <c r="M133" s="7">
        <f t="shared" si="9"/>
        <v>-6.720000000000006</v>
      </c>
      <c r="N133" s="4">
        <v>7.09</v>
      </c>
      <c r="O133" s="4">
        <v>90.48</v>
      </c>
      <c r="P133" s="4">
        <v>91</v>
      </c>
      <c r="Q133" s="4">
        <v>19.899999999999999</v>
      </c>
      <c r="R133" s="4">
        <v>10.31</v>
      </c>
      <c r="S133" s="4">
        <v>18.79</v>
      </c>
      <c r="T133" s="4">
        <v>3.19</v>
      </c>
      <c r="U133" s="4">
        <v>10.45</v>
      </c>
      <c r="V133" s="4">
        <v>3478.52</v>
      </c>
      <c r="W133" s="4">
        <v>1051.8800000000001</v>
      </c>
      <c r="X133" s="4">
        <v>1411.53</v>
      </c>
      <c r="Y133" s="4">
        <v>785.33</v>
      </c>
      <c r="Z133" s="4">
        <v>5.73</v>
      </c>
      <c r="AA133" s="4">
        <v>1.67</v>
      </c>
      <c r="AB133" s="4">
        <v>4.25</v>
      </c>
      <c r="AC133" s="4">
        <v>76.39</v>
      </c>
      <c r="AD133" s="4">
        <v>490</v>
      </c>
      <c r="AE133" s="4">
        <v>4700</v>
      </c>
      <c r="AF133" s="4">
        <v>74.14</v>
      </c>
      <c r="AG133" s="4">
        <v>0.47</v>
      </c>
      <c r="AH133" s="4">
        <v>7.84</v>
      </c>
      <c r="AI133" s="4">
        <v>38.96</v>
      </c>
      <c r="AJ133" s="4">
        <v>60</v>
      </c>
      <c r="AK133" s="4">
        <v>9</v>
      </c>
      <c r="AL133" s="4">
        <v>9</v>
      </c>
      <c r="AM133" s="4">
        <v>0.57999999999999996</v>
      </c>
      <c r="AN133" s="4">
        <v>294</v>
      </c>
      <c r="AO133" s="4">
        <v>299.23</v>
      </c>
      <c r="AP133" s="4">
        <v>348616.45</v>
      </c>
      <c r="AQ133" s="4">
        <v>160007.01</v>
      </c>
      <c r="AR133" s="4" t="s">
        <v>598</v>
      </c>
      <c r="AS133" s="5">
        <f t="shared" si="0"/>
        <v>10.765378995433791</v>
      </c>
    </row>
    <row r="134" spans="1:45" ht="14.25" customHeight="1" x14ac:dyDescent="0.55000000000000004">
      <c r="A134" s="4">
        <v>21.87</v>
      </c>
      <c r="B134" s="4">
        <v>32.479999999999997</v>
      </c>
      <c r="C134" s="4">
        <v>5382.39</v>
      </c>
      <c r="D134" s="4">
        <v>7.6</v>
      </c>
      <c r="E134" s="4" t="s">
        <v>599</v>
      </c>
      <c r="F134" s="4" t="s">
        <v>600</v>
      </c>
      <c r="G134" s="4" t="s">
        <v>601</v>
      </c>
      <c r="H134" s="4" t="s">
        <v>602</v>
      </c>
      <c r="I134" s="4">
        <v>0</v>
      </c>
      <c r="J134" s="4">
        <v>1034.76</v>
      </c>
      <c r="K134" s="4">
        <f t="shared" si="7"/>
        <v>71.209999999999994</v>
      </c>
      <c r="L134" s="7">
        <f t="shared" si="8"/>
        <v>82.989999999999981</v>
      </c>
      <c r="M134" s="7">
        <f t="shared" si="9"/>
        <v>-11.779999999999987</v>
      </c>
      <c r="N134" s="4">
        <v>7.52</v>
      </c>
      <c r="O134" s="4">
        <v>91.42</v>
      </c>
      <c r="P134" s="4">
        <v>69</v>
      </c>
      <c r="Q134" s="4">
        <v>21.8</v>
      </c>
      <c r="R134" s="4">
        <v>10.62</v>
      </c>
      <c r="S134" s="4">
        <v>17.829999999999998</v>
      </c>
      <c r="T134" s="4">
        <v>4.04</v>
      </c>
      <c r="U134" s="4">
        <v>5.2</v>
      </c>
      <c r="V134" s="4">
        <v>3444.73</v>
      </c>
      <c r="W134" s="4">
        <v>1022.41</v>
      </c>
      <c r="X134" s="4">
        <v>1173.53</v>
      </c>
      <c r="Y134" s="4">
        <v>723.78</v>
      </c>
      <c r="Z134" s="4">
        <v>5.15</v>
      </c>
      <c r="AA134" s="4">
        <v>1.58</v>
      </c>
      <c r="AB134" s="4">
        <v>4.45</v>
      </c>
      <c r="AC134" s="4">
        <v>72.430000000000007</v>
      </c>
      <c r="AD134" s="4">
        <v>490</v>
      </c>
      <c r="AE134" s="4">
        <v>4700</v>
      </c>
      <c r="AF134" s="4">
        <v>76.349999999999994</v>
      </c>
      <c r="AG134" s="4">
        <v>0.47</v>
      </c>
      <c r="AH134" s="4">
        <v>18.170000000000002</v>
      </c>
      <c r="AI134" s="4">
        <v>24.55</v>
      </c>
      <c r="AJ134" s="4">
        <v>60</v>
      </c>
      <c r="AK134" s="4">
        <v>9</v>
      </c>
      <c r="AL134" s="4">
        <v>9</v>
      </c>
      <c r="AM134" s="4">
        <v>0.92</v>
      </c>
      <c r="AN134" s="4">
        <v>294</v>
      </c>
      <c r="AO134" s="4">
        <v>302.3</v>
      </c>
      <c r="AP134" s="4">
        <v>253523.27</v>
      </c>
      <c r="AQ134" s="4">
        <v>239678.44</v>
      </c>
      <c r="AR134" s="4" t="s">
        <v>603</v>
      </c>
      <c r="AS134" s="5">
        <f t="shared" si="0"/>
        <v>0.79023002283104948</v>
      </c>
    </row>
    <row r="135" spans="1:45" ht="14.25" customHeight="1" x14ac:dyDescent="0.55000000000000004">
      <c r="A135" s="4">
        <v>21.18</v>
      </c>
      <c r="B135" s="4">
        <v>32.53</v>
      </c>
      <c r="C135" s="4">
        <v>5504.63</v>
      </c>
      <c r="D135" s="4">
        <v>7.6</v>
      </c>
      <c r="E135" s="4" t="s">
        <v>604</v>
      </c>
      <c r="F135" s="4" t="s">
        <v>605</v>
      </c>
      <c r="G135" s="4" t="s">
        <v>119</v>
      </c>
      <c r="H135" s="4" t="s">
        <v>606</v>
      </c>
      <c r="I135" s="4">
        <v>0</v>
      </c>
      <c r="J135" s="4">
        <v>917.37</v>
      </c>
      <c r="K135" s="4">
        <f t="shared" si="7"/>
        <v>80.540000000000006</v>
      </c>
      <c r="L135" s="7">
        <f t="shared" si="8"/>
        <v>90.81</v>
      </c>
      <c r="M135" s="7">
        <f t="shared" si="9"/>
        <v>-10.269999999999996</v>
      </c>
      <c r="N135" s="4">
        <v>7.36</v>
      </c>
      <c r="O135" s="4">
        <v>88.47</v>
      </c>
      <c r="P135" s="4">
        <v>67</v>
      </c>
      <c r="Q135" s="4">
        <v>22.7</v>
      </c>
      <c r="R135" s="4">
        <v>11.35</v>
      </c>
      <c r="S135" s="4">
        <v>18.39</v>
      </c>
      <c r="T135" s="4">
        <v>2.79</v>
      </c>
      <c r="U135" s="4">
        <v>6</v>
      </c>
      <c r="V135" s="4">
        <v>3522.96</v>
      </c>
      <c r="W135" s="4">
        <v>1043.55</v>
      </c>
      <c r="X135" s="4">
        <v>1196.21</v>
      </c>
      <c r="Y135" s="4">
        <v>736.57</v>
      </c>
      <c r="Z135" s="4">
        <v>5.32</v>
      </c>
      <c r="AA135" s="4">
        <v>1.58</v>
      </c>
      <c r="AB135" s="4">
        <v>4.4400000000000004</v>
      </c>
      <c r="AC135" s="4">
        <v>80.290000000000006</v>
      </c>
      <c r="AD135" s="4">
        <v>490</v>
      </c>
      <c r="AE135" s="4">
        <v>4700</v>
      </c>
      <c r="AF135" s="4">
        <v>81.64</v>
      </c>
      <c r="AG135" s="4">
        <v>0.47</v>
      </c>
      <c r="AH135" s="4">
        <v>16.329999999999998</v>
      </c>
      <c r="AI135" s="4">
        <v>22.44</v>
      </c>
      <c r="AJ135" s="4">
        <v>60</v>
      </c>
      <c r="AK135" s="4">
        <v>9</v>
      </c>
      <c r="AL135" s="4">
        <v>9</v>
      </c>
      <c r="AM135" s="4">
        <v>1.01</v>
      </c>
      <c r="AN135" s="4">
        <v>294</v>
      </c>
      <c r="AO135" s="4">
        <v>303.08</v>
      </c>
      <c r="AP135" s="4">
        <v>404568.87</v>
      </c>
      <c r="AQ135" s="4">
        <v>282408.46000000002</v>
      </c>
      <c r="AR135" s="4" t="s">
        <v>607</v>
      </c>
      <c r="AS135" s="5">
        <f t="shared" si="0"/>
        <v>6.9726261415525101</v>
      </c>
    </row>
    <row r="136" spans="1:45" ht="14.25" customHeight="1" x14ac:dyDescent="0.55000000000000004">
      <c r="A136" s="4">
        <v>21.84</v>
      </c>
      <c r="B136" s="4">
        <v>32.68</v>
      </c>
      <c r="C136" s="4">
        <v>5487.67</v>
      </c>
      <c r="D136" s="4">
        <v>7.6</v>
      </c>
      <c r="E136" s="4" t="s">
        <v>608</v>
      </c>
      <c r="F136" s="4" t="s">
        <v>609</v>
      </c>
      <c r="G136" s="4" t="s">
        <v>610</v>
      </c>
      <c r="H136" s="4" t="s">
        <v>611</v>
      </c>
      <c r="I136" s="4">
        <v>0</v>
      </c>
      <c r="J136" s="4">
        <v>911.87</v>
      </c>
      <c r="K136" s="4">
        <f t="shared" si="7"/>
        <v>58.04</v>
      </c>
      <c r="L136" s="7">
        <f t="shared" si="8"/>
        <v>66.209999999999994</v>
      </c>
      <c r="M136" s="7">
        <f t="shared" si="9"/>
        <v>-8.1699999999999946</v>
      </c>
      <c r="N136" s="4">
        <v>7.45</v>
      </c>
      <c r="O136" s="4">
        <v>89.74</v>
      </c>
      <c r="P136" s="4">
        <v>70</v>
      </c>
      <c r="Q136" s="4">
        <v>21.7</v>
      </c>
      <c r="R136" s="4">
        <v>10.84</v>
      </c>
      <c r="S136" s="4">
        <v>17.86</v>
      </c>
      <c r="T136" s="4">
        <v>3.97</v>
      </c>
      <c r="U136" s="4">
        <v>6.02</v>
      </c>
      <c r="V136" s="4">
        <v>3512.11</v>
      </c>
      <c r="W136" s="4">
        <v>1047.79</v>
      </c>
      <c r="X136" s="4">
        <v>1247.28</v>
      </c>
      <c r="Y136" s="4">
        <v>751.73</v>
      </c>
      <c r="Z136" s="4">
        <v>5.7</v>
      </c>
      <c r="AA136" s="4">
        <v>1.61</v>
      </c>
      <c r="AB136" s="4">
        <v>4.37</v>
      </c>
      <c r="AC136" s="4">
        <v>73.180000000000007</v>
      </c>
      <c r="AD136" s="4">
        <v>490</v>
      </c>
      <c r="AE136" s="4">
        <v>4700</v>
      </c>
      <c r="AF136" s="4">
        <v>77.98</v>
      </c>
      <c r="AG136" s="4">
        <v>0.47</v>
      </c>
      <c r="AH136" s="4">
        <v>15.54</v>
      </c>
      <c r="AI136" s="4">
        <v>33.340000000000003</v>
      </c>
      <c r="AJ136" s="4">
        <v>60</v>
      </c>
      <c r="AK136" s="4">
        <v>9</v>
      </c>
      <c r="AL136" s="4">
        <v>9</v>
      </c>
      <c r="AM136" s="4">
        <v>0.68</v>
      </c>
      <c r="AN136" s="4">
        <v>294</v>
      </c>
      <c r="AO136" s="4">
        <v>300.11</v>
      </c>
      <c r="AP136" s="4">
        <v>242922.77</v>
      </c>
      <c r="AQ136" s="4">
        <v>203858.12</v>
      </c>
      <c r="AR136" s="4" t="s">
        <v>612</v>
      </c>
      <c r="AS136" s="5">
        <f t="shared" si="0"/>
        <v>2.2297174657534242</v>
      </c>
    </row>
    <row r="137" spans="1:45" ht="14.25" customHeight="1" x14ac:dyDescent="0.55000000000000004">
      <c r="A137" s="4">
        <v>21.67</v>
      </c>
      <c r="B137" s="4">
        <v>32.18</v>
      </c>
      <c r="C137" s="4">
        <v>5525.93</v>
      </c>
      <c r="D137" s="4">
        <v>7.6</v>
      </c>
      <c r="E137" s="4" t="s">
        <v>613</v>
      </c>
      <c r="F137" s="4" t="s">
        <v>614</v>
      </c>
      <c r="G137" s="4" t="s">
        <v>615</v>
      </c>
      <c r="H137" s="4" t="s">
        <v>616</v>
      </c>
      <c r="I137" s="4">
        <v>0</v>
      </c>
      <c r="J137" s="4">
        <v>479.63</v>
      </c>
      <c r="K137" s="4">
        <f t="shared" si="7"/>
        <v>30.02</v>
      </c>
      <c r="L137" s="7">
        <f t="shared" si="8"/>
        <v>32.28</v>
      </c>
      <c r="M137" s="7">
        <f t="shared" si="9"/>
        <v>-2.2600000000000016</v>
      </c>
      <c r="N137" s="4">
        <v>7.1</v>
      </c>
      <c r="O137" s="4">
        <v>90.62</v>
      </c>
      <c r="P137" s="4">
        <v>71</v>
      </c>
      <c r="Q137" s="4">
        <v>21.7</v>
      </c>
      <c r="R137" s="4">
        <v>10.51</v>
      </c>
      <c r="S137" s="4">
        <v>17.989999999999998</v>
      </c>
      <c r="T137" s="4">
        <v>3.67</v>
      </c>
      <c r="U137" s="4">
        <v>11.52</v>
      </c>
      <c r="V137" s="4">
        <v>3536.6</v>
      </c>
      <c r="W137" s="4">
        <v>1079.57</v>
      </c>
      <c r="X137" s="4">
        <v>1523.36</v>
      </c>
      <c r="Y137" s="4">
        <v>823.61</v>
      </c>
      <c r="Z137" s="4">
        <v>6.51</v>
      </c>
      <c r="AA137" s="4">
        <v>1.71</v>
      </c>
      <c r="AB137" s="4">
        <v>4.18</v>
      </c>
      <c r="AC137" s="4">
        <v>74.11</v>
      </c>
      <c r="AD137" s="4">
        <v>490</v>
      </c>
      <c r="AE137" s="4">
        <v>4700</v>
      </c>
      <c r="AF137" s="4">
        <v>75.599999999999994</v>
      </c>
      <c r="AG137" s="4">
        <v>0.47</v>
      </c>
      <c r="AH137" s="4">
        <v>7.19</v>
      </c>
      <c r="AI137" s="4">
        <v>73.64</v>
      </c>
      <c r="AJ137" s="4">
        <v>60</v>
      </c>
      <c r="AK137" s="4">
        <v>9</v>
      </c>
      <c r="AL137" s="4">
        <v>9</v>
      </c>
      <c r="AM137" s="4">
        <v>0.31</v>
      </c>
      <c r="AN137" s="4">
        <v>294</v>
      </c>
      <c r="AO137" s="4">
        <v>296.77</v>
      </c>
      <c r="AP137" s="4">
        <v>220301.08</v>
      </c>
      <c r="AQ137" s="4">
        <v>91798.94</v>
      </c>
      <c r="AR137" s="4" t="s">
        <v>617</v>
      </c>
      <c r="AS137" s="5">
        <f t="shared" si="0"/>
        <v>7.3345970319634697</v>
      </c>
    </row>
    <row r="138" spans="1:45" ht="14.25" customHeight="1" x14ac:dyDescent="0.55000000000000004">
      <c r="A138" s="4">
        <v>21.95</v>
      </c>
      <c r="B138" s="4">
        <v>32.57</v>
      </c>
      <c r="C138" s="4">
        <v>5450.82</v>
      </c>
      <c r="D138" s="4">
        <v>7.59</v>
      </c>
      <c r="E138" s="4" t="s">
        <v>618</v>
      </c>
      <c r="F138" s="4" t="s">
        <v>619</v>
      </c>
      <c r="G138" s="4" t="s">
        <v>620</v>
      </c>
      <c r="H138" s="4" t="s">
        <v>621</v>
      </c>
      <c r="I138" s="4">
        <v>0</v>
      </c>
      <c r="J138" s="4">
        <v>716.08</v>
      </c>
      <c r="K138" s="4">
        <f t="shared" si="7"/>
        <v>43.599999999999994</v>
      </c>
      <c r="L138" s="7">
        <f t="shared" si="8"/>
        <v>49.180000000000007</v>
      </c>
      <c r="M138" s="7">
        <f t="shared" si="9"/>
        <v>-5.5800000000000125</v>
      </c>
      <c r="N138" s="4">
        <v>7.33</v>
      </c>
      <c r="O138" s="4">
        <v>89.84</v>
      </c>
      <c r="P138" s="4">
        <v>69</v>
      </c>
      <c r="Q138" s="4">
        <v>22</v>
      </c>
      <c r="R138" s="4">
        <v>10.62</v>
      </c>
      <c r="S138" s="4">
        <v>18.010000000000002</v>
      </c>
      <c r="T138" s="4">
        <v>3.93</v>
      </c>
      <c r="U138" s="4">
        <v>7.61</v>
      </c>
      <c r="V138" s="4">
        <v>3488.52</v>
      </c>
      <c r="W138" s="4">
        <v>1052.26</v>
      </c>
      <c r="X138" s="4">
        <v>1349.34</v>
      </c>
      <c r="Y138" s="4">
        <v>776.37</v>
      </c>
      <c r="Z138" s="4">
        <v>5.76</v>
      </c>
      <c r="AA138" s="4">
        <v>1.64</v>
      </c>
      <c r="AB138" s="4">
        <v>4.3099999999999996</v>
      </c>
      <c r="AC138" s="4">
        <v>72.97</v>
      </c>
      <c r="AD138" s="4">
        <v>490</v>
      </c>
      <c r="AE138" s="4">
        <v>4700</v>
      </c>
      <c r="AF138" s="4">
        <v>76.39</v>
      </c>
      <c r="AG138" s="4">
        <v>0.47</v>
      </c>
      <c r="AH138" s="4">
        <v>11.55</v>
      </c>
      <c r="AI138" s="4">
        <v>44.89</v>
      </c>
      <c r="AJ138" s="4">
        <v>60</v>
      </c>
      <c r="AK138" s="4">
        <v>9</v>
      </c>
      <c r="AL138" s="4">
        <v>9</v>
      </c>
      <c r="AM138" s="4">
        <v>0.5</v>
      </c>
      <c r="AN138" s="4">
        <v>294</v>
      </c>
      <c r="AO138" s="4">
        <v>298.54000000000002</v>
      </c>
      <c r="AP138" s="4">
        <v>229031.37</v>
      </c>
      <c r="AQ138" s="4">
        <v>121859.75</v>
      </c>
      <c r="AR138" s="4" t="s">
        <v>622</v>
      </c>
      <c r="AS138" s="5">
        <f t="shared" si="0"/>
        <v>6.117101598173516</v>
      </c>
    </row>
    <row r="139" spans="1:45" ht="14.25" customHeight="1" x14ac:dyDescent="0.55000000000000004">
      <c r="A139" s="4">
        <v>22.12</v>
      </c>
      <c r="B139" s="4">
        <v>32.979999999999997</v>
      </c>
      <c r="C139" s="4">
        <v>5436.66</v>
      </c>
      <c r="D139" s="4">
        <v>7.62</v>
      </c>
      <c r="E139" s="4" t="s">
        <v>623</v>
      </c>
      <c r="F139" s="4" t="s">
        <v>624</v>
      </c>
      <c r="G139" s="4" t="s">
        <v>625</v>
      </c>
      <c r="H139" s="4" t="s">
        <v>626</v>
      </c>
      <c r="I139" s="4">
        <v>0</v>
      </c>
      <c r="J139" s="4">
        <v>1155.8699999999999</v>
      </c>
      <c r="K139" s="4">
        <f t="shared" si="7"/>
        <v>96.58</v>
      </c>
      <c r="L139" s="7">
        <f t="shared" si="8"/>
        <v>106.14</v>
      </c>
      <c r="M139" s="7">
        <f t="shared" si="9"/>
        <v>-9.5600000000000023</v>
      </c>
      <c r="N139" s="4">
        <v>7.59</v>
      </c>
      <c r="O139" s="4">
        <v>89.75</v>
      </c>
      <c r="P139" s="4">
        <v>75</v>
      </c>
      <c r="Q139" s="4">
        <v>21.7</v>
      </c>
      <c r="R139" s="4">
        <v>10.86</v>
      </c>
      <c r="S139" s="4">
        <v>18.52</v>
      </c>
      <c r="T139" s="4">
        <v>3.61</v>
      </c>
      <c r="U139" s="4">
        <v>4.7</v>
      </c>
      <c r="V139" s="4">
        <v>3479.46</v>
      </c>
      <c r="W139" s="4">
        <v>1029.24</v>
      </c>
      <c r="X139" s="4">
        <v>1151.01</v>
      </c>
      <c r="Y139" s="4">
        <v>721.99</v>
      </c>
      <c r="Z139" s="4">
        <v>5.46</v>
      </c>
      <c r="AA139" s="4">
        <v>1.59</v>
      </c>
      <c r="AB139" s="4">
        <v>4.43</v>
      </c>
      <c r="AC139" s="4">
        <v>75.069999999999993</v>
      </c>
      <c r="AD139" s="4">
        <v>490</v>
      </c>
      <c r="AE139" s="4">
        <v>4700</v>
      </c>
      <c r="AF139" s="4">
        <v>78.11</v>
      </c>
      <c r="AG139" s="4">
        <v>0.47</v>
      </c>
      <c r="AH139" s="4">
        <v>21.09</v>
      </c>
      <c r="AI139" s="4">
        <v>19.2</v>
      </c>
      <c r="AJ139" s="4">
        <v>60</v>
      </c>
      <c r="AK139" s="4">
        <v>9</v>
      </c>
      <c r="AL139" s="4">
        <v>9</v>
      </c>
      <c r="AM139" s="4">
        <v>1.18</v>
      </c>
      <c r="AN139" s="4">
        <v>294</v>
      </c>
      <c r="AO139" s="4">
        <v>304.61</v>
      </c>
      <c r="AP139" s="4">
        <v>337881.73</v>
      </c>
      <c r="AQ139" s="4">
        <v>331304.21000000002</v>
      </c>
      <c r="AR139" s="4" t="s">
        <v>627</v>
      </c>
      <c r="AS139" s="5">
        <f t="shared" si="0"/>
        <v>0.37542922374429</v>
      </c>
    </row>
    <row r="140" spans="1:45" ht="14.25" customHeight="1" x14ac:dyDescent="0.55000000000000004">
      <c r="A140" s="4">
        <v>21.5</v>
      </c>
      <c r="B140" s="4">
        <v>31.86</v>
      </c>
      <c r="C140" s="4">
        <v>5584.06</v>
      </c>
      <c r="D140" s="4">
        <v>7.59</v>
      </c>
      <c r="E140" s="4" t="s">
        <v>628</v>
      </c>
      <c r="F140" s="4" t="s">
        <v>629</v>
      </c>
      <c r="G140" s="4" t="s">
        <v>630</v>
      </c>
      <c r="H140" s="4" t="s">
        <v>481</v>
      </c>
      <c r="I140" s="4">
        <v>0</v>
      </c>
      <c r="J140" s="4">
        <v>1172</v>
      </c>
      <c r="K140" s="4">
        <f t="shared" si="7"/>
        <v>94.449999999999989</v>
      </c>
      <c r="L140" s="7">
        <f t="shared" si="8"/>
        <v>94.449999999999989</v>
      </c>
      <c r="M140" s="7">
        <f t="shared" si="9"/>
        <v>0</v>
      </c>
      <c r="N140" s="4">
        <v>7.53</v>
      </c>
      <c r="O140" s="4">
        <v>88.78</v>
      </c>
      <c r="P140" s="4">
        <v>71</v>
      </c>
      <c r="Q140" s="4">
        <v>21.6</v>
      </c>
      <c r="R140" s="4">
        <v>10.36</v>
      </c>
      <c r="S140" s="4">
        <v>17.899999999999999</v>
      </c>
      <c r="T140" s="4">
        <v>3.6</v>
      </c>
      <c r="U140" s="4">
        <v>4.76</v>
      </c>
      <c r="V140" s="4">
        <v>3573.8</v>
      </c>
      <c r="W140" s="4">
        <v>1052.3399999999999</v>
      </c>
      <c r="X140" s="4">
        <v>1146.22</v>
      </c>
      <c r="Y140" s="4">
        <v>730.26</v>
      </c>
      <c r="Z140" s="4">
        <v>11.03</v>
      </c>
      <c r="AA140" s="4">
        <v>1.57</v>
      </c>
      <c r="AB140" s="4">
        <v>4.46</v>
      </c>
      <c r="AC140" s="4">
        <v>74.239999999999995</v>
      </c>
      <c r="AD140" s="4">
        <v>490</v>
      </c>
      <c r="AE140" s="4">
        <v>4700</v>
      </c>
      <c r="AF140" s="4">
        <v>74.52</v>
      </c>
      <c r="AG140" s="4">
        <v>0.47</v>
      </c>
      <c r="AH140" s="4">
        <v>19.79</v>
      </c>
      <c r="AI140" s="4">
        <v>39.659999999999997</v>
      </c>
      <c r="AJ140" s="4">
        <v>60</v>
      </c>
      <c r="AK140" s="4">
        <v>9</v>
      </c>
      <c r="AL140" s="4">
        <v>9</v>
      </c>
      <c r="AM140" s="4">
        <v>0.56999999999999995</v>
      </c>
      <c r="AN140" s="4">
        <v>294</v>
      </c>
      <c r="AO140" s="4">
        <v>299.14</v>
      </c>
      <c r="AP140" s="4">
        <v>372109.11</v>
      </c>
      <c r="AQ140" s="4">
        <v>372109.11</v>
      </c>
      <c r="AR140" s="4" t="s">
        <v>631</v>
      </c>
      <c r="AS140" s="5">
        <f t="shared" si="0"/>
        <v>0</v>
      </c>
    </row>
    <row r="141" spans="1:45" ht="14.25" customHeight="1" x14ac:dyDescent="0.55000000000000004">
      <c r="A141" s="4">
        <v>21.19</v>
      </c>
      <c r="B141" s="4">
        <v>32.479999999999997</v>
      </c>
      <c r="C141" s="4">
        <v>5529.53</v>
      </c>
      <c r="D141" s="4">
        <v>7.59</v>
      </c>
      <c r="E141" s="4" t="s">
        <v>632</v>
      </c>
      <c r="F141" s="4" t="s">
        <v>633</v>
      </c>
      <c r="G141" s="4" t="s">
        <v>634</v>
      </c>
      <c r="H141" s="4" t="s">
        <v>635</v>
      </c>
      <c r="I141" s="4">
        <v>0</v>
      </c>
      <c r="J141" s="4">
        <v>341.63</v>
      </c>
      <c r="K141" s="4">
        <f t="shared" si="7"/>
        <v>41.839999999999996</v>
      </c>
      <c r="L141" s="7">
        <f t="shared" si="8"/>
        <v>46.339999999999996</v>
      </c>
      <c r="M141" s="7">
        <f t="shared" si="9"/>
        <v>-4.5</v>
      </c>
      <c r="N141" s="4">
        <v>6.95</v>
      </c>
      <c r="O141" s="4">
        <v>88.23</v>
      </c>
      <c r="P141" s="4">
        <v>69</v>
      </c>
      <c r="Q141" s="4">
        <v>22.4</v>
      </c>
      <c r="R141" s="4">
        <v>11.29</v>
      </c>
      <c r="S141" s="4">
        <v>18.38</v>
      </c>
      <c r="T141" s="4">
        <v>2.81</v>
      </c>
      <c r="U141" s="4">
        <v>16.190000000000001</v>
      </c>
      <c r="V141" s="4">
        <v>3538.9</v>
      </c>
      <c r="W141" s="4">
        <v>1092.31</v>
      </c>
      <c r="X141" s="4">
        <v>1688.14</v>
      </c>
      <c r="Y141" s="4">
        <v>860.39</v>
      </c>
      <c r="Z141" s="4">
        <v>5.87</v>
      </c>
      <c r="AA141" s="4">
        <v>1.74</v>
      </c>
      <c r="AB141" s="4">
        <v>4.1100000000000003</v>
      </c>
      <c r="AC141" s="4">
        <v>80.099999999999994</v>
      </c>
      <c r="AD141" s="4">
        <v>490</v>
      </c>
      <c r="AE141" s="4">
        <v>4700</v>
      </c>
      <c r="AF141" s="4">
        <v>81.19</v>
      </c>
      <c r="AG141" s="4">
        <v>0.47</v>
      </c>
      <c r="AH141" s="4">
        <v>5.35</v>
      </c>
      <c r="AI141" s="4">
        <v>47.64</v>
      </c>
      <c r="AJ141" s="4">
        <v>60</v>
      </c>
      <c r="AK141" s="4">
        <v>9</v>
      </c>
      <c r="AL141" s="4">
        <v>9</v>
      </c>
      <c r="AM141" s="4">
        <v>0.48</v>
      </c>
      <c r="AN141" s="4">
        <v>294</v>
      </c>
      <c r="AO141" s="4">
        <v>298.27999999999997</v>
      </c>
      <c r="AP141" s="4">
        <v>347975.21</v>
      </c>
      <c r="AQ141" s="4">
        <v>115631.39</v>
      </c>
      <c r="AR141" s="4" t="s">
        <v>636</v>
      </c>
      <c r="AS141" s="5">
        <f t="shared" si="0"/>
        <v>13.261633561643835</v>
      </c>
    </row>
    <row r="142" spans="1:45" ht="14.25" customHeight="1" x14ac:dyDescent="0.55000000000000004">
      <c r="A142" s="4">
        <v>21.47</v>
      </c>
      <c r="B142" s="4">
        <v>31.67</v>
      </c>
      <c r="C142" s="4">
        <v>5545.71</v>
      </c>
      <c r="D142" s="4">
        <v>7.62</v>
      </c>
      <c r="E142" s="4" t="s">
        <v>637</v>
      </c>
      <c r="F142" s="4" t="s">
        <v>638</v>
      </c>
      <c r="G142" s="4" t="s">
        <v>639</v>
      </c>
      <c r="H142" s="4" t="s">
        <v>640</v>
      </c>
      <c r="I142" s="4">
        <v>0</v>
      </c>
      <c r="J142" s="4">
        <v>1145.49</v>
      </c>
      <c r="K142" s="4">
        <f t="shared" si="7"/>
        <v>96.6</v>
      </c>
      <c r="L142" s="7">
        <f t="shared" si="8"/>
        <v>96.6</v>
      </c>
      <c r="M142" s="7">
        <f t="shared" si="9"/>
        <v>0</v>
      </c>
      <c r="N142" s="4">
        <v>7.5</v>
      </c>
      <c r="O142" s="4">
        <v>89.73</v>
      </c>
      <c r="P142" s="4">
        <v>68</v>
      </c>
      <c r="Q142" s="4">
        <v>22</v>
      </c>
      <c r="R142" s="4">
        <v>10.199999999999999</v>
      </c>
      <c r="S142" s="4">
        <v>17.88</v>
      </c>
      <c r="T142" s="4">
        <v>3.59</v>
      </c>
      <c r="U142" s="4">
        <v>4.84</v>
      </c>
      <c r="V142" s="4">
        <v>3549.25</v>
      </c>
      <c r="W142" s="4">
        <v>1044.9000000000001</v>
      </c>
      <c r="X142" s="4">
        <v>1138.58</v>
      </c>
      <c r="Y142" s="4">
        <v>724.94</v>
      </c>
      <c r="Z142" s="4">
        <v>9.66</v>
      </c>
      <c r="AA142" s="4">
        <v>1.58</v>
      </c>
      <c r="AB142" s="4">
        <v>4.45</v>
      </c>
      <c r="AC142" s="4">
        <v>73.98</v>
      </c>
      <c r="AD142" s="4">
        <v>490</v>
      </c>
      <c r="AE142" s="4">
        <v>4700</v>
      </c>
      <c r="AF142" s="4">
        <v>73.37</v>
      </c>
      <c r="AG142" s="4">
        <v>0.47</v>
      </c>
      <c r="AH142" s="4">
        <v>19.100000000000001</v>
      </c>
      <c r="AI142" s="4">
        <v>33.94</v>
      </c>
      <c r="AJ142" s="4">
        <v>60</v>
      </c>
      <c r="AK142" s="4">
        <v>9</v>
      </c>
      <c r="AL142" s="4">
        <v>9</v>
      </c>
      <c r="AM142" s="4">
        <v>0.67</v>
      </c>
      <c r="AN142" s="4">
        <v>294</v>
      </c>
      <c r="AO142" s="4">
        <v>300</v>
      </c>
      <c r="AP142" s="4">
        <v>414530.93</v>
      </c>
      <c r="AQ142" s="4">
        <v>414530.93</v>
      </c>
      <c r="AR142" s="4" t="s">
        <v>641</v>
      </c>
      <c r="AS142" s="5">
        <f t="shared" si="0"/>
        <v>0</v>
      </c>
    </row>
    <row r="143" spans="1:45" ht="14.25" customHeight="1" x14ac:dyDescent="0.55000000000000004">
      <c r="A143" s="4">
        <v>22.04</v>
      </c>
      <c r="B143" s="4">
        <v>32.729999999999997</v>
      </c>
      <c r="C143" s="4">
        <v>5388.95</v>
      </c>
      <c r="D143" s="4">
        <v>7.62</v>
      </c>
      <c r="E143" s="4" t="s">
        <v>642</v>
      </c>
      <c r="F143" s="4" t="s">
        <v>643</v>
      </c>
      <c r="G143" s="4" t="s">
        <v>644</v>
      </c>
      <c r="H143" s="4" t="s">
        <v>645</v>
      </c>
      <c r="I143" s="4">
        <v>0</v>
      </c>
      <c r="J143" s="4">
        <v>1141.17</v>
      </c>
      <c r="K143" s="4">
        <f t="shared" si="7"/>
        <v>91.53</v>
      </c>
      <c r="L143" s="7">
        <f t="shared" si="8"/>
        <v>91.53</v>
      </c>
      <c r="M143" s="7">
        <f t="shared" si="9"/>
        <v>0</v>
      </c>
      <c r="N143" s="4">
        <v>7.58</v>
      </c>
      <c r="O143" s="4">
        <v>90.29</v>
      </c>
      <c r="P143" s="4">
        <v>67</v>
      </c>
      <c r="Q143" s="4">
        <v>22.3</v>
      </c>
      <c r="R143" s="4">
        <v>10.69</v>
      </c>
      <c r="S143" s="4">
        <v>18.02</v>
      </c>
      <c r="T143" s="4">
        <v>4.0199999999999996</v>
      </c>
      <c r="U143" s="4">
        <v>4.72</v>
      </c>
      <c r="V143" s="4">
        <v>3448.93</v>
      </c>
      <c r="W143" s="4">
        <v>1020.34</v>
      </c>
      <c r="X143" s="4">
        <v>1142.8900000000001</v>
      </c>
      <c r="Y143" s="4">
        <v>716.08</v>
      </c>
      <c r="Z143" s="4">
        <v>19.32</v>
      </c>
      <c r="AA143" s="4">
        <v>1.59</v>
      </c>
      <c r="AB143" s="4">
        <v>4.45</v>
      </c>
      <c r="AC143" s="4">
        <v>72.66</v>
      </c>
      <c r="AD143" s="4">
        <v>490</v>
      </c>
      <c r="AE143" s="4">
        <v>4700</v>
      </c>
      <c r="AF143" s="4">
        <v>76.849999999999994</v>
      </c>
      <c r="AG143" s="4">
        <v>0.47</v>
      </c>
      <c r="AH143" s="4">
        <v>20.64</v>
      </c>
      <c r="AI143" s="4">
        <v>71.67</v>
      </c>
      <c r="AJ143" s="4">
        <v>60</v>
      </c>
      <c r="AK143" s="4">
        <v>9</v>
      </c>
      <c r="AL143" s="4">
        <v>9</v>
      </c>
      <c r="AM143" s="4">
        <v>0.32</v>
      </c>
      <c r="AN143" s="4">
        <v>294</v>
      </c>
      <c r="AO143" s="4">
        <v>296.83999999999997</v>
      </c>
      <c r="AP143" s="4">
        <v>299400.68</v>
      </c>
      <c r="AQ143" s="4">
        <v>299400.68</v>
      </c>
      <c r="AR143" s="4" t="s">
        <v>646</v>
      </c>
      <c r="AS143" s="5">
        <f t="shared" si="0"/>
        <v>0</v>
      </c>
    </row>
    <row r="144" spans="1:45" ht="14.25" customHeight="1" x14ac:dyDescent="0.55000000000000004">
      <c r="A144" s="4">
        <v>21.43</v>
      </c>
      <c r="B144" s="4">
        <v>32.76</v>
      </c>
      <c r="C144" s="4">
        <v>5537.98</v>
      </c>
      <c r="D144" s="4">
        <v>7.6</v>
      </c>
      <c r="E144" s="4" t="s">
        <v>647</v>
      </c>
      <c r="F144" s="4" t="s">
        <v>648</v>
      </c>
      <c r="G144" s="4" t="s">
        <v>649</v>
      </c>
      <c r="H144" s="4" t="s">
        <v>650</v>
      </c>
      <c r="I144" s="4">
        <v>0</v>
      </c>
      <c r="J144" s="4">
        <v>710.04</v>
      </c>
      <c r="K144" s="4">
        <f t="shared" si="7"/>
        <v>60.339999999999996</v>
      </c>
      <c r="L144" s="7">
        <f t="shared" si="8"/>
        <v>67.489999999999995</v>
      </c>
      <c r="M144" s="7">
        <f t="shared" si="9"/>
        <v>-7.1499999999999986</v>
      </c>
      <c r="N144" s="4">
        <v>7.21</v>
      </c>
      <c r="O144" s="4">
        <v>88.06</v>
      </c>
      <c r="P144" s="4">
        <v>70</v>
      </c>
      <c r="Q144" s="4">
        <v>22.5</v>
      </c>
      <c r="R144" s="4">
        <v>11.34</v>
      </c>
      <c r="S144" s="4">
        <v>18.61</v>
      </c>
      <c r="T144" s="4">
        <v>2.82</v>
      </c>
      <c r="U144" s="4">
        <v>7.8</v>
      </c>
      <c r="V144" s="4">
        <v>3544.31</v>
      </c>
      <c r="W144" s="4">
        <v>1057.2</v>
      </c>
      <c r="X144" s="4">
        <v>1285.57</v>
      </c>
      <c r="Y144" s="4">
        <v>761.2</v>
      </c>
      <c r="Z144" s="4">
        <v>5.36</v>
      </c>
      <c r="AA144" s="4">
        <v>1.62</v>
      </c>
      <c r="AB144" s="4">
        <v>4.3600000000000003</v>
      </c>
      <c r="AC144" s="4">
        <v>80.09</v>
      </c>
      <c r="AD144" s="4">
        <v>490</v>
      </c>
      <c r="AE144" s="4">
        <v>4700</v>
      </c>
      <c r="AF144" s="4">
        <v>81.52</v>
      </c>
      <c r="AG144" s="4">
        <v>0.47</v>
      </c>
      <c r="AH144" s="4">
        <v>11.99</v>
      </c>
      <c r="AI144" s="4">
        <v>30.19</v>
      </c>
      <c r="AJ144" s="4">
        <v>60</v>
      </c>
      <c r="AK144" s="4">
        <v>9</v>
      </c>
      <c r="AL144" s="4">
        <v>9</v>
      </c>
      <c r="AM144" s="4">
        <v>0.75</v>
      </c>
      <c r="AN144" s="4">
        <v>294</v>
      </c>
      <c r="AO144" s="4">
        <v>300.75</v>
      </c>
      <c r="AP144" s="4">
        <v>379955.79</v>
      </c>
      <c r="AQ144" s="4">
        <v>181592.81</v>
      </c>
      <c r="AR144" s="4" t="s">
        <v>651</v>
      </c>
      <c r="AS144" s="5">
        <f t="shared" si="0"/>
        <v>11.322087899543378</v>
      </c>
    </row>
    <row r="145" spans="1:45" ht="14.25" customHeight="1" x14ac:dyDescent="0.55000000000000004">
      <c r="A145" s="4">
        <v>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f t="shared" si="7"/>
        <v>0</v>
      </c>
      <c r="L145" s="7">
        <f t="shared" si="8"/>
        <v>0</v>
      </c>
      <c r="M145" s="7">
        <f t="shared" si="9"/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5">
        <f t="shared" si="0"/>
        <v>0</v>
      </c>
    </row>
    <row r="146" spans="1:45" ht="14.25" customHeight="1" x14ac:dyDescent="0.55000000000000004">
      <c r="A146" s="4">
        <v>21.58</v>
      </c>
      <c r="B146" s="4">
        <v>31.73</v>
      </c>
      <c r="C146" s="4">
        <v>5601.2</v>
      </c>
      <c r="D146" s="4">
        <v>7.6</v>
      </c>
      <c r="E146" s="4" t="s">
        <v>652</v>
      </c>
      <c r="F146" s="4" t="s">
        <v>653</v>
      </c>
      <c r="G146" s="4" t="s">
        <v>654</v>
      </c>
      <c r="H146" s="4" t="s">
        <v>655</v>
      </c>
      <c r="I146" s="4">
        <v>0</v>
      </c>
      <c r="J146" s="4">
        <v>710.06</v>
      </c>
      <c r="K146" s="4">
        <f t="shared" si="7"/>
        <v>35.46</v>
      </c>
      <c r="L146" s="7">
        <f t="shared" si="8"/>
        <v>36.83</v>
      </c>
      <c r="M146" s="7">
        <f t="shared" si="9"/>
        <v>-1.3699999999999974</v>
      </c>
      <c r="N146" s="4">
        <v>7.2</v>
      </c>
      <c r="O146" s="4">
        <v>88.76</v>
      </c>
      <c r="P146" s="4">
        <v>71</v>
      </c>
      <c r="Q146" s="4">
        <v>21.8</v>
      </c>
      <c r="R146" s="4">
        <v>10.15</v>
      </c>
      <c r="S146" s="4">
        <v>18.09</v>
      </c>
      <c r="T146" s="4">
        <v>3.49</v>
      </c>
      <c r="U146" s="4">
        <v>7.89</v>
      </c>
      <c r="V146" s="4">
        <v>3584.77</v>
      </c>
      <c r="W146" s="4">
        <v>1067.73</v>
      </c>
      <c r="X146" s="4">
        <v>1289.04</v>
      </c>
      <c r="Y146" s="4">
        <v>766.3</v>
      </c>
      <c r="Z146" s="4">
        <v>5.78</v>
      </c>
      <c r="AA146" s="4">
        <v>1.63</v>
      </c>
      <c r="AB146" s="4">
        <v>4.34</v>
      </c>
      <c r="AC146" s="4">
        <v>74.41</v>
      </c>
      <c r="AD146" s="4">
        <v>490</v>
      </c>
      <c r="AE146" s="4">
        <v>4700</v>
      </c>
      <c r="AF146" s="4">
        <v>73.010000000000005</v>
      </c>
      <c r="AG146" s="4">
        <v>0.47</v>
      </c>
      <c r="AH146" s="4">
        <v>10.6</v>
      </c>
      <c r="AI146" s="4">
        <v>55.32</v>
      </c>
      <c r="AJ146" s="4">
        <v>60</v>
      </c>
      <c r="AK146" s="4">
        <v>9</v>
      </c>
      <c r="AL146" s="4">
        <v>9</v>
      </c>
      <c r="AM146" s="4">
        <v>0.41</v>
      </c>
      <c r="AN146" s="4">
        <v>294</v>
      </c>
      <c r="AO146" s="4">
        <v>297.68</v>
      </c>
      <c r="AP146" s="4">
        <v>250586.21</v>
      </c>
      <c r="AQ146" s="4">
        <v>98544.43</v>
      </c>
      <c r="AR146" s="4" t="s">
        <v>656</v>
      </c>
      <c r="AS146" s="5">
        <f t="shared" si="0"/>
        <v>8.6781837899543373</v>
      </c>
    </row>
    <row r="147" spans="1:45" ht="14.25" customHeight="1" x14ac:dyDescent="0.55000000000000004">
      <c r="A147" s="4">
        <v>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f t="shared" si="7"/>
        <v>0</v>
      </c>
      <c r="L147" s="7">
        <f t="shared" si="8"/>
        <v>0</v>
      </c>
      <c r="M147" s="7">
        <f t="shared" si="9"/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5">
        <f t="shared" si="0"/>
        <v>0</v>
      </c>
    </row>
    <row r="148" spans="1:45" ht="14.25" customHeight="1" x14ac:dyDescent="0.55000000000000004">
      <c r="A148" s="4">
        <v>21.41</v>
      </c>
      <c r="B148" s="4">
        <v>32.369999999999997</v>
      </c>
      <c r="C148" s="4">
        <v>5463.11</v>
      </c>
      <c r="D148" s="4">
        <v>7.62</v>
      </c>
      <c r="E148" s="4" t="s">
        <v>657</v>
      </c>
      <c r="F148" s="4" t="s">
        <v>658</v>
      </c>
      <c r="G148" s="4" t="s">
        <v>659</v>
      </c>
      <c r="H148" s="4" t="s">
        <v>660</v>
      </c>
      <c r="I148" s="4">
        <v>0</v>
      </c>
      <c r="J148" s="4">
        <v>927.11</v>
      </c>
      <c r="K148" s="4">
        <f t="shared" si="7"/>
        <v>81.489999999999995</v>
      </c>
      <c r="L148" s="7">
        <f t="shared" si="8"/>
        <v>92.61</v>
      </c>
      <c r="M148" s="7">
        <f t="shared" si="9"/>
        <v>-11.120000000000005</v>
      </c>
      <c r="N148" s="4">
        <v>7.36</v>
      </c>
      <c r="O148" s="4">
        <v>89.36</v>
      </c>
      <c r="P148" s="4">
        <v>70</v>
      </c>
      <c r="Q148" s="4">
        <v>22.5</v>
      </c>
      <c r="R148" s="4">
        <v>10.96</v>
      </c>
      <c r="S148" s="4">
        <v>18.61</v>
      </c>
      <c r="T148" s="4">
        <v>2.8</v>
      </c>
      <c r="U148" s="4">
        <v>5.89</v>
      </c>
      <c r="V148" s="4">
        <v>3496.39</v>
      </c>
      <c r="W148" s="4">
        <v>1035.18</v>
      </c>
      <c r="X148" s="4">
        <v>1182.49</v>
      </c>
      <c r="Y148" s="4">
        <v>729.73</v>
      </c>
      <c r="Z148" s="4">
        <v>5.28</v>
      </c>
      <c r="AA148" s="4">
        <v>1.6</v>
      </c>
      <c r="AB148" s="4">
        <v>4.42</v>
      </c>
      <c r="AC148" s="4">
        <v>79.66</v>
      </c>
      <c r="AD148" s="4">
        <v>490</v>
      </c>
      <c r="AE148" s="4">
        <v>4700</v>
      </c>
      <c r="AF148" s="4">
        <v>78.849999999999994</v>
      </c>
      <c r="AG148" s="4">
        <v>0.47</v>
      </c>
      <c r="AH148" s="4">
        <v>16.12</v>
      </c>
      <c r="AI148" s="4">
        <v>22</v>
      </c>
      <c r="AJ148" s="4">
        <v>60</v>
      </c>
      <c r="AK148" s="4">
        <v>9</v>
      </c>
      <c r="AL148" s="4">
        <v>9</v>
      </c>
      <c r="AM148" s="4">
        <v>1.03</v>
      </c>
      <c r="AN148" s="4">
        <v>294</v>
      </c>
      <c r="AO148" s="4">
        <v>303.26</v>
      </c>
      <c r="AP148" s="4">
        <v>400189.17</v>
      </c>
      <c r="AQ148" s="4">
        <v>292801.2</v>
      </c>
      <c r="AR148" s="4" t="s">
        <v>661</v>
      </c>
      <c r="AS148" s="5">
        <f t="shared" si="0"/>
        <v>6.129450342465752</v>
      </c>
    </row>
    <row r="149" spans="1:45" ht="14.25" customHeight="1" x14ac:dyDescent="0.55000000000000004">
      <c r="A149" s="4">
        <v>21.91</v>
      </c>
      <c r="B149" s="4">
        <v>33.65</v>
      </c>
      <c r="C149" s="4">
        <v>5579.16</v>
      </c>
      <c r="D149" s="4">
        <v>7.59</v>
      </c>
      <c r="E149" s="4" t="s">
        <v>662</v>
      </c>
      <c r="F149" s="4" t="s">
        <v>663</v>
      </c>
      <c r="G149" s="4" t="s">
        <v>610</v>
      </c>
      <c r="H149" s="4" t="s">
        <v>664</v>
      </c>
      <c r="I149" s="4">
        <v>0</v>
      </c>
      <c r="J149" s="4">
        <v>1006.11</v>
      </c>
      <c r="K149" s="4">
        <f t="shared" si="7"/>
        <v>67.86</v>
      </c>
      <c r="L149" s="7">
        <f t="shared" si="8"/>
        <v>72.8</v>
      </c>
      <c r="M149" s="7">
        <f t="shared" si="9"/>
        <v>-4.9399999999999977</v>
      </c>
      <c r="N149" s="4">
        <v>7.5</v>
      </c>
      <c r="O149" s="4">
        <v>87.65</v>
      </c>
      <c r="P149" s="4">
        <v>80</v>
      </c>
      <c r="Q149" s="4">
        <v>21.1</v>
      </c>
      <c r="R149" s="4">
        <v>11.73</v>
      </c>
      <c r="S149" s="4">
        <v>18.59</v>
      </c>
      <c r="T149" s="4">
        <v>3.33</v>
      </c>
      <c r="U149" s="4">
        <v>5.55</v>
      </c>
      <c r="V149" s="4">
        <v>3570.66</v>
      </c>
      <c r="W149" s="4">
        <v>1061.17</v>
      </c>
      <c r="X149" s="4">
        <v>1228.98</v>
      </c>
      <c r="Y149" s="4">
        <v>753.73</v>
      </c>
      <c r="Z149" s="4">
        <v>5.59</v>
      </c>
      <c r="AA149" s="4">
        <v>1.61</v>
      </c>
      <c r="AB149" s="4">
        <v>4.38</v>
      </c>
      <c r="AC149" s="4">
        <v>77.900000000000006</v>
      </c>
      <c r="AD149" s="4">
        <v>490</v>
      </c>
      <c r="AE149" s="4">
        <v>4700</v>
      </c>
      <c r="AF149" s="4">
        <v>84.38</v>
      </c>
      <c r="AG149" s="4">
        <v>0.47</v>
      </c>
      <c r="AH149" s="4">
        <v>18.559999999999999</v>
      </c>
      <c r="AI149" s="4">
        <v>27.99</v>
      </c>
      <c r="AJ149" s="4">
        <v>60</v>
      </c>
      <c r="AK149" s="4">
        <v>9</v>
      </c>
      <c r="AL149" s="4">
        <v>9</v>
      </c>
      <c r="AM149" s="4">
        <v>0.81</v>
      </c>
      <c r="AN149" s="4">
        <v>294</v>
      </c>
      <c r="AO149" s="4">
        <v>301.27999999999997</v>
      </c>
      <c r="AP149" s="4">
        <v>302479.90000000002</v>
      </c>
      <c r="AQ149" s="4">
        <v>191940.54</v>
      </c>
      <c r="AR149" s="4" t="s">
        <v>665</v>
      </c>
      <c r="AS149" s="5">
        <f t="shared" si="0"/>
        <v>6.3093242009132426</v>
      </c>
    </row>
    <row r="150" spans="1:45" ht="14.25" customHeight="1" x14ac:dyDescent="0.55000000000000004">
      <c r="A150" s="4">
        <v>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f t="shared" si="7"/>
        <v>0</v>
      </c>
      <c r="L150" s="7">
        <f t="shared" si="8"/>
        <v>0</v>
      </c>
      <c r="M150" s="7">
        <f t="shared" si="9"/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5">
        <f t="shared" si="0"/>
        <v>0</v>
      </c>
    </row>
    <row r="151" spans="1:45" ht="14.25" customHeight="1" x14ac:dyDescent="0.55000000000000004">
      <c r="A151" s="4">
        <v>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f t="shared" si="7"/>
        <v>0</v>
      </c>
      <c r="L151" s="7">
        <f t="shared" si="8"/>
        <v>0</v>
      </c>
      <c r="M151" s="7">
        <f t="shared" si="9"/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5">
        <f t="shared" si="0"/>
        <v>0</v>
      </c>
    </row>
    <row r="152" spans="1:45" ht="14.25" customHeight="1" x14ac:dyDescent="0.55000000000000004">
      <c r="A152" s="4">
        <v>21.95</v>
      </c>
      <c r="B152" s="4">
        <v>32.78</v>
      </c>
      <c r="C152" s="4">
        <v>5485.93</v>
      </c>
      <c r="D152" s="4">
        <v>7.6</v>
      </c>
      <c r="E152" s="4" t="s">
        <v>666</v>
      </c>
      <c r="F152" s="4" t="s">
        <v>667</v>
      </c>
      <c r="G152" s="4" t="s">
        <v>668</v>
      </c>
      <c r="H152" s="4" t="s">
        <v>669</v>
      </c>
      <c r="I152" s="4">
        <v>0</v>
      </c>
      <c r="J152" s="4">
        <v>1002.14</v>
      </c>
      <c r="K152" s="4">
        <f t="shared" si="7"/>
        <v>66.98</v>
      </c>
      <c r="L152" s="7">
        <f t="shared" si="8"/>
        <v>77.98</v>
      </c>
      <c r="M152" s="7">
        <f t="shared" si="9"/>
        <v>-11</v>
      </c>
      <c r="N152" s="4">
        <v>7.5</v>
      </c>
      <c r="O152" s="4">
        <v>89.62</v>
      </c>
      <c r="P152" s="4">
        <v>73</v>
      </c>
      <c r="Q152" s="4">
        <v>21.5</v>
      </c>
      <c r="R152" s="4">
        <v>10.84</v>
      </c>
      <c r="S152" s="4">
        <v>18.07</v>
      </c>
      <c r="T152" s="4">
        <v>3.88</v>
      </c>
      <c r="U152" s="4">
        <v>5.47</v>
      </c>
      <c r="V152" s="4">
        <v>3511</v>
      </c>
      <c r="W152" s="4">
        <v>1043.45</v>
      </c>
      <c r="X152" s="4">
        <v>1208.9100000000001</v>
      </c>
      <c r="Y152" s="4">
        <v>741.21</v>
      </c>
      <c r="Z152" s="4">
        <v>5.15</v>
      </c>
      <c r="AA152" s="4">
        <v>1.6</v>
      </c>
      <c r="AB152" s="4">
        <v>4.41</v>
      </c>
      <c r="AC152" s="4">
        <v>73.64</v>
      </c>
      <c r="AD152" s="4">
        <v>490</v>
      </c>
      <c r="AE152" s="4">
        <v>4700</v>
      </c>
      <c r="AF152" s="4">
        <v>77.930000000000007</v>
      </c>
      <c r="AG152" s="4">
        <v>0.47</v>
      </c>
      <c r="AH152" s="4">
        <v>17.420000000000002</v>
      </c>
      <c r="AI152" s="4">
        <v>26.13</v>
      </c>
      <c r="AJ152" s="4">
        <v>60</v>
      </c>
      <c r="AK152" s="4">
        <v>9</v>
      </c>
      <c r="AL152" s="4">
        <v>9</v>
      </c>
      <c r="AM152" s="4">
        <v>0.87</v>
      </c>
      <c r="AN152" s="4">
        <v>294</v>
      </c>
      <c r="AO152" s="4">
        <v>301.8</v>
      </c>
      <c r="AP152" s="4">
        <v>248939.13</v>
      </c>
      <c r="AQ152" s="4">
        <v>216518.58</v>
      </c>
      <c r="AR152" s="4" t="s">
        <v>670</v>
      </c>
      <c r="AS152" s="5">
        <f t="shared" si="0"/>
        <v>1.850488013698631</v>
      </c>
    </row>
    <row r="153" spans="1:45" ht="14.25" customHeight="1" x14ac:dyDescent="0.55000000000000004">
      <c r="A153" s="4">
        <v>21.94</v>
      </c>
      <c r="B153" s="4">
        <v>32.53</v>
      </c>
      <c r="C153" s="4">
        <v>5411.62</v>
      </c>
      <c r="D153" s="4">
        <v>7.61</v>
      </c>
      <c r="E153" s="4" t="s">
        <v>671</v>
      </c>
      <c r="F153" s="4" t="s">
        <v>672</v>
      </c>
      <c r="G153" s="4" t="s">
        <v>673</v>
      </c>
      <c r="H153" s="4" t="s">
        <v>674</v>
      </c>
      <c r="I153" s="4">
        <v>0</v>
      </c>
      <c r="J153" s="4">
        <v>751.12</v>
      </c>
      <c r="K153" s="4">
        <f t="shared" si="7"/>
        <v>46.34</v>
      </c>
      <c r="L153" s="7">
        <f t="shared" si="8"/>
        <v>52.390000000000008</v>
      </c>
      <c r="M153" s="7">
        <f t="shared" si="9"/>
        <v>-6.0500000000000043</v>
      </c>
      <c r="N153" s="4">
        <v>7.36</v>
      </c>
      <c r="O153" s="4">
        <v>90.82</v>
      </c>
      <c r="P153" s="4">
        <v>68</v>
      </c>
      <c r="Q153" s="4">
        <v>22</v>
      </c>
      <c r="R153" s="4">
        <v>10.59</v>
      </c>
      <c r="S153" s="4">
        <v>17.88</v>
      </c>
      <c r="T153" s="4">
        <v>4.0599999999999996</v>
      </c>
      <c r="U153" s="4">
        <v>7.2</v>
      </c>
      <c r="V153" s="4">
        <v>3463.44</v>
      </c>
      <c r="W153" s="4">
        <v>1043.0899999999999</v>
      </c>
      <c r="X153" s="4">
        <v>1322.2</v>
      </c>
      <c r="Y153" s="4">
        <v>766.43</v>
      </c>
      <c r="Z153" s="4">
        <v>5.75</v>
      </c>
      <c r="AA153" s="4">
        <v>1.65</v>
      </c>
      <c r="AB153" s="4">
        <v>4.3099999999999996</v>
      </c>
      <c r="AC153" s="4">
        <v>72.3</v>
      </c>
      <c r="AD153" s="4">
        <v>490</v>
      </c>
      <c r="AE153" s="4">
        <v>4700</v>
      </c>
      <c r="AF153" s="4">
        <v>76.150000000000006</v>
      </c>
      <c r="AG153" s="4">
        <v>0.47</v>
      </c>
      <c r="AH153" s="4">
        <v>12.27</v>
      </c>
      <c r="AI153" s="4">
        <v>42.13</v>
      </c>
      <c r="AJ153" s="4">
        <v>60</v>
      </c>
      <c r="AK153" s="4">
        <v>9</v>
      </c>
      <c r="AL153" s="4">
        <v>9</v>
      </c>
      <c r="AM153" s="4">
        <v>0.54</v>
      </c>
      <c r="AN153" s="4">
        <v>294</v>
      </c>
      <c r="AO153" s="4">
        <v>298.83999999999997</v>
      </c>
      <c r="AP153" s="4">
        <v>231438.25</v>
      </c>
      <c r="AQ153" s="4">
        <v>132140.29</v>
      </c>
      <c r="AR153" s="4" t="s">
        <v>675</v>
      </c>
      <c r="AS153" s="5">
        <f t="shared" si="0"/>
        <v>5.6676917808219169</v>
      </c>
    </row>
    <row r="154" spans="1:45" ht="14.25" customHeight="1" x14ac:dyDescent="0.55000000000000004">
      <c r="A154" s="4">
        <v>21.8</v>
      </c>
      <c r="B154" s="4">
        <v>33.29</v>
      </c>
      <c r="C154" s="4">
        <v>5532.14</v>
      </c>
      <c r="D154" s="4">
        <v>7.6</v>
      </c>
      <c r="E154" s="4" t="s">
        <v>676</v>
      </c>
      <c r="F154" s="4" t="s">
        <v>677</v>
      </c>
      <c r="G154" s="4" t="s">
        <v>678</v>
      </c>
      <c r="H154" s="4" t="s">
        <v>411</v>
      </c>
      <c r="I154" s="4">
        <v>0</v>
      </c>
      <c r="J154" s="4">
        <v>1160.77</v>
      </c>
      <c r="K154" s="4">
        <f t="shared" si="7"/>
        <v>95.13000000000001</v>
      </c>
      <c r="L154" s="7">
        <f t="shared" si="8"/>
        <v>95.13000000000001</v>
      </c>
      <c r="M154" s="7">
        <f t="shared" si="9"/>
        <v>0</v>
      </c>
      <c r="N154" s="4">
        <v>7.59</v>
      </c>
      <c r="O154" s="4">
        <v>88.07</v>
      </c>
      <c r="P154" s="4">
        <v>79</v>
      </c>
      <c r="Q154" s="4">
        <v>21.5</v>
      </c>
      <c r="R154" s="4">
        <v>11.49</v>
      </c>
      <c r="S154" s="4">
        <v>18.84</v>
      </c>
      <c r="T154" s="4">
        <v>2.96</v>
      </c>
      <c r="U154" s="4">
        <v>4.7699999999999996</v>
      </c>
      <c r="V154" s="4">
        <v>3540.57</v>
      </c>
      <c r="W154" s="4">
        <v>1046.73</v>
      </c>
      <c r="X154" s="4">
        <v>1166.6300000000001</v>
      </c>
      <c r="Y154" s="4">
        <v>733.27</v>
      </c>
      <c r="Z154" s="4">
        <v>10.16</v>
      </c>
      <c r="AA154" s="4">
        <v>1.59</v>
      </c>
      <c r="AB154" s="4">
        <v>4.43</v>
      </c>
      <c r="AC154" s="4">
        <v>79.489999999999995</v>
      </c>
      <c r="AD154" s="4">
        <v>490</v>
      </c>
      <c r="AE154" s="4">
        <v>4700</v>
      </c>
      <c r="AF154" s="4">
        <v>82.6</v>
      </c>
      <c r="AG154" s="4">
        <v>0.47</v>
      </c>
      <c r="AH154" s="4">
        <v>21.93</v>
      </c>
      <c r="AI154" s="4">
        <v>36.28</v>
      </c>
      <c r="AJ154" s="4">
        <v>60</v>
      </c>
      <c r="AK154" s="4">
        <v>9</v>
      </c>
      <c r="AL154" s="4">
        <v>9</v>
      </c>
      <c r="AM154" s="4">
        <v>0.62</v>
      </c>
      <c r="AN154" s="4">
        <v>294</v>
      </c>
      <c r="AO154" s="4">
        <v>299.62</v>
      </c>
      <c r="AP154" s="4">
        <v>348700.49</v>
      </c>
      <c r="AQ154" s="4">
        <v>348700.49</v>
      </c>
      <c r="AR154" s="4" t="s">
        <v>679</v>
      </c>
      <c r="AS154" s="5">
        <f t="shared" si="0"/>
        <v>0</v>
      </c>
    </row>
    <row r="155" spans="1:45" ht="14.25" customHeight="1" x14ac:dyDescent="0.55000000000000004">
      <c r="A155" s="4">
        <v>22.04</v>
      </c>
      <c r="B155" s="4">
        <v>32.78</v>
      </c>
      <c r="C155" s="4">
        <v>5478.83</v>
      </c>
      <c r="D155" s="4">
        <v>7.58</v>
      </c>
      <c r="E155" s="4" t="s">
        <v>680</v>
      </c>
      <c r="F155" s="4" t="s">
        <v>681</v>
      </c>
      <c r="G155" s="4" t="s">
        <v>610</v>
      </c>
      <c r="H155" s="4" t="s">
        <v>682</v>
      </c>
      <c r="I155" s="4">
        <v>0</v>
      </c>
      <c r="J155" s="4">
        <v>830.15</v>
      </c>
      <c r="K155" s="4">
        <f t="shared" si="7"/>
        <v>51.21</v>
      </c>
      <c r="L155" s="7">
        <f t="shared" si="8"/>
        <v>58.17</v>
      </c>
      <c r="M155" s="7">
        <f t="shared" si="9"/>
        <v>-6.9600000000000009</v>
      </c>
      <c r="N155" s="4">
        <v>7.4</v>
      </c>
      <c r="O155" s="4">
        <v>89.37</v>
      </c>
      <c r="P155" s="4">
        <v>73</v>
      </c>
      <c r="Q155" s="4">
        <v>21.8</v>
      </c>
      <c r="R155" s="4">
        <v>10.74</v>
      </c>
      <c r="S155" s="4">
        <v>18.350000000000001</v>
      </c>
      <c r="T155" s="4">
        <v>3.69</v>
      </c>
      <c r="U155" s="4">
        <v>6.6</v>
      </c>
      <c r="V155" s="4">
        <v>3506.45</v>
      </c>
      <c r="W155" s="4">
        <v>1050.51</v>
      </c>
      <c r="X155" s="4">
        <v>1286.98</v>
      </c>
      <c r="Y155" s="4">
        <v>761.82</v>
      </c>
      <c r="Z155" s="4">
        <v>5.72</v>
      </c>
      <c r="AA155" s="4">
        <v>1.61</v>
      </c>
      <c r="AB155" s="4">
        <v>4.3600000000000003</v>
      </c>
      <c r="AC155" s="4">
        <v>74.430000000000007</v>
      </c>
      <c r="AD155" s="4">
        <v>490</v>
      </c>
      <c r="AE155" s="4">
        <v>4700</v>
      </c>
      <c r="AF155" s="4">
        <v>77.22</v>
      </c>
      <c r="AG155" s="4">
        <v>0.47</v>
      </c>
      <c r="AH155" s="4">
        <v>13.79</v>
      </c>
      <c r="AI155" s="4">
        <v>37.950000000000003</v>
      </c>
      <c r="AJ155" s="4">
        <v>60</v>
      </c>
      <c r="AK155" s="4">
        <v>9</v>
      </c>
      <c r="AL155" s="4">
        <v>9</v>
      </c>
      <c r="AM155" s="4">
        <v>0.6</v>
      </c>
      <c r="AN155" s="4">
        <v>294</v>
      </c>
      <c r="AO155" s="4">
        <v>299.37</v>
      </c>
      <c r="AP155" s="4">
        <v>236133.41</v>
      </c>
      <c r="AQ155" s="4">
        <v>163494.51999999999</v>
      </c>
      <c r="AR155" s="4" t="s">
        <v>683</v>
      </c>
      <c r="AS155" s="5">
        <f t="shared" si="0"/>
        <v>4.1460553652968049</v>
      </c>
    </row>
    <row r="156" spans="1:45" ht="14.25" customHeight="1" x14ac:dyDescent="0.55000000000000004">
      <c r="A156" s="4">
        <v>22</v>
      </c>
      <c r="B156" s="4">
        <v>33.08</v>
      </c>
      <c r="C156" s="4">
        <v>5487.14</v>
      </c>
      <c r="D156" s="4">
        <v>7.62</v>
      </c>
      <c r="E156" s="4" t="s">
        <v>684</v>
      </c>
      <c r="F156" s="4" t="s">
        <v>685</v>
      </c>
      <c r="G156" s="4" t="s">
        <v>686</v>
      </c>
      <c r="H156" s="4" t="s">
        <v>171</v>
      </c>
      <c r="I156" s="4">
        <v>0</v>
      </c>
      <c r="J156" s="4">
        <v>1156.78</v>
      </c>
      <c r="K156" s="4">
        <f t="shared" si="7"/>
        <v>94.14</v>
      </c>
      <c r="L156" s="7">
        <f t="shared" si="8"/>
        <v>94.14</v>
      </c>
      <c r="M156" s="7">
        <f t="shared" si="9"/>
        <v>0</v>
      </c>
      <c r="N156" s="4">
        <v>7.58</v>
      </c>
      <c r="O156" s="4">
        <v>89.06</v>
      </c>
      <c r="P156" s="4">
        <v>76</v>
      </c>
      <c r="Q156" s="4">
        <v>21.8</v>
      </c>
      <c r="R156" s="4">
        <v>11.08</v>
      </c>
      <c r="S156" s="4">
        <v>18.739999999999998</v>
      </c>
      <c r="T156" s="4">
        <v>3.26</v>
      </c>
      <c r="U156" s="4">
        <v>4.74</v>
      </c>
      <c r="V156" s="4">
        <v>3511.77</v>
      </c>
      <c r="W156" s="4">
        <v>1038.2</v>
      </c>
      <c r="X156" s="4">
        <v>1157.3499999999999</v>
      </c>
      <c r="Y156" s="4">
        <v>727.31</v>
      </c>
      <c r="Z156" s="4">
        <v>9.73</v>
      </c>
      <c r="AA156" s="4">
        <v>1.6</v>
      </c>
      <c r="AB156" s="4">
        <v>4.42</v>
      </c>
      <c r="AC156" s="4">
        <v>77.260000000000005</v>
      </c>
      <c r="AD156" s="4">
        <v>490</v>
      </c>
      <c r="AE156" s="4">
        <v>4700</v>
      </c>
      <c r="AF156" s="4">
        <v>79.650000000000006</v>
      </c>
      <c r="AG156" s="4">
        <v>0.47</v>
      </c>
      <c r="AH156" s="4">
        <v>21.28</v>
      </c>
      <c r="AI156" s="4">
        <v>35.1</v>
      </c>
      <c r="AJ156" s="4">
        <v>60</v>
      </c>
      <c r="AK156" s="4">
        <v>9</v>
      </c>
      <c r="AL156" s="4">
        <v>9</v>
      </c>
      <c r="AM156" s="4">
        <v>0.64</v>
      </c>
      <c r="AN156" s="4">
        <v>294</v>
      </c>
      <c r="AO156" s="4">
        <v>299.8</v>
      </c>
      <c r="AP156" s="4">
        <v>352314.37</v>
      </c>
      <c r="AQ156" s="4">
        <v>352314.37</v>
      </c>
      <c r="AR156" s="4" t="s">
        <v>687</v>
      </c>
      <c r="AS156" s="5">
        <f t="shared" si="0"/>
        <v>0</v>
      </c>
    </row>
    <row r="157" spans="1:45" ht="14.25" customHeight="1" x14ac:dyDescent="0.55000000000000004">
      <c r="A157" s="4">
        <v>22.25</v>
      </c>
      <c r="B157" s="4">
        <v>33.54</v>
      </c>
      <c r="C157" s="4">
        <v>5573.45</v>
      </c>
      <c r="D157" s="4">
        <v>7.56</v>
      </c>
      <c r="E157" s="4" t="s">
        <v>688</v>
      </c>
      <c r="F157" s="4" t="s">
        <v>689</v>
      </c>
      <c r="G157" s="4" t="s">
        <v>690</v>
      </c>
      <c r="H157" s="4" t="s">
        <v>691</v>
      </c>
      <c r="I157" s="4">
        <v>0</v>
      </c>
      <c r="J157" s="4">
        <v>264.8</v>
      </c>
      <c r="K157" s="4">
        <f t="shared" si="7"/>
        <v>29.17</v>
      </c>
      <c r="L157" s="7">
        <f t="shared" si="8"/>
        <v>28.189999999999998</v>
      </c>
      <c r="M157" s="7">
        <f t="shared" si="9"/>
        <v>0.98000000000000398</v>
      </c>
      <c r="N157" s="4">
        <v>7.11</v>
      </c>
      <c r="O157" s="4">
        <v>88.51</v>
      </c>
      <c r="P157" s="4">
        <v>84</v>
      </c>
      <c r="Q157" s="4">
        <v>21.2</v>
      </c>
      <c r="R157" s="4">
        <v>11.29</v>
      </c>
      <c r="S157" s="4">
        <v>19.190000000000001</v>
      </c>
      <c r="T157" s="4">
        <v>3.06</v>
      </c>
      <c r="U157" s="4">
        <v>21.05</v>
      </c>
      <c r="V157" s="4">
        <v>3567.01</v>
      </c>
      <c r="W157" s="4">
        <v>1178.8599999999999</v>
      </c>
      <c r="X157" s="4">
        <v>2345.2399999999998</v>
      </c>
      <c r="Y157" s="4">
        <v>1057.01</v>
      </c>
      <c r="Z157" s="4">
        <v>9.31</v>
      </c>
      <c r="AA157" s="4">
        <v>1.9</v>
      </c>
      <c r="AB157" s="4">
        <v>3.75</v>
      </c>
      <c r="AC157" s="4">
        <v>78.69</v>
      </c>
      <c r="AD157" s="4">
        <v>490</v>
      </c>
      <c r="AE157" s="4">
        <v>4700</v>
      </c>
      <c r="AF157" s="4">
        <v>81.180000000000007</v>
      </c>
      <c r="AG157" s="4">
        <v>0.47</v>
      </c>
      <c r="AH157" s="4">
        <v>4.05</v>
      </c>
      <c r="AI157" s="4">
        <v>108.39</v>
      </c>
      <c r="AJ157" s="4">
        <v>60</v>
      </c>
      <c r="AK157" s="4">
        <v>9</v>
      </c>
      <c r="AL157" s="4">
        <v>9</v>
      </c>
      <c r="AM157" s="4">
        <v>0.21</v>
      </c>
      <c r="AN157" s="4">
        <v>294</v>
      </c>
      <c r="AO157" s="4">
        <v>295.88</v>
      </c>
      <c r="AP157" s="4">
        <v>238772.66</v>
      </c>
      <c r="AQ157" s="4">
        <v>64038.25</v>
      </c>
      <c r="AR157" s="4" t="s">
        <v>692</v>
      </c>
      <c r="AS157" s="5">
        <f t="shared" si="0"/>
        <v>9.9734252283105018</v>
      </c>
    </row>
    <row r="158" spans="1:45" ht="14.25" customHeight="1" x14ac:dyDescent="0.55000000000000004">
      <c r="A158" s="4">
        <v>20.18</v>
      </c>
      <c r="B158" s="4">
        <v>29.89</v>
      </c>
      <c r="C158" s="4">
        <v>5559.13</v>
      </c>
      <c r="D158" s="4">
        <v>7.58</v>
      </c>
      <c r="E158" s="4" t="s">
        <v>693</v>
      </c>
      <c r="F158" s="4" t="s">
        <v>694</v>
      </c>
      <c r="G158" s="4" t="s">
        <v>695</v>
      </c>
      <c r="H158" s="4" t="s">
        <v>696</v>
      </c>
      <c r="I158" s="4">
        <v>0</v>
      </c>
      <c r="J158" s="4">
        <v>1055.8599999999999</v>
      </c>
      <c r="K158" s="4">
        <f t="shared" si="7"/>
        <v>62.79</v>
      </c>
      <c r="L158" s="7">
        <f t="shared" si="8"/>
        <v>65.510000000000005</v>
      </c>
      <c r="M158" s="7">
        <f t="shared" si="9"/>
        <v>-2.720000000000006</v>
      </c>
      <c r="N158" s="4">
        <v>7.46</v>
      </c>
      <c r="O158" s="4">
        <v>91.52</v>
      </c>
      <c r="P158" s="4">
        <v>64</v>
      </c>
      <c r="Q158" s="4">
        <v>19.2</v>
      </c>
      <c r="R158" s="4">
        <v>9.7100000000000009</v>
      </c>
      <c r="S158" s="4">
        <v>14.79</v>
      </c>
      <c r="T158" s="4">
        <v>5.39</v>
      </c>
      <c r="U158" s="4">
        <v>5.27</v>
      </c>
      <c r="V158" s="4">
        <v>3557.84</v>
      </c>
      <c r="W158" s="4">
        <v>1050.72</v>
      </c>
      <c r="X158" s="4">
        <v>1172.01</v>
      </c>
      <c r="Y158" s="4">
        <v>735.08</v>
      </c>
      <c r="Z158" s="4">
        <v>6.71</v>
      </c>
      <c r="AA158" s="4">
        <v>1.54</v>
      </c>
      <c r="AB158" s="4">
        <v>4.51</v>
      </c>
      <c r="AC158" s="4">
        <v>64.290000000000006</v>
      </c>
      <c r="AD158" s="4">
        <v>490</v>
      </c>
      <c r="AE158" s="4">
        <v>4700</v>
      </c>
      <c r="AF158" s="4">
        <v>69.790000000000006</v>
      </c>
      <c r="AG158" s="4">
        <v>0.47</v>
      </c>
      <c r="AH158" s="4">
        <v>16.36</v>
      </c>
      <c r="AI158" s="4">
        <v>36.29</v>
      </c>
      <c r="AJ158" s="4">
        <v>60</v>
      </c>
      <c r="AK158" s="4">
        <v>9</v>
      </c>
      <c r="AL158" s="4">
        <v>9</v>
      </c>
      <c r="AM158" s="4">
        <v>0.62</v>
      </c>
      <c r="AN158" s="4">
        <v>294</v>
      </c>
      <c r="AO158" s="4">
        <v>299.61</v>
      </c>
      <c r="AP158" s="4">
        <v>293219.59999999998</v>
      </c>
      <c r="AQ158" s="4">
        <v>290216.81</v>
      </c>
      <c r="AR158" s="4" t="s">
        <v>697</v>
      </c>
      <c r="AS158" s="5">
        <f t="shared" si="0"/>
        <v>0.17139212328767003</v>
      </c>
    </row>
    <row r="159" spans="1:45" ht="14.25" customHeight="1" x14ac:dyDescent="0.55000000000000004">
      <c r="A159" s="4">
        <v>20.98</v>
      </c>
      <c r="B159" s="4">
        <v>30.4</v>
      </c>
      <c r="C159" s="4">
        <v>5454.57</v>
      </c>
      <c r="D159" s="4">
        <v>7.61</v>
      </c>
      <c r="E159" s="4" t="s">
        <v>698</v>
      </c>
      <c r="F159" s="4" t="s">
        <v>699</v>
      </c>
      <c r="G159" s="4" t="s">
        <v>700</v>
      </c>
      <c r="H159" s="4" t="s">
        <v>701</v>
      </c>
      <c r="I159" s="4">
        <v>0</v>
      </c>
      <c r="J159" s="4">
        <v>1038.3499999999999</v>
      </c>
      <c r="K159" s="4">
        <f t="shared" si="7"/>
        <v>61.29</v>
      </c>
      <c r="L159" s="7">
        <f t="shared" si="8"/>
        <v>71.150000000000006</v>
      </c>
      <c r="M159" s="7">
        <f t="shared" si="9"/>
        <v>-9.8600000000000065</v>
      </c>
      <c r="N159" s="4">
        <v>7.45</v>
      </c>
      <c r="O159" s="4">
        <v>93.22</v>
      </c>
      <c r="P159" s="4">
        <v>74</v>
      </c>
      <c r="Q159" s="4">
        <v>18.8</v>
      </c>
      <c r="R159" s="4">
        <v>9.43</v>
      </c>
      <c r="S159" s="4">
        <v>15.65</v>
      </c>
      <c r="T159" s="4">
        <v>5.33</v>
      </c>
      <c r="U159" s="4">
        <v>5.25</v>
      </c>
      <c r="V159" s="4">
        <v>3490.92</v>
      </c>
      <c r="W159" s="4">
        <v>1031.6300000000001</v>
      </c>
      <c r="X159" s="4">
        <v>1156.32</v>
      </c>
      <c r="Y159" s="4">
        <v>722.99</v>
      </c>
      <c r="Z159" s="4">
        <v>5.17</v>
      </c>
      <c r="AA159" s="4">
        <v>1.57</v>
      </c>
      <c r="AB159" s="4">
        <v>4.47</v>
      </c>
      <c r="AC159" s="4">
        <v>63.89</v>
      </c>
      <c r="AD159" s="4">
        <v>490</v>
      </c>
      <c r="AE159" s="4">
        <v>4700</v>
      </c>
      <c r="AF159" s="4">
        <v>67.78</v>
      </c>
      <c r="AG159" s="4">
        <v>0.47</v>
      </c>
      <c r="AH159" s="4">
        <v>15.94</v>
      </c>
      <c r="AI159" s="4">
        <v>28.64</v>
      </c>
      <c r="AJ159" s="4">
        <v>60</v>
      </c>
      <c r="AK159" s="4">
        <v>9</v>
      </c>
      <c r="AL159" s="4">
        <v>9</v>
      </c>
      <c r="AM159" s="4">
        <v>0.79</v>
      </c>
      <c r="AN159" s="4">
        <v>294</v>
      </c>
      <c r="AO159" s="4">
        <v>301.11</v>
      </c>
      <c r="AP159" s="4">
        <v>245013.58</v>
      </c>
      <c r="AQ159" s="4">
        <v>237019.66</v>
      </c>
      <c r="AR159" s="4" t="s">
        <v>702</v>
      </c>
      <c r="AS159" s="5">
        <f t="shared" si="0"/>
        <v>0.45627397260273878</v>
      </c>
    </row>
    <row r="160" spans="1:45" ht="14.25" customHeight="1" x14ac:dyDescent="0.55000000000000004">
      <c r="A160" s="4">
        <v>21.38</v>
      </c>
      <c r="B160" s="4">
        <v>31.79</v>
      </c>
      <c r="C160" s="4">
        <v>5631.7</v>
      </c>
      <c r="D160" s="4">
        <v>7.58</v>
      </c>
      <c r="E160" s="4" t="s">
        <v>703</v>
      </c>
      <c r="F160" s="4" t="s">
        <v>704</v>
      </c>
      <c r="G160" s="4" t="s">
        <v>705</v>
      </c>
      <c r="H160" s="4" t="s">
        <v>706</v>
      </c>
      <c r="I160" s="4">
        <v>0</v>
      </c>
      <c r="J160" s="4">
        <v>696.38</v>
      </c>
      <c r="K160" s="4">
        <f t="shared" si="7"/>
        <v>44.33</v>
      </c>
      <c r="L160" s="7">
        <f t="shared" si="8"/>
        <v>48.98</v>
      </c>
      <c r="M160" s="7">
        <f t="shared" si="9"/>
        <v>-4.6499999999999986</v>
      </c>
      <c r="N160" s="4">
        <v>7.17</v>
      </c>
      <c r="O160" s="4">
        <v>88.41</v>
      </c>
      <c r="P160" s="4">
        <v>68</v>
      </c>
      <c r="Q160" s="4">
        <v>22</v>
      </c>
      <c r="R160" s="4">
        <v>10.41</v>
      </c>
      <c r="S160" s="4">
        <v>17.88</v>
      </c>
      <c r="T160" s="4">
        <v>3.5</v>
      </c>
      <c r="U160" s="4">
        <v>8.09</v>
      </c>
      <c r="V160" s="4">
        <v>3604.29</v>
      </c>
      <c r="W160" s="4">
        <v>1072.67</v>
      </c>
      <c r="X160" s="4">
        <v>1292.3</v>
      </c>
      <c r="Y160" s="4">
        <v>768.73</v>
      </c>
      <c r="Z160" s="4">
        <v>5.43</v>
      </c>
      <c r="AA160" s="4">
        <v>1.61</v>
      </c>
      <c r="AB160" s="4">
        <v>4.37</v>
      </c>
      <c r="AC160" s="4">
        <v>74.849999999999994</v>
      </c>
      <c r="AD160" s="4">
        <v>490</v>
      </c>
      <c r="AE160" s="4">
        <v>4700</v>
      </c>
      <c r="AF160" s="4">
        <v>74.849999999999994</v>
      </c>
      <c r="AG160" s="4">
        <v>0.47</v>
      </c>
      <c r="AH160" s="4">
        <v>10.56</v>
      </c>
      <c r="AI160" s="4">
        <v>41.6</v>
      </c>
      <c r="AJ160" s="4">
        <v>60</v>
      </c>
      <c r="AK160" s="4">
        <v>9</v>
      </c>
      <c r="AL160" s="4">
        <v>9</v>
      </c>
      <c r="AM160" s="4">
        <v>0.54</v>
      </c>
      <c r="AN160" s="4">
        <v>294</v>
      </c>
      <c r="AO160" s="4">
        <v>298.89999999999998</v>
      </c>
      <c r="AP160" s="4">
        <v>295974.38</v>
      </c>
      <c r="AQ160" s="4">
        <v>139773.95000000001</v>
      </c>
      <c r="AR160" s="4" t="s">
        <v>707</v>
      </c>
      <c r="AS160" s="5">
        <f t="shared" si="0"/>
        <v>8.9155496575342461</v>
      </c>
    </row>
    <row r="161" spans="1:45" ht="14.25" customHeight="1" x14ac:dyDescent="0.55000000000000004">
      <c r="A161" s="4">
        <v>21.73</v>
      </c>
      <c r="B161" s="4">
        <v>31.65</v>
      </c>
      <c r="C161" s="4">
        <v>5589.72</v>
      </c>
      <c r="D161" s="4">
        <v>7.59</v>
      </c>
      <c r="E161" s="4" t="s">
        <v>708</v>
      </c>
      <c r="F161" s="4" t="s">
        <v>709</v>
      </c>
      <c r="G161" s="4" t="s">
        <v>710</v>
      </c>
      <c r="H161" s="4" t="s">
        <v>711</v>
      </c>
      <c r="I161" s="4">
        <v>0</v>
      </c>
      <c r="J161" s="4">
        <v>1245.96</v>
      </c>
      <c r="K161" s="4">
        <f t="shared" si="7"/>
        <v>128.93</v>
      </c>
      <c r="L161" s="7">
        <f t="shared" si="8"/>
        <v>128.93</v>
      </c>
      <c r="M161" s="7">
        <f t="shared" si="9"/>
        <v>0</v>
      </c>
      <c r="N161" s="4">
        <v>7.58</v>
      </c>
      <c r="O161" s="4">
        <v>89.33</v>
      </c>
      <c r="P161" s="4">
        <v>72</v>
      </c>
      <c r="Q161" s="4">
        <v>21.7</v>
      </c>
      <c r="R161" s="4">
        <v>9.91</v>
      </c>
      <c r="S161" s="4">
        <v>18.13</v>
      </c>
      <c r="T161" s="4">
        <v>3.61</v>
      </c>
      <c r="U161" s="4">
        <v>4.49</v>
      </c>
      <c r="V161" s="4">
        <v>3577.42</v>
      </c>
      <c r="W161" s="4">
        <v>1051.8399999999999</v>
      </c>
      <c r="X161" s="4">
        <v>1131.3399999999999</v>
      </c>
      <c r="Y161" s="4">
        <v>726.85</v>
      </c>
      <c r="Z161" s="4">
        <v>63.31</v>
      </c>
      <c r="AA161" s="4">
        <v>1.56</v>
      </c>
      <c r="AB161" s="4">
        <v>4.4800000000000004</v>
      </c>
      <c r="AC161" s="4">
        <v>73.319999999999993</v>
      </c>
      <c r="AD161" s="4">
        <v>490</v>
      </c>
      <c r="AE161" s="4">
        <v>4700</v>
      </c>
      <c r="AF161" s="4">
        <v>71.290000000000006</v>
      </c>
      <c r="AG161" s="4">
        <v>0.47</v>
      </c>
      <c r="AH161" s="4">
        <v>20.45</v>
      </c>
      <c r="AI161" s="4">
        <v>166.73</v>
      </c>
      <c r="AJ161" s="4">
        <v>60</v>
      </c>
      <c r="AK161" s="4">
        <v>9</v>
      </c>
      <c r="AL161" s="4">
        <v>9</v>
      </c>
      <c r="AM161" s="4">
        <v>0.14000000000000001</v>
      </c>
      <c r="AN161" s="4">
        <v>294</v>
      </c>
      <c r="AO161" s="4">
        <v>295.22000000000003</v>
      </c>
      <c r="AP161" s="4">
        <v>361071.45</v>
      </c>
      <c r="AQ161" s="4">
        <v>361071.45</v>
      </c>
      <c r="AR161" s="4" t="s">
        <v>712</v>
      </c>
      <c r="AS161" s="5">
        <f t="shared" si="0"/>
        <v>0</v>
      </c>
    </row>
    <row r="162" spans="1:45" ht="14.25" customHeight="1" x14ac:dyDescent="0.55000000000000004">
      <c r="A162" s="4">
        <v>20.51</v>
      </c>
      <c r="B162" s="4">
        <v>30.02</v>
      </c>
      <c r="C162" s="4">
        <v>5480.88</v>
      </c>
      <c r="D162" s="4">
        <v>7.61</v>
      </c>
      <c r="E162" s="4" t="s">
        <v>713</v>
      </c>
      <c r="F162" s="4" t="s">
        <v>714</v>
      </c>
      <c r="G162" s="4" t="s">
        <v>715</v>
      </c>
      <c r="H162" s="4" t="s">
        <v>716</v>
      </c>
      <c r="I162" s="4">
        <v>0</v>
      </c>
      <c r="J162" s="4">
        <v>1017.21</v>
      </c>
      <c r="K162" s="4">
        <f t="shared" si="7"/>
        <v>58.61</v>
      </c>
      <c r="L162" s="7">
        <f t="shared" si="8"/>
        <v>66.45</v>
      </c>
      <c r="M162" s="7">
        <f t="shared" si="9"/>
        <v>-7.8400000000000034</v>
      </c>
      <c r="N162" s="4">
        <v>7.44</v>
      </c>
      <c r="O162" s="4">
        <v>93.07</v>
      </c>
      <c r="P162" s="4">
        <v>67</v>
      </c>
      <c r="Q162" s="4">
        <v>19.600000000000001</v>
      </c>
      <c r="R162" s="4">
        <v>9.51</v>
      </c>
      <c r="S162" s="4">
        <v>15.53</v>
      </c>
      <c r="T162" s="4">
        <v>4.97</v>
      </c>
      <c r="U162" s="4">
        <v>5.39</v>
      </c>
      <c r="V162" s="4">
        <v>3507.76</v>
      </c>
      <c r="W162" s="4">
        <v>1037.02</v>
      </c>
      <c r="X162" s="4">
        <v>1166.67</v>
      </c>
      <c r="Y162" s="4">
        <v>727.62</v>
      </c>
      <c r="Z162" s="4">
        <v>5.29</v>
      </c>
      <c r="AA162" s="4">
        <v>1.56</v>
      </c>
      <c r="AB162" s="4">
        <v>4.4800000000000004</v>
      </c>
      <c r="AC162" s="4">
        <v>65.680000000000007</v>
      </c>
      <c r="AD162" s="4">
        <v>490</v>
      </c>
      <c r="AE162" s="4">
        <v>4700</v>
      </c>
      <c r="AF162" s="4">
        <v>68.41</v>
      </c>
      <c r="AG162" s="4">
        <v>0.47</v>
      </c>
      <c r="AH162" s="4">
        <v>15.59</v>
      </c>
      <c r="AI162" s="4">
        <v>30.66</v>
      </c>
      <c r="AJ162" s="4">
        <v>60</v>
      </c>
      <c r="AK162" s="4">
        <v>9</v>
      </c>
      <c r="AL162" s="4">
        <v>9</v>
      </c>
      <c r="AM162" s="4">
        <v>0.74</v>
      </c>
      <c r="AN162" s="4">
        <v>294</v>
      </c>
      <c r="AO162" s="4">
        <v>300.64999999999998</v>
      </c>
      <c r="AP162" s="4">
        <v>255240.49</v>
      </c>
      <c r="AQ162" s="4">
        <v>217342.53</v>
      </c>
      <c r="AR162" s="4" t="s">
        <v>717</v>
      </c>
      <c r="AS162" s="5">
        <f t="shared" si="0"/>
        <v>2.1631255707762551</v>
      </c>
    </row>
    <row r="163" spans="1:45" ht="14.25" customHeight="1" x14ac:dyDescent="0.55000000000000004">
      <c r="A163" s="4">
        <v>20.09</v>
      </c>
      <c r="B163" s="4">
        <v>29.81</v>
      </c>
      <c r="C163" s="4">
        <v>5519.65</v>
      </c>
      <c r="D163" s="4">
        <v>7.6</v>
      </c>
      <c r="E163" s="4" t="s">
        <v>718</v>
      </c>
      <c r="F163" s="4" t="s">
        <v>719</v>
      </c>
      <c r="G163" s="4" t="s">
        <v>720</v>
      </c>
      <c r="H163" s="4" t="s">
        <v>268</v>
      </c>
      <c r="I163" s="4">
        <v>0</v>
      </c>
      <c r="J163" s="4">
        <v>1175.8499999999999</v>
      </c>
      <c r="K163" s="4">
        <f t="shared" si="7"/>
        <v>85.03</v>
      </c>
      <c r="L163" s="7">
        <f t="shared" si="8"/>
        <v>85.03</v>
      </c>
      <c r="M163" s="7">
        <f t="shared" si="9"/>
        <v>0</v>
      </c>
      <c r="N163" s="4">
        <v>7.55</v>
      </c>
      <c r="O163" s="4">
        <v>91.82</v>
      </c>
      <c r="P163" s="4">
        <v>56</v>
      </c>
      <c r="Q163" s="4">
        <v>20.2</v>
      </c>
      <c r="R163" s="4">
        <v>9.7200000000000006</v>
      </c>
      <c r="S163" s="4">
        <v>14.67</v>
      </c>
      <c r="T163" s="4">
        <v>5.42</v>
      </c>
      <c r="U163" s="4">
        <v>4.6900000000000004</v>
      </c>
      <c r="V163" s="4">
        <v>3532.58</v>
      </c>
      <c r="W163" s="4">
        <v>1041.1500000000001</v>
      </c>
      <c r="X163" s="4">
        <v>1139.6600000000001</v>
      </c>
      <c r="Y163" s="4">
        <v>724.03</v>
      </c>
      <c r="Z163" s="4">
        <v>8.66</v>
      </c>
      <c r="AA163" s="4">
        <v>1.54</v>
      </c>
      <c r="AB163" s="4">
        <v>4.53</v>
      </c>
      <c r="AC163" s="4">
        <v>64.180000000000007</v>
      </c>
      <c r="AD163" s="4">
        <v>490</v>
      </c>
      <c r="AE163" s="4">
        <v>4700</v>
      </c>
      <c r="AF163" s="4">
        <v>69.86</v>
      </c>
      <c r="AG163" s="4">
        <v>0.47</v>
      </c>
      <c r="AH163" s="4">
        <v>18.91</v>
      </c>
      <c r="AI163" s="4">
        <v>34.6</v>
      </c>
      <c r="AJ163" s="4">
        <v>60</v>
      </c>
      <c r="AK163" s="4">
        <v>9</v>
      </c>
      <c r="AL163" s="4">
        <v>9</v>
      </c>
      <c r="AM163" s="4">
        <v>0.65</v>
      </c>
      <c r="AN163" s="4">
        <v>294</v>
      </c>
      <c r="AO163" s="4">
        <v>299.89</v>
      </c>
      <c r="AP163" s="4">
        <v>345331.82</v>
      </c>
      <c r="AQ163" s="4">
        <v>345331.82</v>
      </c>
      <c r="AR163" s="4" t="s">
        <v>721</v>
      </c>
      <c r="AS163" s="5">
        <f t="shared" si="0"/>
        <v>0</v>
      </c>
    </row>
    <row r="164" spans="1:45" ht="14.25" customHeight="1" x14ac:dyDescent="0.55000000000000004">
      <c r="A164" s="4">
        <v>20.86</v>
      </c>
      <c r="B164" s="4">
        <v>30.37</v>
      </c>
      <c r="C164" s="4">
        <v>5550.1</v>
      </c>
      <c r="D164" s="4">
        <v>7.6</v>
      </c>
      <c r="E164" s="4" t="s">
        <v>722</v>
      </c>
      <c r="F164" s="4" t="s">
        <v>723</v>
      </c>
      <c r="G164" s="4" t="s">
        <v>724</v>
      </c>
      <c r="H164" s="4" t="s">
        <v>725</v>
      </c>
      <c r="I164" s="4">
        <v>0</v>
      </c>
      <c r="J164" s="4">
        <v>544.25</v>
      </c>
      <c r="K164" s="4">
        <f t="shared" si="7"/>
        <v>31.03</v>
      </c>
      <c r="L164" s="7">
        <f t="shared" si="8"/>
        <v>32.980000000000004</v>
      </c>
      <c r="M164" s="7">
        <f t="shared" si="9"/>
        <v>-1.9500000000000028</v>
      </c>
      <c r="N164" s="4">
        <v>7.12</v>
      </c>
      <c r="O164" s="4">
        <v>92.08</v>
      </c>
      <c r="P164" s="4">
        <v>80</v>
      </c>
      <c r="Q164" s="4">
        <v>18.8</v>
      </c>
      <c r="R164" s="4">
        <v>9.51</v>
      </c>
      <c r="S164" s="4">
        <v>16.38</v>
      </c>
      <c r="T164" s="4">
        <v>4.4800000000000004</v>
      </c>
      <c r="U164" s="4">
        <v>10.199999999999999</v>
      </c>
      <c r="V164" s="4">
        <v>3552.06</v>
      </c>
      <c r="W164" s="4">
        <v>1073.79</v>
      </c>
      <c r="X164" s="4">
        <v>1431.2</v>
      </c>
      <c r="Y164" s="4">
        <v>800.33</v>
      </c>
      <c r="Z164" s="4">
        <v>6.12</v>
      </c>
      <c r="AA164" s="4">
        <v>1.66</v>
      </c>
      <c r="AB164" s="4">
        <v>4.2699999999999996</v>
      </c>
      <c r="AC164" s="4">
        <v>67.959999999999994</v>
      </c>
      <c r="AD164" s="4">
        <v>490</v>
      </c>
      <c r="AE164" s="4">
        <v>4700</v>
      </c>
      <c r="AF164" s="4">
        <v>68.36</v>
      </c>
      <c r="AG164" s="4">
        <v>0.47</v>
      </c>
      <c r="AH164" s="4">
        <v>7.43</v>
      </c>
      <c r="AI164" s="4">
        <v>66.930000000000007</v>
      </c>
      <c r="AJ164" s="4">
        <v>60</v>
      </c>
      <c r="AK164" s="4">
        <v>9</v>
      </c>
      <c r="AL164" s="4">
        <v>9</v>
      </c>
      <c r="AM164" s="4">
        <v>0.34</v>
      </c>
      <c r="AN164" s="4">
        <v>294</v>
      </c>
      <c r="AO164" s="4">
        <v>297.04000000000002</v>
      </c>
      <c r="AP164" s="4">
        <v>228826.63</v>
      </c>
      <c r="AQ164" s="4">
        <v>86624.5</v>
      </c>
      <c r="AR164" s="4" t="s">
        <v>726</v>
      </c>
      <c r="AS164" s="5">
        <f t="shared" si="0"/>
        <v>8.1165599315068491</v>
      </c>
    </row>
    <row r="165" spans="1:45" ht="14.25" customHeight="1" x14ac:dyDescent="0.55000000000000004">
      <c r="A165" s="4">
        <v>21.5</v>
      </c>
      <c r="B165" s="4">
        <v>30.94</v>
      </c>
      <c r="C165" s="4">
        <v>5455.99</v>
      </c>
      <c r="D165" s="4">
        <v>7.62</v>
      </c>
      <c r="E165" s="4" t="s">
        <v>727</v>
      </c>
      <c r="F165" s="4" t="s">
        <v>728</v>
      </c>
      <c r="G165" s="4" t="s">
        <v>729</v>
      </c>
      <c r="H165" s="4" t="s">
        <v>571</v>
      </c>
      <c r="I165" s="4">
        <v>0</v>
      </c>
      <c r="J165" s="4">
        <v>1142.8</v>
      </c>
      <c r="K165" s="4">
        <f t="shared" si="7"/>
        <v>82.87</v>
      </c>
      <c r="L165" s="7">
        <f t="shared" si="8"/>
        <v>82.87</v>
      </c>
      <c r="M165" s="7">
        <f t="shared" si="9"/>
        <v>0</v>
      </c>
      <c r="N165" s="4">
        <v>7.52</v>
      </c>
      <c r="O165" s="4">
        <v>93.02</v>
      </c>
      <c r="P165" s="4">
        <v>81</v>
      </c>
      <c r="Q165" s="4">
        <v>18.8</v>
      </c>
      <c r="R165" s="4">
        <v>9.44</v>
      </c>
      <c r="S165" s="4">
        <v>16.5</v>
      </c>
      <c r="T165" s="4">
        <v>5.01</v>
      </c>
      <c r="U165" s="4">
        <v>4.7699999999999996</v>
      </c>
      <c r="V165" s="4">
        <v>3491.83</v>
      </c>
      <c r="W165" s="4">
        <v>1029.17</v>
      </c>
      <c r="X165" s="4">
        <v>1128.8800000000001</v>
      </c>
      <c r="Y165" s="4">
        <v>715.96</v>
      </c>
      <c r="Z165" s="4">
        <v>40.880000000000003</v>
      </c>
      <c r="AA165" s="4">
        <v>1.58</v>
      </c>
      <c r="AB165" s="4">
        <v>4.47</v>
      </c>
      <c r="AC165" s="4">
        <v>65.349999999999994</v>
      </c>
      <c r="AD165" s="4">
        <v>490</v>
      </c>
      <c r="AE165" s="4">
        <v>4700</v>
      </c>
      <c r="AF165" s="4">
        <v>67.88</v>
      </c>
      <c r="AG165" s="4">
        <v>0.47</v>
      </c>
      <c r="AH165" s="4">
        <v>17.989999999999998</v>
      </c>
      <c r="AI165" s="4">
        <v>167.53</v>
      </c>
      <c r="AJ165" s="4">
        <v>60</v>
      </c>
      <c r="AK165" s="4">
        <v>9</v>
      </c>
      <c r="AL165" s="4">
        <v>9</v>
      </c>
      <c r="AM165" s="4">
        <v>0.14000000000000001</v>
      </c>
      <c r="AN165" s="4">
        <v>294</v>
      </c>
      <c r="AO165" s="4">
        <v>295.22000000000003</v>
      </c>
      <c r="AP165" s="4">
        <v>280473.56</v>
      </c>
      <c r="AQ165" s="4">
        <v>280473.56</v>
      </c>
      <c r="AR165" s="4" t="s">
        <v>730</v>
      </c>
      <c r="AS165" s="5">
        <f t="shared" si="0"/>
        <v>0</v>
      </c>
    </row>
    <row r="166" spans="1:45" ht="14.25" customHeight="1" x14ac:dyDescent="0.55000000000000004">
      <c r="A166" s="4">
        <v>20.440000000000001</v>
      </c>
      <c r="B166" s="4">
        <v>30.04</v>
      </c>
      <c r="C166" s="4">
        <v>5549.61</v>
      </c>
      <c r="D166" s="4">
        <v>7.6</v>
      </c>
      <c r="E166" s="4" t="s">
        <v>731</v>
      </c>
      <c r="F166" s="4" t="s">
        <v>732</v>
      </c>
      <c r="G166" s="4" t="s">
        <v>733</v>
      </c>
      <c r="H166" s="4" t="s">
        <v>734</v>
      </c>
      <c r="I166" s="4">
        <v>0</v>
      </c>
      <c r="J166" s="4">
        <v>850.7</v>
      </c>
      <c r="K166" s="4">
        <f t="shared" si="7"/>
        <v>45.25</v>
      </c>
      <c r="L166" s="7">
        <f t="shared" si="8"/>
        <v>48.809999999999995</v>
      </c>
      <c r="M166" s="7">
        <f t="shared" si="9"/>
        <v>-3.5599999999999952</v>
      </c>
      <c r="N166" s="4">
        <v>7.34</v>
      </c>
      <c r="O166" s="4">
        <v>91.84</v>
      </c>
      <c r="P166" s="4">
        <v>64</v>
      </c>
      <c r="Q166" s="4">
        <v>19.600000000000001</v>
      </c>
      <c r="R166" s="4">
        <v>9.6</v>
      </c>
      <c r="S166" s="4">
        <v>15.16</v>
      </c>
      <c r="T166" s="4">
        <v>5.29</v>
      </c>
      <c r="U166" s="4">
        <v>6.52</v>
      </c>
      <c r="V166" s="4">
        <v>3551.75</v>
      </c>
      <c r="W166" s="4">
        <v>1056.05</v>
      </c>
      <c r="X166" s="4">
        <v>1242.6400000000001</v>
      </c>
      <c r="Y166" s="4">
        <v>752.68</v>
      </c>
      <c r="Z166" s="4">
        <v>5.56</v>
      </c>
      <c r="AA166" s="4">
        <v>1.59</v>
      </c>
      <c r="AB166" s="4">
        <v>4.42</v>
      </c>
      <c r="AC166" s="4">
        <v>64.48</v>
      </c>
      <c r="AD166" s="4">
        <v>490</v>
      </c>
      <c r="AE166" s="4">
        <v>4700</v>
      </c>
      <c r="AF166" s="4">
        <v>69.010000000000005</v>
      </c>
      <c r="AG166" s="4">
        <v>0.47</v>
      </c>
      <c r="AH166" s="4">
        <v>12.49</v>
      </c>
      <c r="AI166" s="4">
        <v>41.74</v>
      </c>
      <c r="AJ166" s="4">
        <v>60</v>
      </c>
      <c r="AK166" s="4">
        <v>9</v>
      </c>
      <c r="AL166" s="4">
        <v>9</v>
      </c>
      <c r="AM166" s="4">
        <v>0.54</v>
      </c>
      <c r="AN166" s="4">
        <v>294</v>
      </c>
      <c r="AO166" s="4">
        <v>298.88</v>
      </c>
      <c r="AP166" s="4">
        <v>256452.52</v>
      </c>
      <c r="AQ166" s="4">
        <v>133774.82</v>
      </c>
      <c r="AR166" s="4" t="s">
        <v>735</v>
      </c>
      <c r="AS166" s="5">
        <f t="shared" si="0"/>
        <v>7.0021518264840177</v>
      </c>
    </row>
    <row r="167" spans="1:45" ht="14.25" customHeight="1" x14ac:dyDescent="0.55000000000000004">
      <c r="A167" s="4">
        <v>21.82</v>
      </c>
      <c r="B167" s="4">
        <v>31.38</v>
      </c>
      <c r="C167" s="4">
        <v>5485.31</v>
      </c>
      <c r="D167" s="4">
        <v>7.63</v>
      </c>
      <c r="E167" s="4" t="s">
        <v>736</v>
      </c>
      <c r="F167" s="4" t="s">
        <v>737</v>
      </c>
      <c r="G167" s="4" t="s">
        <v>700</v>
      </c>
      <c r="H167" s="4" t="s">
        <v>738</v>
      </c>
      <c r="I167" s="4">
        <v>0</v>
      </c>
      <c r="J167" s="4">
        <v>1191.72</v>
      </c>
      <c r="K167" s="4">
        <f t="shared" si="7"/>
        <v>108.64000000000001</v>
      </c>
      <c r="L167" s="7">
        <f t="shared" si="8"/>
        <v>108.64000000000001</v>
      </c>
      <c r="M167" s="7">
        <f t="shared" si="9"/>
        <v>0</v>
      </c>
      <c r="N167" s="4">
        <v>7.54</v>
      </c>
      <c r="O167" s="4">
        <v>91.73</v>
      </c>
      <c r="P167" s="4">
        <v>71</v>
      </c>
      <c r="Q167" s="4">
        <v>21.6</v>
      </c>
      <c r="R167" s="4">
        <v>9.56</v>
      </c>
      <c r="S167" s="4">
        <v>17.899999999999999</v>
      </c>
      <c r="T167" s="4">
        <v>3.92</v>
      </c>
      <c r="U167" s="4">
        <v>4.5999999999999996</v>
      </c>
      <c r="V167" s="4">
        <v>3510.6</v>
      </c>
      <c r="W167" s="4">
        <v>1033.06</v>
      </c>
      <c r="X167" s="4">
        <v>1119.81</v>
      </c>
      <c r="Y167" s="4">
        <v>715.65</v>
      </c>
      <c r="Z167" s="4">
        <v>42.43</v>
      </c>
      <c r="AA167" s="4">
        <v>1.59</v>
      </c>
      <c r="AB167" s="4">
        <v>4.45</v>
      </c>
      <c r="AC167" s="4">
        <v>70.930000000000007</v>
      </c>
      <c r="AD167" s="4">
        <v>490</v>
      </c>
      <c r="AE167" s="4">
        <v>4700</v>
      </c>
      <c r="AF167" s="4">
        <v>68.77</v>
      </c>
      <c r="AG167" s="4">
        <v>0.47</v>
      </c>
      <c r="AH167" s="4">
        <v>19.09</v>
      </c>
      <c r="AI167" s="4">
        <v>132.63</v>
      </c>
      <c r="AJ167" s="4">
        <v>60</v>
      </c>
      <c r="AK167" s="4">
        <v>9</v>
      </c>
      <c r="AL167" s="4">
        <v>9</v>
      </c>
      <c r="AM167" s="4">
        <v>0.17</v>
      </c>
      <c r="AN167" s="4">
        <v>294</v>
      </c>
      <c r="AO167" s="4">
        <v>295.54000000000002</v>
      </c>
      <c r="AP167" s="4">
        <v>345823.77</v>
      </c>
      <c r="AQ167" s="4">
        <v>345823.77</v>
      </c>
      <c r="AR167" s="4" t="s">
        <v>739</v>
      </c>
      <c r="AS167" s="5">
        <f t="shared" si="0"/>
        <v>0</v>
      </c>
    </row>
    <row r="168" spans="1:45" ht="14.25" customHeight="1" x14ac:dyDescent="0.55000000000000004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f t="shared" si="7"/>
        <v>0</v>
      </c>
      <c r="L168" s="7">
        <f t="shared" si="8"/>
        <v>0</v>
      </c>
      <c r="M168" s="7">
        <f t="shared" si="9"/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5">
        <f t="shared" si="0"/>
        <v>0</v>
      </c>
    </row>
    <row r="169" spans="1:45" ht="14.25" customHeight="1" x14ac:dyDescent="0.55000000000000004">
      <c r="A169" s="4">
        <v>21.74</v>
      </c>
      <c r="B169" s="4">
        <v>31.49</v>
      </c>
      <c r="C169" s="4">
        <v>5462.6</v>
      </c>
      <c r="D169" s="4">
        <v>7.61</v>
      </c>
      <c r="E169" s="4" t="s">
        <v>740</v>
      </c>
      <c r="F169" s="4" t="s">
        <v>741</v>
      </c>
      <c r="G169" s="4" t="s">
        <v>742</v>
      </c>
      <c r="H169" s="4" t="s">
        <v>464</v>
      </c>
      <c r="I169" s="4">
        <v>0</v>
      </c>
      <c r="J169" s="4">
        <v>1124.25</v>
      </c>
      <c r="K169" s="4">
        <f t="shared" si="7"/>
        <v>91.91</v>
      </c>
      <c r="L169" s="7">
        <f t="shared" si="8"/>
        <v>91.91</v>
      </c>
      <c r="M169" s="7">
        <f t="shared" si="9"/>
        <v>0</v>
      </c>
      <c r="N169" s="4">
        <v>7.49</v>
      </c>
      <c r="O169" s="4">
        <v>90.35</v>
      </c>
      <c r="P169" s="4">
        <v>70</v>
      </c>
      <c r="Q169" s="4">
        <v>22.2</v>
      </c>
      <c r="R169" s="4">
        <v>9.75</v>
      </c>
      <c r="S169" s="4">
        <v>18.329999999999998</v>
      </c>
      <c r="T169" s="4">
        <v>3.41</v>
      </c>
      <c r="U169" s="4">
        <v>4.8600000000000003</v>
      </c>
      <c r="V169" s="4">
        <v>3496.06</v>
      </c>
      <c r="W169" s="4">
        <v>1029.5899999999999</v>
      </c>
      <c r="X169" s="4">
        <v>1125.54</v>
      </c>
      <c r="Y169" s="4">
        <v>715.05</v>
      </c>
      <c r="Z169" s="4">
        <v>45.91</v>
      </c>
      <c r="AA169" s="4">
        <v>1.57</v>
      </c>
      <c r="AB169" s="4">
        <v>4.47</v>
      </c>
      <c r="AC169" s="4">
        <v>74.099999999999994</v>
      </c>
      <c r="AD169" s="4">
        <v>490</v>
      </c>
      <c r="AE169" s="4">
        <v>4700</v>
      </c>
      <c r="AF169" s="4">
        <v>70.099999999999994</v>
      </c>
      <c r="AG169" s="4">
        <v>0.47</v>
      </c>
      <c r="AH169" s="4">
        <v>18.170000000000002</v>
      </c>
      <c r="AI169" s="4">
        <v>169.62</v>
      </c>
      <c r="AJ169" s="4">
        <v>60</v>
      </c>
      <c r="AK169" s="4">
        <v>9</v>
      </c>
      <c r="AL169" s="4">
        <v>9</v>
      </c>
      <c r="AM169" s="4">
        <v>0.13</v>
      </c>
      <c r="AN169" s="4">
        <v>294</v>
      </c>
      <c r="AO169" s="4">
        <v>295.2</v>
      </c>
      <c r="AP169" s="4">
        <v>329261.69</v>
      </c>
      <c r="AQ169" s="4">
        <v>329261.69</v>
      </c>
      <c r="AR169" s="4" t="s">
        <v>743</v>
      </c>
      <c r="AS169" s="5">
        <f t="shared" si="0"/>
        <v>0</v>
      </c>
    </row>
    <row r="170" spans="1:45" ht="14.25" customHeight="1" x14ac:dyDescent="0.55000000000000004">
      <c r="A170" s="4">
        <v>21.43</v>
      </c>
      <c r="B170" s="4">
        <v>31.64</v>
      </c>
      <c r="C170" s="4">
        <v>5582.41</v>
      </c>
      <c r="D170" s="4">
        <v>7.58</v>
      </c>
      <c r="E170" s="4" t="s">
        <v>744</v>
      </c>
      <c r="F170" s="4" t="s">
        <v>745</v>
      </c>
      <c r="G170" s="4" t="s">
        <v>695</v>
      </c>
      <c r="H170" s="4" t="s">
        <v>746</v>
      </c>
      <c r="I170" s="4">
        <v>0</v>
      </c>
      <c r="J170" s="4">
        <v>309.25</v>
      </c>
      <c r="K170" s="4">
        <f t="shared" si="7"/>
        <v>30.759999999999998</v>
      </c>
      <c r="L170" s="7">
        <f t="shared" si="8"/>
        <v>31.48</v>
      </c>
      <c r="M170" s="7">
        <f t="shared" si="9"/>
        <v>-0.72000000000000242</v>
      </c>
      <c r="N170" s="4">
        <v>6.87</v>
      </c>
      <c r="O170" s="4">
        <v>90.01</v>
      </c>
      <c r="P170" s="4">
        <v>62</v>
      </c>
      <c r="Q170" s="4">
        <v>22.4</v>
      </c>
      <c r="R170" s="4">
        <v>10.210000000000001</v>
      </c>
      <c r="S170" s="4">
        <v>17.440000000000001</v>
      </c>
      <c r="T170" s="4">
        <v>3.99</v>
      </c>
      <c r="U170" s="4">
        <v>18.05</v>
      </c>
      <c r="V170" s="4">
        <v>3572.74</v>
      </c>
      <c r="W170" s="4">
        <v>1095.71</v>
      </c>
      <c r="X170" s="4">
        <v>1681.12</v>
      </c>
      <c r="Y170" s="4">
        <v>855.23</v>
      </c>
      <c r="Z170" s="4">
        <v>6.35</v>
      </c>
      <c r="AA170" s="4">
        <v>1.73</v>
      </c>
      <c r="AB170" s="4">
        <v>4.12</v>
      </c>
      <c r="AC170" s="4">
        <v>71.92</v>
      </c>
      <c r="AD170" s="4">
        <v>490</v>
      </c>
      <c r="AE170" s="4">
        <v>4700</v>
      </c>
      <c r="AF170" s="4">
        <v>73.430000000000007</v>
      </c>
      <c r="AG170" s="4">
        <v>0.47</v>
      </c>
      <c r="AH170" s="4">
        <v>4.3099999999999996</v>
      </c>
      <c r="AI170" s="4">
        <v>70.12</v>
      </c>
      <c r="AJ170" s="4">
        <v>60</v>
      </c>
      <c r="AK170" s="4">
        <v>9</v>
      </c>
      <c r="AL170" s="4">
        <v>9</v>
      </c>
      <c r="AM170" s="4">
        <v>0.32</v>
      </c>
      <c r="AN170" s="4">
        <v>294</v>
      </c>
      <c r="AO170" s="4">
        <v>296.91000000000003</v>
      </c>
      <c r="AP170" s="4">
        <v>295985.25</v>
      </c>
      <c r="AQ170" s="4">
        <v>84850.14</v>
      </c>
      <c r="AR170" s="4" t="s">
        <v>747</v>
      </c>
      <c r="AS170" s="5">
        <f t="shared" si="0"/>
        <v>12.051090753424656</v>
      </c>
    </row>
    <row r="171" spans="1:45" ht="14.25" customHeight="1" x14ac:dyDescent="0.55000000000000004">
      <c r="A171" s="4">
        <v>20.65</v>
      </c>
      <c r="B171" s="4">
        <v>30.33</v>
      </c>
      <c r="C171" s="4">
        <v>5519.42</v>
      </c>
      <c r="D171" s="4">
        <v>7.58</v>
      </c>
      <c r="E171" s="4" t="s">
        <v>748</v>
      </c>
      <c r="F171" s="4" t="s">
        <v>749</v>
      </c>
      <c r="G171" s="4" t="s">
        <v>750</v>
      </c>
      <c r="H171" s="4" t="s">
        <v>751</v>
      </c>
      <c r="I171" s="4">
        <v>0</v>
      </c>
      <c r="J171" s="4">
        <v>1136.3699999999999</v>
      </c>
      <c r="K171" s="4">
        <f t="shared" si="7"/>
        <v>75.94</v>
      </c>
      <c r="L171" s="7">
        <f t="shared" si="8"/>
        <v>86.960000000000008</v>
      </c>
      <c r="M171" s="7">
        <f t="shared" si="9"/>
        <v>-11.02000000000001</v>
      </c>
      <c r="N171" s="4">
        <v>7.52</v>
      </c>
      <c r="O171" s="4">
        <v>91.52</v>
      </c>
      <c r="P171" s="4">
        <v>73</v>
      </c>
      <c r="Q171" s="4">
        <v>18.600000000000001</v>
      </c>
      <c r="R171" s="4">
        <v>9.68</v>
      </c>
      <c r="S171" s="4">
        <v>15.34</v>
      </c>
      <c r="T171" s="4">
        <v>5.31</v>
      </c>
      <c r="U171" s="4">
        <v>4.8600000000000003</v>
      </c>
      <c r="V171" s="4">
        <v>3532.43</v>
      </c>
      <c r="W171" s="4">
        <v>1041.73</v>
      </c>
      <c r="X171" s="4">
        <v>1146.79</v>
      </c>
      <c r="Y171" s="4">
        <v>725.73</v>
      </c>
      <c r="Z171" s="4">
        <v>4.8</v>
      </c>
      <c r="AA171" s="4">
        <v>1.53</v>
      </c>
      <c r="AB171" s="4">
        <v>4.5199999999999996</v>
      </c>
      <c r="AC171" s="4">
        <v>64.58</v>
      </c>
      <c r="AD171" s="4">
        <v>490</v>
      </c>
      <c r="AE171" s="4">
        <v>4700</v>
      </c>
      <c r="AF171" s="4">
        <v>69.59</v>
      </c>
      <c r="AG171" s="4">
        <v>0.47</v>
      </c>
      <c r="AH171" s="4">
        <v>18.04</v>
      </c>
      <c r="AI171" s="4">
        <v>21.48</v>
      </c>
      <c r="AJ171" s="4">
        <v>60</v>
      </c>
      <c r="AK171" s="4">
        <v>9</v>
      </c>
      <c r="AL171" s="4">
        <v>9</v>
      </c>
      <c r="AM171" s="4">
        <v>1.05</v>
      </c>
      <c r="AN171" s="4">
        <v>294</v>
      </c>
      <c r="AO171" s="4">
        <v>303.49</v>
      </c>
      <c r="AP171" s="4">
        <v>285782.21000000002</v>
      </c>
      <c r="AQ171" s="4">
        <v>243526.42</v>
      </c>
      <c r="AR171" s="4" t="s">
        <v>752</v>
      </c>
      <c r="AS171" s="5">
        <f t="shared" si="0"/>
        <v>2.4118601598173521</v>
      </c>
    </row>
    <row r="172" spans="1:45" ht="14.25" customHeight="1" x14ac:dyDescent="0.55000000000000004">
      <c r="A172" s="4">
        <v>22.24</v>
      </c>
      <c r="B172" s="4">
        <v>31.7</v>
      </c>
      <c r="C172" s="4">
        <v>5470.51</v>
      </c>
      <c r="D172" s="4">
        <v>7.6</v>
      </c>
      <c r="E172" s="4" t="s">
        <v>753</v>
      </c>
      <c r="F172" s="4" t="s">
        <v>754</v>
      </c>
      <c r="G172" s="4" t="s">
        <v>755</v>
      </c>
      <c r="H172" s="4" t="s">
        <v>756</v>
      </c>
      <c r="I172" s="4">
        <v>0</v>
      </c>
      <c r="J172" s="4">
        <v>756.64</v>
      </c>
      <c r="K172" s="4">
        <f t="shared" si="7"/>
        <v>48.75</v>
      </c>
      <c r="L172" s="7">
        <f t="shared" si="8"/>
        <v>56.099999999999994</v>
      </c>
      <c r="M172" s="7">
        <f t="shared" si="9"/>
        <v>-7.3499999999999943</v>
      </c>
      <c r="N172" s="4">
        <v>7.21</v>
      </c>
      <c r="O172" s="4">
        <v>91.37</v>
      </c>
      <c r="P172" s="4">
        <v>75</v>
      </c>
      <c r="Q172" s="4">
        <v>21.6</v>
      </c>
      <c r="R172" s="4">
        <v>9.4600000000000009</v>
      </c>
      <c r="S172" s="4">
        <v>18.420000000000002</v>
      </c>
      <c r="T172" s="4">
        <v>3.82</v>
      </c>
      <c r="U172" s="4">
        <v>7.23</v>
      </c>
      <c r="V172" s="4">
        <v>3501.13</v>
      </c>
      <c r="W172" s="4">
        <v>1039.27</v>
      </c>
      <c r="X172" s="4">
        <v>1225.46</v>
      </c>
      <c r="Y172" s="4">
        <v>739.34</v>
      </c>
      <c r="Z172" s="4">
        <v>5.21</v>
      </c>
      <c r="AA172" s="4">
        <v>1.61</v>
      </c>
      <c r="AB172" s="4">
        <v>4.38</v>
      </c>
      <c r="AC172" s="4">
        <v>71.23</v>
      </c>
      <c r="AD172" s="4">
        <v>490</v>
      </c>
      <c r="AE172" s="4">
        <v>4700</v>
      </c>
      <c r="AF172" s="4">
        <v>68.010000000000005</v>
      </c>
      <c r="AG172" s="4">
        <v>0.47</v>
      </c>
      <c r="AH172" s="4">
        <v>10.92</v>
      </c>
      <c r="AI172" s="4">
        <v>36.31</v>
      </c>
      <c r="AJ172" s="4">
        <v>60</v>
      </c>
      <c r="AK172" s="4">
        <v>9</v>
      </c>
      <c r="AL172" s="4">
        <v>9</v>
      </c>
      <c r="AM172" s="4">
        <v>0.62</v>
      </c>
      <c r="AN172" s="4">
        <v>294</v>
      </c>
      <c r="AO172" s="4">
        <v>299.61</v>
      </c>
      <c r="AP172" s="4">
        <v>290843.5</v>
      </c>
      <c r="AQ172" s="4">
        <v>171405.18</v>
      </c>
      <c r="AR172" s="4" t="s">
        <v>757</v>
      </c>
      <c r="AS172" s="5">
        <f t="shared" si="0"/>
        <v>6.8172557077625573</v>
      </c>
    </row>
    <row r="173" spans="1:45" ht="14.25" customHeight="1" x14ac:dyDescent="0.55000000000000004">
      <c r="A173" s="4">
        <v>20.11</v>
      </c>
      <c r="B173" s="4">
        <v>29.76</v>
      </c>
      <c r="C173" s="4">
        <v>5496.71</v>
      </c>
      <c r="D173" s="4">
        <v>7.6</v>
      </c>
      <c r="E173" s="4" t="s">
        <v>758</v>
      </c>
      <c r="F173" s="4" t="s">
        <v>759</v>
      </c>
      <c r="G173" s="4" t="s">
        <v>729</v>
      </c>
      <c r="H173" s="4" t="s">
        <v>760</v>
      </c>
      <c r="I173" s="4">
        <v>0</v>
      </c>
      <c r="J173" s="4">
        <v>1143.74</v>
      </c>
      <c r="K173" s="4">
        <f t="shared" si="7"/>
        <v>77.53</v>
      </c>
      <c r="L173" s="7">
        <f t="shared" si="8"/>
        <v>82.63</v>
      </c>
      <c r="M173" s="7">
        <f t="shared" si="9"/>
        <v>-5.0999999999999943</v>
      </c>
      <c r="N173" s="4">
        <v>7.53</v>
      </c>
      <c r="O173" s="4">
        <v>92.15</v>
      </c>
      <c r="P173" s="4">
        <v>62</v>
      </c>
      <c r="Q173" s="4">
        <v>19.8</v>
      </c>
      <c r="R173" s="4">
        <v>9.65</v>
      </c>
      <c r="S173" s="4">
        <v>15.09</v>
      </c>
      <c r="T173" s="4">
        <v>5.03</v>
      </c>
      <c r="U173" s="4">
        <v>4.8099999999999996</v>
      </c>
      <c r="V173" s="4">
        <v>3517.89</v>
      </c>
      <c r="W173" s="4">
        <v>1037.3399999999999</v>
      </c>
      <c r="X173" s="4">
        <v>1140.8399999999999</v>
      </c>
      <c r="Y173" s="4">
        <v>722.45</v>
      </c>
      <c r="Z173" s="4">
        <v>5.16</v>
      </c>
      <c r="AA173" s="4">
        <v>1.53</v>
      </c>
      <c r="AB173" s="4">
        <v>4.53</v>
      </c>
      <c r="AC173" s="4">
        <v>65.739999999999995</v>
      </c>
      <c r="AD173" s="4">
        <v>490</v>
      </c>
      <c r="AE173" s="4">
        <v>4700</v>
      </c>
      <c r="AF173" s="4">
        <v>69.37</v>
      </c>
      <c r="AG173" s="4">
        <v>0.47</v>
      </c>
      <c r="AH173" s="4">
        <v>18.23</v>
      </c>
      <c r="AI173" s="4">
        <v>22.6</v>
      </c>
      <c r="AJ173" s="4">
        <v>60</v>
      </c>
      <c r="AK173" s="4">
        <v>9</v>
      </c>
      <c r="AL173" s="4">
        <v>9</v>
      </c>
      <c r="AM173" s="4">
        <v>1</v>
      </c>
      <c r="AN173" s="4">
        <v>294</v>
      </c>
      <c r="AO173" s="4">
        <v>303.02</v>
      </c>
      <c r="AP173" s="4">
        <v>339499.87</v>
      </c>
      <c r="AQ173" s="4">
        <v>227036.39</v>
      </c>
      <c r="AR173" s="4" t="s">
        <v>761</v>
      </c>
      <c r="AS173" s="5">
        <f t="shared" si="0"/>
        <v>6.4191484018264831</v>
      </c>
    </row>
    <row r="174" spans="1:45" ht="14.25" customHeight="1" x14ac:dyDescent="0.55000000000000004">
      <c r="A174" s="4">
        <v>20.55</v>
      </c>
      <c r="B174" s="4">
        <v>30.04</v>
      </c>
      <c r="C174" s="4">
        <v>5515.69</v>
      </c>
      <c r="D174" s="4">
        <v>7.61</v>
      </c>
      <c r="E174" s="4" t="s">
        <v>762</v>
      </c>
      <c r="F174" s="4" t="s">
        <v>763</v>
      </c>
      <c r="G174" s="4" t="s">
        <v>764</v>
      </c>
      <c r="H174" s="4" t="s">
        <v>765</v>
      </c>
      <c r="I174" s="4">
        <v>0</v>
      </c>
      <c r="J174" s="4">
        <v>879.52</v>
      </c>
      <c r="K174" s="4">
        <f t="shared" si="7"/>
        <v>46.41</v>
      </c>
      <c r="L174" s="7">
        <f t="shared" si="8"/>
        <v>51.81</v>
      </c>
      <c r="M174" s="7">
        <f t="shared" si="9"/>
        <v>-5.4000000000000057</v>
      </c>
      <c r="N174" s="4">
        <v>7.34</v>
      </c>
      <c r="O174" s="4">
        <v>92.41</v>
      </c>
      <c r="P174" s="4">
        <v>73</v>
      </c>
      <c r="Q174" s="4">
        <v>18.7</v>
      </c>
      <c r="R174" s="4">
        <v>9.49</v>
      </c>
      <c r="S174" s="4">
        <v>15.43</v>
      </c>
      <c r="T174" s="4">
        <v>5.1100000000000003</v>
      </c>
      <c r="U174" s="4">
        <v>6.27</v>
      </c>
      <c r="V174" s="4">
        <v>3530.04</v>
      </c>
      <c r="W174" s="4">
        <v>1047.58</v>
      </c>
      <c r="X174" s="4">
        <v>1216.8900000000001</v>
      </c>
      <c r="Y174" s="4">
        <v>743.01</v>
      </c>
      <c r="Z174" s="4">
        <v>5.37</v>
      </c>
      <c r="AA174" s="4">
        <v>1.59</v>
      </c>
      <c r="AB174" s="4">
        <v>4.43</v>
      </c>
      <c r="AC174" s="4">
        <v>64.98</v>
      </c>
      <c r="AD174" s="4">
        <v>490</v>
      </c>
      <c r="AE174" s="4">
        <v>4700</v>
      </c>
      <c r="AF174" s="4">
        <v>68.239999999999995</v>
      </c>
      <c r="AG174" s="4">
        <v>0.47</v>
      </c>
      <c r="AH174" s="4">
        <v>12.95</v>
      </c>
      <c r="AI174" s="4">
        <v>39.32</v>
      </c>
      <c r="AJ174" s="4">
        <v>60</v>
      </c>
      <c r="AK174" s="4">
        <v>9</v>
      </c>
      <c r="AL174" s="4">
        <v>9</v>
      </c>
      <c r="AM174" s="4">
        <v>0.57999999999999996</v>
      </c>
      <c r="AN174" s="4">
        <v>294</v>
      </c>
      <c r="AO174" s="4">
        <v>299.18</v>
      </c>
      <c r="AP174" s="4">
        <v>244442.31</v>
      </c>
      <c r="AQ174" s="4">
        <v>152709.63</v>
      </c>
      <c r="AR174" s="4" t="s">
        <v>766</v>
      </c>
      <c r="AS174" s="5">
        <f t="shared" si="0"/>
        <v>5.2358835616438348</v>
      </c>
    </row>
    <row r="175" spans="1:45" ht="14.25" customHeight="1" x14ac:dyDescent="0.55000000000000004">
      <c r="A175" s="4">
        <v>19.760000000000002</v>
      </c>
      <c r="B175" s="4">
        <v>29.84</v>
      </c>
      <c r="C175" s="4">
        <v>5516</v>
      </c>
      <c r="D175" s="4">
        <v>7.6</v>
      </c>
      <c r="E175" s="4" t="s">
        <v>767</v>
      </c>
      <c r="F175" s="4" t="s">
        <v>768</v>
      </c>
      <c r="G175" s="4" t="s">
        <v>315</v>
      </c>
      <c r="H175" s="4" t="s">
        <v>769</v>
      </c>
      <c r="I175" s="4">
        <v>0</v>
      </c>
      <c r="J175" s="4">
        <v>1042.19</v>
      </c>
      <c r="K175" s="4">
        <f t="shared" si="7"/>
        <v>64.75</v>
      </c>
      <c r="L175" s="7">
        <f t="shared" si="8"/>
        <v>67.77</v>
      </c>
      <c r="M175" s="7">
        <f t="shared" si="9"/>
        <v>-3.019999999999996</v>
      </c>
      <c r="N175" s="4">
        <v>7.48</v>
      </c>
      <c r="O175" s="4">
        <v>91.91</v>
      </c>
      <c r="P175" s="4">
        <v>61</v>
      </c>
      <c r="Q175" s="4">
        <v>20</v>
      </c>
      <c r="R175" s="4">
        <v>10.08</v>
      </c>
      <c r="S175" s="4">
        <v>15.14</v>
      </c>
      <c r="T175" s="4">
        <v>4.62</v>
      </c>
      <c r="U175" s="4">
        <v>5.29</v>
      </c>
      <c r="V175" s="4">
        <v>3530.24</v>
      </c>
      <c r="W175" s="4">
        <v>1044.54</v>
      </c>
      <c r="X175" s="4">
        <v>1178.3599999999999</v>
      </c>
      <c r="Y175" s="4">
        <v>734.09</v>
      </c>
      <c r="Z175" s="4">
        <v>5.73</v>
      </c>
      <c r="AA175" s="4">
        <v>1.55</v>
      </c>
      <c r="AB175" s="4">
        <v>4.51</v>
      </c>
      <c r="AC175" s="4">
        <v>68.569999999999993</v>
      </c>
      <c r="AD175" s="4">
        <v>490</v>
      </c>
      <c r="AE175" s="4">
        <v>4700</v>
      </c>
      <c r="AF175" s="4">
        <v>72.5</v>
      </c>
      <c r="AG175" s="4">
        <v>0.47</v>
      </c>
      <c r="AH175" s="4">
        <v>16.89</v>
      </c>
      <c r="AI175" s="4">
        <v>30.07</v>
      </c>
      <c r="AJ175" s="4">
        <v>60</v>
      </c>
      <c r="AK175" s="4">
        <v>9</v>
      </c>
      <c r="AL175" s="4">
        <v>9</v>
      </c>
      <c r="AM175" s="4">
        <v>0.75</v>
      </c>
      <c r="AN175" s="4">
        <v>294</v>
      </c>
      <c r="AO175" s="4">
        <v>300.77999999999997</v>
      </c>
      <c r="AP175" s="4">
        <v>311641.18</v>
      </c>
      <c r="AQ175" s="4">
        <v>208156.36</v>
      </c>
      <c r="AR175" s="4" t="s">
        <v>770</v>
      </c>
      <c r="AS175" s="5">
        <f t="shared" si="0"/>
        <v>5.9066678082191784</v>
      </c>
    </row>
    <row r="176" spans="1:45" ht="14.25" customHeight="1" x14ac:dyDescent="0.55000000000000004">
      <c r="A176" s="4">
        <v>20.32</v>
      </c>
      <c r="B176" s="4">
        <v>29.9</v>
      </c>
      <c r="C176" s="4">
        <v>5471.12</v>
      </c>
      <c r="D176" s="4">
        <v>7.6</v>
      </c>
      <c r="E176" s="4" t="s">
        <v>771</v>
      </c>
      <c r="F176" s="4" t="s">
        <v>772</v>
      </c>
      <c r="G176" s="4" t="s">
        <v>773</v>
      </c>
      <c r="H176" s="4" t="s">
        <v>774</v>
      </c>
      <c r="I176" s="4">
        <v>0</v>
      </c>
      <c r="J176" s="4">
        <v>1109.96</v>
      </c>
      <c r="K176" s="4">
        <f t="shared" si="7"/>
        <v>71.06</v>
      </c>
      <c r="L176" s="7">
        <f t="shared" si="8"/>
        <v>74.17</v>
      </c>
      <c r="M176" s="7">
        <f t="shared" si="9"/>
        <v>-3.1099999999999994</v>
      </c>
      <c r="N176" s="4">
        <v>7.5</v>
      </c>
      <c r="O176" s="4">
        <v>92.26</v>
      </c>
      <c r="P176" s="4">
        <v>60</v>
      </c>
      <c r="Q176" s="4">
        <v>20.3</v>
      </c>
      <c r="R176" s="4">
        <v>9.58</v>
      </c>
      <c r="S176" s="4">
        <v>15.28</v>
      </c>
      <c r="T176" s="4">
        <v>5.04</v>
      </c>
      <c r="U176" s="4">
        <v>4.93</v>
      </c>
      <c r="V176" s="4">
        <v>3501.52</v>
      </c>
      <c r="W176" s="4">
        <v>1033.06</v>
      </c>
      <c r="X176" s="4">
        <v>1141.8699999999999</v>
      </c>
      <c r="Y176" s="4">
        <v>720.62</v>
      </c>
      <c r="Z176" s="4">
        <v>5.75</v>
      </c>
      <c r="AA176" s="4">
        <v>1.54</v>
      </c>
      <c r="AB176" s="4">
        <v>4.5199999999999996</v>
      </c>
      <c r="AC176" s="4">
        <v>65.52</v>
      </c>
      <c r="AD176" s="4">
        <v>490</v>
      </c>
      <c r="AE176" s="4">
        <v>4700</v>
      </c>
      <c r="AF176" s="4">
        <v>68.87</v>
      </c>
      <c r="AG176" s="4">
        <v>0.47</v>
      </c>
      <c r="AH176" s="4">
        <v>17.53</v>
      </c>
      <c r="AI176" s="4">
        <v>27.47</v>
      </c>
      <c r="AJ176" s="4">
        <v>60</v>
      </c>
      <c r="AK176" s="4">
        <v>9</v>
      </c>
      <c r="AL176" s="4">
        <v>9</v>
      </c>
      <c r="AM176" s="4">
        <v>0.82</v>
      </c>
      <c r="AN176" s="4">
        <v>294</v>
      </c>
      <c r="AO176" s="4">
        <v>301.42</v>
      </c>
      <c r="AP176" s="4">
        <v>327050.17</v>
      </c>
      <c r="AQ176" s="4">
        <v>251783.54</v>
      </c>
      <c r="AR176" s="4" t="s">
        <v>775</v>
      </c>
      <c r="AS176" s="5">
        <f t="shared" si="0"/>
        <v>4.2960405251141536</v>
      </c>
    </row>
    <row r="177" spans="1:45" ht="14.25" customHeight="1" x14ac:dyDescent="0.55000000000000004">
      <c r="A177" s="4">
        <v>20.12</v>
      </c>
      <c r="B177" s="4">
        <v>30.02</v>
      </c>
      <c r="C177" s="4">
        <v>5478.18</v>
      </c>
      <c r="D177" s="4">
        <v>7.61</v>
      </c>
      <c r="E177" s="4" t="s">
        <v>776</v>
      </c>
      <c r="F177" s="4" t="s">
        <v>777</v>
      </c>
      <c r="G177" s="4" t="s">
        <v>778</v>
      </c>
      <c r="H177" s="4" t="s">
        <v>779</v>
      </c>
      <c r="I177" s="4">
        <v>0</v>
      </c>
      <c r="J177" s="4">
        <v>1023.41</v>
      </c>
      <c r="K177" s="4">
        <f t="shared" si="7"/>
        <v>61.12</v>
      </c>
      <c r="L177" s="7">
        <f t="shared" si="8"/>
        <v>63.499999999999993</v>
      </c>
      <c r="M177" s="7">
        <f t="shared" si="9"/>
        <v>-2.3799999999999955</v>
      </c>
      <c r="N177" s="4">
        <v>7.46</v>
      </c>
      <c r="O177" s="4">
        <v>92.17</v>
      </c>
      <c r="P177" s="4">
        <v>61</v>
      </c>
      <c r="Q177" s="4">
        <v>20.2</v>
      </c>
      <c r="R177" s="4">
        <v>9.9</v>
      </c>
      <c r="S177" s="4">
        <v>15.32</v>
      </c>
      <c r="T177" s="4">
        <v>4.8</v>
      </c>
      <c r="U177" s="4">
        <v>5.35</v>
      </c>
      <c r="V177" s="4">
        <v>3506.04</v>
      </c>
      <c r="W177" s="4">
        <v>1037.42</v>
      </c>
      <c r="X177" s="4">
        <v>1172.23</v>
      </c>
      <c r="Y177" s="4">
        <v>729.35</v>
      </c>
      <c r="Z177" s="4">
        <v>5.78</v>
      </c>
      <c r="AA177" s="4">
        <v>1.56</v>
      </c>
      <c r="AB177" s="4">
        <v>4.49</v>
      </c>
      <c r="AC177" s="4">
        <v>67.34</v>
      </c>
      <c r="AD177" s="4">
        <v>490</v>
      </c>
      <c r="AE177" s="4">
        <v>4700</v>
      </c>
      <c r="AF177" s="4">
        <v>71.180000000000007</v>
      </c>
      <c r="AG177" s="4">
        <v>0.47</v>
      </c>
      <c r="AH177" s="4">
        <v>16.350000000000001</v>
      </c>
      <c r="AI177" s="4">
        <v>32.090000000000003</v>
      </c>
      <c r="AJ177" s="4">
        <v>60</v>
      </c>
      <c r="AK177" s="4">
        <v>9</v>
      </c>
      <c r="AL177" s="4">
        <v>9</v>
      </c>
      <c r="AM177" s="4">
        <v>0.71</v>
      </c>
      <c r="AN177" s="4">
        <v>294</v>
      </c>
      <c r="AO177" s="4">
        <v>300.35000000000002</v>
      </c>
      <c r="AP177" s="4">
        <v>307111.95</v>
      </c>
      <c r="AQ177" s="4">
        <v>194571.9</v>
      </c>
      <c r="AR177" s="4" t="s">
        <v>780</v>
      </c>
      <c r="AS177" s="5">
        <f t="shared" si="0"/>
        <v>6.4235188356164397</v>
      </c>
    </row>
    <row r="178" spans="1:45" ht="14.25" customHeight="1" x14ac:dyDescent="0.55000000000000004">
      <c r="A178" s="4">
        <v>20.56</v>
      </c>
      <c r="B178" s="4">
        <v>30.11</v>
      </c>
      <c r="C178" s="4">
        <v>5500.84</v>
      </c>
      <c r="D178" s="4">
        <v>7.6</v>
      </c>
      <c r="E178" s="4" t="s">
        <v>781</v>
      </c>
      <c r="F178" s="4" t="s">
        <v>782</v>
      </c>
      <c r="G178" s="4" t="s">
        <v>783</v>
      </c>
      <c r="H178" s="4" t="s">
        <v>784</v>
      </c>
      <c r="I178" s="4">
        <v>0</v>
      </c>
      <c r="J178" s="4">
        <v>1194.5</v>
      </c>
      <c r="K178" s="4">
        <f t="shared" si="7"/>
        <v>88.84</v>
      </c>
      <c r="L178" s="7">
        <f t="shared" si="8"/>
        <v>88.84</v>
      </c>
      <c r="M178" s="7">
        <f t="shared" si="9"/>
        <v>0</v>
      </c>
      <c r="N178" s="4">
        <v>7.56</v>
      </c>
      <c r="O178" s="4">
        <v>92.06</v>
      </c>
      <c r="P178" s="4">
        <v>73</v>
      </c>
      <c r="Q178" s="4">
        <v>19.2</v>
      </c>
      <c r="R178" s="4">
        <v>9.5399999999999991</v>
      </c>
      <c r="S178" s="4">
        <v>15.9</v>
      </c>
      <c r="T178" s="4">
        <v>4.66</v>
      </c>
      <c r="U178" s="4">
        <v>4.6100000000000003</v>
      </c>
      <c r="V178" s="4">
        <v>3520.54</v>
      </c>
      <c r="W178" s="4">
        <v>1037.19</v>
      </c>
      <c r="X178" s="4">
        <v>1131.53</v>
      </c>
      <c r="Y178" s="4">
        <v>720.45</v>
      </c>
      <c r="Z178" s="4">
        <v>18.07</v>
      </c>
      <c r="AA178" s="4">
        <v>1.54</v>
      </c>
      <c r="AB178" s="4">
        <v>4.5199999999999996</v>
      </c>
      <c r="AC178" s="4">
        <v>67.2</v>
      </c>
      <c r="AD178" s="4">
        <v>490</v>
      </c>
      <c r="AE178" s="4">
        <v>4700</v>
      </c>
      <c r="AF178" s="4">
        <v>68.63</v>
      </c>
      <c r="AG178" s="4">
        <v>0.47</v>
      </c>
      <c r="AH178" s="4">
        <v>19.04</v>
      </c>
      <c r="AI178" s="4">
        <v>69.09</v>
      </c>
      <c r="AJ178" s="4">
        <v>60</v>
      </c>
      <c r="AK178" s="4">
        <v>9</v>
      </c>
      <c r="AL178" s="4">
        <v>9</v>
      </c>
      <c r="AM178" s="4">
        <v>0.33</v>
      </c>
      <c r="AN178" s="4">
        <v>294</v>
      </c>
      <c r="AO178" s="4">
        <v>296.95</v>
      </c>
      <c r="AP178" s="4">
        <v>298069.33</v>
      </c>
      <c r="AQ178" s="4">
        <v>298069.33</v>
      </c>
      <c r="AR178" s="4" t="s">
        <v>785</v>
      </c>
      <c r="AS178" s="5">
        <f t="shared" si="0"/>
        <v>0</v>
      </c>
    </row>
    <row r="179" spans="1:45" ht="14.25" customHeight="1" x14ac:dyDescent="0.55000000000000004">
      <c r="A179" s="4">
        <v>20.6</v>
      </c>
      <c r="B179" s="4">
        <v>30.07</v>
      </c>
      <c r="C179" s="4">
        <v>5467.78</v>
      </c>
      <c r="D179" s="4">
        <v>7.6</v>
      </c>
      <c r="E179" s="4" t="s">
        <v>786</v>
      </c>
      <c r="F179" s="4" t="s">
        <v>787</v>
      </c>
      <c r="G179" s="4" t="s">
        <v>788</v>
      </c>
      <c r="H179" s="4" t="s">
        <v>789</v>
      </c>
      <c r="I179" s="4">
        <v>0</v>
      </c>
      <c r="J179" s="4">
        <v>1140.71</v>
      </c>
      <c r="K179" s="4">
        <f t="shared" si="7"/>
        <v>77.23</v>
      </c>
      <c r="L179" s="7">
        <f t="shared" si="8"/>
        <v>89.289999999999992</v>
      </c>
      <c r="M179" s="7">
        <f t="shared" si="9"/>
        <v>-12.059999999999988</v>
      </c>
      <c r="N179" s="4">
        <v>7.53</v>
      </c>
      <c r="O179" s="4">
        <v>92.91</v>
      </c>
      <c r="P179" s="4">
        <v>74</v>
      </c>
      <c r="Q179" s="4">
        <v>18.399999999999999</v>
      </c>
      <c r="R179" s="4">
        <v>9.4700000000000006</v>
      </c>
      <c r="S179" s="4">
        <v>15.27</v>
      </c>
      <c r="T179" s="4">
        <v>5.32</v>
      </c>
      <c r="U179" s="4">
        <v>4.79</v>
      </c>
      <c r="V179" s="4">
        <v>3499.38</v>
      </c>
      <c r="W179" s="4">
        <v>1032.04</v>
      </c>
      <c r="X179" s="4">
        <v>1136.21</v>
      </c>
      <c r="Y179" s="4">
        <v>719.05</v>
      </c>
      <c r="Z179" s="4">
        <v>4.76</v>
      </c>
      <c r="AA179" s="4">
        <v>1.54</v>
      </c>
      <c r="AB179" s="4">
        <v>4.5199999999999996</v>
      </c>
      <c r="AC179" s="4">
        <v>64.010000000000005</v>
      </c>
      <c r="AD179" s="4">
        <v>490</v>
      </c>
      <c r="AE179" s="4">
        <v>4700</v>
      </c>
      <c r="AF179" s="4">
        <v>68.099999999999994</v>
      </c>
      <c r="AG179" s="4">
        <v>0.47</v>
      </c>
      <c r="AH179" s="4">
        <v>17.95</v>
      </c>
      <c r="AI179" s="4">
        <v>20.91</v>
      </c>
      <c r="AJ179" s="4">
        <v>60</v>
      </c>
      <c r="AK179" s="4">
        <v>9</v>
      </c>
      <c r="AL179" s="4">
        <v>9</v>
      </c>
      <c r="AM179" s="4">
        <v>1.08</v>
      </c>
      <c r="AN179" s="4">
        <v>294</v>
      </c>
      <c r="AO179" s="4">
        <v>303.74</v>
      </c>
      <c r="AP179" s="4">
        <v>280583.24</v>
      </c>
      <c r="AQ179" s="4">
        <v>250184.4</v>
      </c>
      <c r="AR179" s="4" t="s">
        <v>790</v>
      </c>
      <c r="AS179" s="5">
        <f t="shared" si="0"/>
        <v>1.735093607305936</v>
      </c>
    </row>
    <row r="180" spans="1:45" ht="14.25" customHeight="1" x14ac:dyDescent="0.55000000000000004">
      <c r="A180" s="4">
        <v>20.74</v>
      </c>
      <c r="B180" s="4">
        <v>30.09</v>
      </c>
      <c r="C180" s="4">
        <v>5498.27</v>
      </c>
      <c r="D180" s="4">
        <v>7.61</v>
      </c>
      <c r="E180" s="4" t="s">
        <v>791</v>
      </c>
      <c r="F180" s="4" t="s">
        <v>792</v>
      </c>
      <c r="G180" s="4" t="s">
        <v>793</v>
      </c>
      <c r="H180" s="4" t="s">
        <v>794</v>
      </c>
      <c r="I180" s="4">
        <v>0</v>
      </c>
      <c r="J180" s="4">
        <v>677.65</v>
      </c>
      <c r="K180" s="4">
        <f t="shared" si="7"/>
        <v>35.39</v>
      </c>
      <c r="L180" s="7">
        <f t="shared" si="8"/>
        <v>39.99</v>
      </c>
      <c r="M180" s="7">
        <f t="shared" si="9"/>
        <v>-4.6000000000000014</v>
      </c>
      <c r="N180" s="4">
        <v>7.2</v>
      </c>
      <c r="O180" s="4">
        <v>92.61</v>
      </c>
      <c r="P180" s="4">
        <v>82</v>
      </c>
      <c r="Q180" s="4">
        <v>18.399999999999999</v>
      </c>
      <c r="R180" s="4">
        <v>9.35</v>
      </c>
      <c r="S180" s="4">
        <v>16.23</v>
      </c>
      <c r="T180" s="4">
        <v>4.51</v>
      </c>
      <c r="U180" s="4">
        <v>8.11</v>
      </c>
      <c r="V180" s="4">
        <v>3518.89</v>
      </c>
      <c r="W180" s="4">
        <v>1052.2</v>
      </c>
      <c r="X180" s="4">
        <v>1301.1600000000001</v>
      </c>
      <c r="Y180" s="4">
        <v>762.4</v>
      </c>
      <c r="Z180" s="4">
        <v>5.31</v>
      </c>
      <c r="AA180" s="4">
        <v>1.62</v>
      </c>
      <c r="AB180" s="4">
        <v>4.37</v>
      </c>
      <c r="AC180" s="4">
        <v>67.45</v>
      </c>
      <c r="AD180" s="4">
        <v>490</v>
      </c>
      <c r="AE180" s="4">
        <v>4700</v>
      </c>
      <c r="AF180" s="4">
        <v>67.23</v>
      </c>
      <c r="AG180" s="4">
        <v>0.47</v>
      </c>
      <c r="AH180" s="4">
        <v>9.4499999999999993</v>
      </c>
      <c r="AI180" s="4">
        <v>50.94</v>
      </c>
      <c r="AJ180" s="4">
        <v>60</v>
      </c>
      <c r="AK180" s="4">
        <v>9</v>
      </c>
      <c r="AL180" s="4">
        <v>9</v>
      </c>
      <c r="AM180" s="4">
        <v>0.44</v>
      </c>
      <c r="AN180" s="4">
        <v>294</v>
      </c>
      <c r="AO180" s="4">
        <v>298</v>
      </c>
      <c r="AP180" s="4">
        <v>223499.88</v>
      </c>
      <c r="AQ180" s="4">
        <v>103038.52</v>
      </c>
      <c r="AR180" s="4" t="s">
        <v>795</v>
      </c>
      <c r="AS180" s="5">
        <f t="shared" si="0"/>
        <v>6.8756484018264841</v>
      </c>
    </row>
    <row r="181" spans="1:45" ht="14.25" customHeight="1" x14ac:dyDescent="0.55000000000000004">
      <c r="A181" s="4">
        <v>20.100000000000001</v>
      </c>
      <c r="B181" s="4">
        <v>29.89</v>
      </c>
      <c r="C181" s="4">
        <v>5544.27</v>
      </c>
      <c r="D181" s="4">
        <v>7.6</v>
      </c>
      <c r="E181" s="4" t="s">
        <v>796</v>
      </c>
      <c r="F181" s="4" t="s">
        <v>797</v>
      </c>
      <c r="G181" s="4" t="s">
        <v>798</v>
      </c>
      <c r="H181" s="4" t="s">
        <v>799</v>
      </c>
      <c r="I181" s="4">
        <v>0</v>
      </c>
      <c r="J181" s="4">
        <v>1140.9000000000001</v>
      </c>
      <c r="K181" s="4">
        <f t="shared" si="7"/>
        <v>77.800000000000011</v>
      </c>
      <c r="L181" s="7">
        <f t="shared" si="8"/>
        <v>83.02000000000001</v>
      </c>
      <c r="M181" s="7">
        <f t="shared" si="9"/>
        <v>-5.2199999999999989</v>
      </c>
      <c r="N181" s="4">
        <v>7.53</v>
      </c>
      <c r="O181" s="4">
        <v>91.62</v>
      </c>
      <c r="P181" s="4">
        <v>62</v>
      </c>
      <c r="Q181" s="4">
        <v>19.600000000000001</v>
      </c>
      <c r="R181" s="4">
        <v>9.7899999999999991</v>
      </c>
      <c r="S181" s="4">
        <v>14.9</v>
      </c>
      <c r="T181" s="4">
        <v>5.2</v>
      </c>
      <c r="U181" s="4">
        <v>4.8600000000000003</v>
      </c>
      <c r="V181" s="4">
        <v>3548.33</v>
      </c>
      <c r="W181" s="4">
        <v>1046.5899999999999</v>
      </c>
      <c r="X181" s="4">
        <v>1152.8800000000001</v>
      </c>
      <c r="Y181" s="4">
        <v>729.36</v>
      </c>
      <c r="Z181" s="4">
        <v>5.62</v>
      </c>
      <c r="AA181" s="4">
        <v>1.54</v>
      </c>
      <c r="AB181" s="4">
        <v>4.51</v>
      </c>
      <c r="AC181" s="4">
        <v>65.319999999999993</v>
      </c>
      <c r="AD181" s="4">
        <v>490</v>
      </c>
      <c r="AE181" s="4">
        <v>4700</v>
      </c>
      <c r="AF181" s="4">
        <v>70.38</v>
      </c>
      <c r="AG181" s="4">
        <v>0.47</v>
      </c>
      <c r="AH181" s="4">
        <v>18.239999999999998</v>
      </c>
      <c r="AI181" s="4">
        <v>24.54</v>
      </c>
      <c r="AJ181" s="4">
        <v>60</v>
      </c>
      <c r="AK181" s="4">
        <v>9</v>
      </c>
      <c r="AL181" s="4">
        <v>9</v>
      </c>
      <c r="AM181" s="4">
        <v>0.92</v>
      </c>
      <c r="AN181" s="4">
        <v>294</v>
      </c>
      <c r="AO181" s="4">
        <v>302.3</v>
      </c>
      <c r="AP181" s="4">
        <v>326498.59000000003</v>
      </c>
      <c r="AQ181" s="4">
        <v>286103.27</v>
      </c>
      <c r="AR181" s="4" t="s">
        <v>800</v>
      </c>
      <c r="AS181" s="5">
        <f t="shared" si="0"/>
        <v>2.30566894977169</v>
      </c>
    </row>
    <row r="182" spans="1:45" ht="14.25" customHeight="1" x14ac:dyDescent="0.55000000000000004">
      <c r="A182" s="4">
        <v>22.09</v>
      </c>
      <c r="B182" s="4">
        <v>31.63</v>
      </c>
      <c r="C182" s="4">
        <v>5449.19</v>
      </c>
      <c r="D182" s="4">
        <v>7.62</v>
      </c>
      <c r="E182" s="4" t="s">
        <v>801</v>
      </c>
      <c r="F182" s="4" t="s">
        <v>802</v>
      </c>
      <c r="G182" s="4" t="s">
        <v>803</v>
      </c>
      <c r="H182" s="4" t="s">
        <v>464</v>
      </c>
      <c r="I182" s="4">
        <v>0</v>
      </c>
      <c r="J182" s="4">
        <v>1060.8900000000001</v>
      </c>
      <c r="K182" s="4">
        <f t="shared" si="7"/>
        <v>79.22</v>
      </c>
      <c r="L182" s="7">
        <f t="shared" si="8"/>
        <v>79.22</v>
      </c>
      <c r="M182" s="7">
        <f t="shared" si="9"/>
        <v>0</v>
      </c>
      <c r="N182" s="4">
        <v>7.44</v>
      </c>
      <c r="O182" s="4">
        <v>91.09</v>
      </c>
      <c r="P182" s="4">
        <v>73</v>
      </c>
      <c r="Q182" s="4">
        <v>22.1</v>
      </c>
      <c r="R182" s="4">
        <v>9.5399999999999991</v>
      </c>
      <c r="S182" s="4">
        <v>18.63</v>
      </c>
      <c r="T182" s="4">
        <v>3.45</v>
      </c>
      <c r="U182" s="4">
        <v>5.14</v>
      </c>
      <c r="V182" s="4">
        <v>3487.48</v>
      </c>
      <c r="W182" s="4">
        <v>1027.94</v>
      </c>
      <c r="X182" s="4">
        <v>1133.9000000000001</v>
      </c>
      <c r="Y182" s="4">
        <v>715.85</v>
      </c>
      <c r="Z182" s="4">
        <v>39.67</v>
      </c>
      <c r="AA182" s="4">
        <v>1.59</v>
      </c>
      <c r="AB182" s="4">
        <v>4.4400000000000004</v>
      </c>
      <c r="AC182" s="4">
        <v>73.42</v>
      </c>
      <c r="AD182" s="4">
        <v>490</v>
      </c>
      <c r="AE182" s="4">
        <v>4700</v>
      </c>
      <c r="AF182" s="4">
        <v>68.61</v>
      </c>
      <c r="AG182" s="4">
        <v>0.47</v>
      </c>
      <c r="AH182" s="4">
        <v>16.59</v>
      </c>
      <c r="AI182" s="4">
        <v>170.06</v>
      </c>
      <c r="AJ182" s="4">
        <v>60</v>
      </c>
      <c r="AK182" s="4">
        <v>9</v>
      </c>
      <c r="AL182" s="4">
        <v>9</v>
      </c>
      <c r="AM182" s="4">
        <v>0.13</v>
      </c>
      <c r="AN182" s="4">
        <v>294</v>
      </c>
      <c r="AO182" s="4">
        <v>295.2</v>
      </c>
      <c r="AP182" s="4">
        <v>317387.56</v>
      </c>
      <c r="AQ182" s="4">
        <v>317387.56</v>
      </c>
      <c r="AR182" s="4" t="s">
        <v>804</v>
      </c>
      <c r="AS182" s="5">
        <f t="shared" si="0"/>
        <v>0</v>
      </c>
    </row>
    <row r="183" spans="1:45" ht="14.25" customHeight="1" x14ac:dyDescent="0.55000000000000004">
      <c r="A183" s="4">
        <v>21.53</v>
      </c>
      <c r="B183" s="4">
        <v>31.56</v>
      </c>
      <c r="C183" s="4">
        <v>5505.71</v>
      </c>
      <c r="D183" s="4">
        <v>7.62</v>
      </c>
      <c r="E183" s="4" t="s">
        <v>805</v>
      </c>
      <c r="F183" s="4" t="s">
        <v>802</v>
      </c>
      <c r="G183" s="4" t="s">
        <v>764</v>
      </c>
      <c r="H183" s="4" t="s">
        <v>806</v>
      </c>
      <c r="I183" s="4">
        <v>0</v>
      </c>
      <c r="J183" s="4">
        <v>1144.17</v>
      </c>
      <c r="K183" s="4">
        <f t="shared" si="7"/>
        <v>96.41</v>
      </c>
      <c r="L183" s="7">
        <f t="shared" si="8"/>
        <v>96.41</v>
      </c>
      <c r="M183" s="7">
        <f t="shared" si="9"/>
        <v>0</v>
      </c>
      <c r="N183" s="4">
        <v>7.5</v>
      </c>
      <c r="O183" s="4">
        <v>89.6</v>
      </c>
      <c r="P183" s="4">
        <v>68</v>
      </c>
      <c r="Q183" s="4">
        <v>22.1</v>
      </c>
      <c r="R183" s="4">
        <v>10.029999999999999</v>
      </c>
      <c r="S183" s="4">
        <v>17.97</v>
      </c>
      <c r="T183" s="4">
        <v>3.55</v>
      </c>
      <c r="U183" s="4">
        <v>4.8099999999999996</v>
      </c>
      <c r="V183" s="4">
        <v>3523.65</v>
      </c>
      <c r="W183" s="4">
        <v>1037.46</v>
      </c>
      <c r="X183" s="4">
        <v>1131.17</v>
      </c>
      <c r="Y183" s="4">
        <v>719.95</v>
      </c>
      <c r="Z183" s="4">
        <v>22.03</v>
      </c>
      <c r="AA183" s="4">
        <v>1.58</v>
      </c>
      <c r="AB183" s="4">
        <v>4.46</v>
      </c>
      <c r="AC183" s="4">
        <v>73.84</v>
      </c>
      <c r="AD183" s="4">
        <v>490</v>
      </c>
      <c r="AE183" s="4">
        <v>4700</v>
      </c>
      <c r="AF183" s="4">
        <v>72.13</v>
      </c>
      <c r="AG183" s="4">
        <v>0.47</v>
      </c>
      <c r="AH183" s="4">
        <v>18.920000000000002</v>
      </c>
      <c r="AI183" s="4">
        <v>77.58</v>
      </c>
      <c r="AJ183" s="4">
        <v>60</v>
      </c>
      <c r="AK183" s="4">
        <v>9</v>
      </c>
      <c r="AL183" s="4">
        <v>9</v>
      </c>
      <c r="AM183" s="4">
        <v>0.28999999999999998</v>
      </c>
      <c r="AN183" s="4">
        <v>294</v>
      </c>
      <c r="AO183" s="4">
        <v>296.63</v>
      </c>
      <c r="AP183" s="4">
        <v>356680.79</v>
      </c>
      <c r="AQ183" s="4">
        <v>356680.79</v>
      </c>
      <c r="AR183" s="4" t="s">
        <v>807</v>
      </c>
      <c r="AS183" s="5">
        <f t="shared" si="0"/>
        <v>0</v>
      </c>
    </row>
    <row r="184" spans="1:45" ht="14.25" customHeight="1" x14ac:dyDescent="0.55000000000000004">
      <c r="A184" s="4">
        <v>20.43</v>
      </c>
      <c r="B184" s="4">
        <v>31.13</v>
      </c>
      <c r="C184" s="4">
        <v>5535.76</v>
      </c>
      <c r="D184" s="4">
        <v>7.6</v>
      </c>
      <c r="E184" s="4" t="s">
        <v>808</v>
      </c>
      <c r="F184" s="4" t="s">
        <v>809</v>
      </c>
      <c r="G184" s="4" t="s">
        <v>810</v>
      </c>
      <c r="H184" s="4" t="s">
        <v>811</v>
      </c>
      <c r="I184" s="4">
        <v>0</v>
      </c>
      <c r="J184" s="4">
        <v>988.1</v>
      </c>
      <c r="K184" s="4">
        <f t="shared" si="7"/>
        <v>74.599999999999994</v>
      </c>
      <c r="L184" s="7">
        <f t="shared" si="8"/>
        <v>83.84</v>
      </c>
      <c r="M184" s="7">
        <f t="shared" si="9"/>
        <v>-9.2400000000000091</v>
      </c>
      <c r="N184" s="4">
        <v>7.42</v>
      </c>
      <c r="O184" s="4">
        <v>91.15</v>
      </c>
      <c r="P184" s="4">
        <v>52</v>
      </c>
      <c r="Q184" s="4">
        <v>21</v>
      </c>
      <c r="R184" s="4">
        <v>10.7</v>
      </c>
      <c r="S184" s="4">
        <v>14.83</v>
      </c>
      <c r="T184" s="4">
        <v>5.6</v>
      </c>
      <c r="U184" s="4">
        <v>5.6</v>
      </c>
      <c r="V184" s="4">
        <v>3542.89</v>
      </c>
      <c r="W184" s="4">
        <v>1048.54</v>
      </c>
      <c r="X184" s="4">
        <v>1189.24</v>
      </c>
      <c r="Y184" s="4">
        <v>737.84</v>
      </c>
      <c r="Z184" s="4">
        <v>5.34</v>
      </c>
      <c r="AA184" s="4">
        <v>1.56</v>
      </c>
      <c r="AB184" s="4">
        <v>4.47</v>
      </c>
      <c r="AC184" s="4">
        <v>65.650000000000006</v>
      </c>
      <c r="AD184" s="4">
        <v>490</v>
      </c>
      <c r="AE184" s="4">
        <v>4700</v>
      </c>
      <c r="AF184" s="4">
        <v>76.95</v>
      </c>
      <c r="AG184" s="4">
        <v>0.47</v>
      </c>
      <c r="AH184" s="4">
        <v>16.72</v>
      </c>
      <c r="AI184" s="4">
        <v>24.3</v>
      </c>
      <c r="AJ184" s="4">
        <v>60</v>
      </c>
      <c r="AK184" s="4">
        <v>9</v>
      </c>
      <c r="AL184" s="4">
        <v>9</v>
      </c>
      <c r="AM184" s="4">
        <v>0.93</v>
      </c>
      <c r="AN184" s="4">
        <v>294</v>
      </c>
      <c r="AO184" s="4">
        <v>302.38</v>
      </c>
      <c r="AP184" s="4">
        <v>340595.45</v>
      </c>
      <c r="AQ184" s="4">
        <v>264844.14</v>
      </c>
      <c r="AR184" s="4" t="s">
        <v>812</v>
      </c>
      <c r="AS184" s="5">
        <f t="shared" si="0"/>
        <v>4.3237049086757988</v>
      </c>
    </row>
    <row r="185" spans="1:45" ht="14.25" customHeight="1" x14ac:dyDescent="0.55000000000000004">
      <c r="A185" s="4">
        <v>20.81</v>
      </c>
      <c r="B185" s="4">
        <v>31.01</v>
      </c>
      <c r="C185" s="4">
        <v>5462.72</v>
      </c>
      <c r="D185" s="4">
        <v>7.62</v>
      </c>
      <c r="E185" s="4" t="s">
        <v>813</v>
      </c>
      <c r="F185" s="4" t="s">
        <v>814</v>
      </c>
      <c r="G185" s="4" t="s">
        <v>454</v>
      </c>
      <c r="H185" s="4" t="s">
        <v>815</v>
      </c>
      <c r="I185" s="4">
        <v>0</v>
      </c>
      <c r="J185" s="4">
        <v>974.31</v>
      </c>
      <c r="K185" s="4">
        <f t="shared" si="7"/>
        <v>72.37</v>
      </c>
      <c r="L185" s="7">
        <f t="shared" si="8"/>
        <v>80.27</v>
      </c>
      <c r="M185" s="7">
        <f t="shared" si="9"/>
        <v>-7.8999999999999915</v>
      </c>
      <c r="N185" s="4">
        <v>7.41</v>
      </c>
      <c r="O185" s="4">
        <v>92.17</v>
      </c>
      <c r="P185" s="4">
        <v>67</v>
      </c>
      <c r="Q185" s="4">
        <v>19.399999999999999</v>
      </c>
      <c r="R185" s="4">
        <v>10.199999999999999</v>
      </c>
      <c r="S185" s="4">
        <v>15.35</v>
      </c>
      <c r="T185" s="4">
        <v>5.47</v>
      </c>
      <c r="U185" s="4">
        <v>5.61</v>
      </c>
      <c r="V185" s="4">
        <v>3496.14</v>
      </c>
      <c r="W185" s="4">
        <v>1034.8</v>
      </c>
      <c r="X185" s="4">
        <v>1175.5</v>
      </c>
      <c r="Y185" s="4">
        <v>728.46</v>
      </c>
      <c r="Z185" s="4">
        <v>5.86</v>
      </c>
      <c r="AA185" s="4">
        <v>1.58</v>
      </c>
      <c r="AB185" s="4">
        <v>4.46</v>
      </c>
      <c r="AC185" s="4">
        <v>65.11</v>
      </c>
      <c r="AD185" s="4">
        <v>490</v>
      </c>
      <c r="AE185" s="4">
        <v>4700</v>
      </c>
      <c r="AF185" s="4">
        <v>73.349999999999994</v>
      </c>
      <c r="AG185" s="4">
        <v>0.47</v>
      </c>
      <c r="AH185" s="4">
        <v>15.92</v>
      </c>
      <c r="AI185" s="4">
        <v>27.5</v>
      </c>
      <c r="AJ185" s="4">
        <v>60</v>
      </c>
      <c r="AK185" s="4">
        <v>9</v>
      </c>
      <c r="AL185" s="4">
        <v>9</v>
      </c>
      <c r="AM185" s="4">
        <v>0.82</v>
      </c>
      <c r="AN185" s="4">
        <v>294</v>
      </c>
      <c r="AO185" s="4">
        <v>301.41000000000003</v>
      </c>
      <c r="AP185" s="4">
        <v>336370.53</v>
      </c>
      <c r="AQ185" s="4">
        <v>301547.64</v>
      </c>
      <c r="AR185" s="4" t="s">
        <v>816</v>
      </c>
      <c r="AS185" s="5">
        <f t="shared" si="0"/>
        <v>1.9876078767123295</v>
      </c>
    </row>
    <row r="186" spans="1:45" ht="14.25" customHeight="1" x14ac:dyDescent="0.55000000000000004">
      <c r="A186" s="4">
        <v>20.6</v>
      </c>
      <c r="B186" s="4">
        <v>31.13</v>
      </c>
      <c r="C186" s="4">
        <v>5528.92</v>
      </c>
      <c r="D186" s="4">
        <v>7.6</v>
      </c>
      <c r="E186" s="4" t="s">
        <v>817</v>
      </c>
      <c r="F186" s="4" t="s">
        <v>818</v>
      </c>
      <c r="G186" s="4" t="s">
        <v>435</v>
      </c>
      <c r="H186" s="4" t="s">
        <v>819</v>
      </c>
      <c r="I186" s="4">
        <v>0</v>
      </c>
      <c r="J186" s="4">
        <v>734.25</v>
      </c>
      <c r="K186" s="4">
        <f t="shared" si="7"/>
        <v>50.760000000000005</v>
      </c>
      <c r="L186" s="7">
        <f t="shared" si="8"/>
        <v>56.870000000000005</v>
      </c>
      <c r="M186" s="7">
        <f t="shared" si="9"/>
        <v>-6.1099999999999994</v>
      </c>
      <c r="N186" s="4">
        <v>7.24</v>
      </c>
      <c r="O186" s="4">
        <v>91.71</v>
      </c>
      <c r="P186" s="4">
        <v>58</v>
      </c>
      <c r="Q186" s="4">
        <v>20.8</v>
      </c>
      <c r="R186" s="4">
        <v>10.54</v>
      </c>
      <c r="S186" s="4">
        <v>15.46</v>
      </c>
      <c r="T186" s="4">
        <v>5.13</v>
      </c>
      <c r="U186" s="4">
        <v>7.53</v>
      </c>
      <c r="V186" s="4">
        <v>3538.51</v>
      </c>
      <c r="W186" s="4">
        <v>1055.6199999999999</v>
      </c>
      <c r="X186" s="4">
        <v>1280.3399999999999</v>
      </c>
      <c r="Y186" s="4">
        <v>759.85</v>
      </c>
      <c r="Z186" s="4">
        <v>5.36</v>
      </c>
      <c r="AA186" s="4">
        <v>1.6</v>
      </c>
      <c r="AB186" s="4">
        <v>4.3899999999999997</v>
      </c>
      <c r="AC186" s="4">
        <v>67.25</v>
      </c>
      <c r="AD186" s="4">
        <v>490</v>
      </c>
      <c r="AE186" s="4">
        <v>4700</v>
      </c>
      <c r="AF186" s="4">
        <v>75.760000000000005</v>
      </c>
      <c r="AG186" s="4">
        <v>0.47</v>
      </c>
      <c r="AH186" s="4">
        <v>11.6</v>
      </c>
      <c r="AI186" s="4">
        <v>35.83</v>
      </c>
      <c r="AJ186" s="4">
        <v>60</v>
      </c>
      <c r="AK186" s="4">
        <v>9</v>
      </c>
      <c r="AL186" s="4">
        <v>9</v>
      </c>
      <c r="AM186" s="4">
        <v>0.63</v>
      </c>
      <c r="AN186" s="4">
        <v>294</v>
      </c>
      <c r="AO186" s="4">
        <v>299.69</v>
      </c>
      <c r="AP186" s="4">
        <v>307517.43</v>
      </c>
      <c r="AQ186" s="4">
        <v>150863.23000000001</v>
      </c>
      <c r="AR186" s="4" t="s">
        <v>820</v>
      </c>
      <c r="AS186" s="5">
        <f t="shared" si="0"/>
        <v>8.9414497716894967</v>
      </c>
    </row>
    <row r="187" spans="1:45" ht="14.25" customHeight="1" x14ac:dyDescent="0.55000000000000004">
      <c r="A187" s="4">
        <v>19.8</v>
      </c>
      <c r="B187" s="4">
        <v>29.91</v>
      </c>
      <c r="C187" s="4">
        <v>5481.85</v>
      </c>
      <c r="D187" s="4">
        <v>7.6</v>
      </c>
      <c r="E187" s="4" t="s">
        <v>821</v>
      </c>
      <c r="F187" s="4" t="s">
        <v>782</v>
      </c>
      <c r="G187" s="4" t="s">
        <v>822</v>
      </c>
      <c r="H187" s="4" t="s">
        <v>823</v>
      </c>
      <c r="I187" s="4">
        <v>0</v>
      </c>
      <c r="J187" s="4">
        <v>1118.3900000000001</v>
      </c>
      <c r="K187" s="4">
        <f t="shared" si="7"/>
        <v>76.17</v>
      </c>
      <c r="L187" s="7">
        <f t="shared" si="8"/>
        <v>76.17</v>
      </c>
      <c r="M187" s="7">
        <f t="shared" si="9"/>
        <v>0</v>
      </c>
      <c r="N187" s="4">
        <v>7.53</v>
      </c>
      <c r="O187" s="4">
        <v>91.77</v>
      </c>
      <c r="P187" s="4">
        <v>63</v>
      </c>
      <c r="Q187" s="4">
        <v>19.899999999999999</v>
      </c>
      <c r="R187" s="4">
        <v>10.11</v>
      </c>
      <c r="S187" s="4">
        <v>15.3</v>
      </c>
      <c r="T187" s="4">
        <v>4.49</v>
      </c>
      <c r="U187" s="4">
        <v>4.9000000000000004</v>
      </c>
      <c r="V187" s="4">
        <v>3508.38</v>
      </c>
      <c r="W187" s="4">
        <v>1036.0899999999999</v>
      </c>
      <c r="X187" s="4">
        <v>1150.8</v>
      </c>
      <c r="Y187" s="4">
        <v>724.3</v>
      </c>
      <c r="Z187" s="4">
        <v>8.7200000000000006</v>
      </c>
      <c r="AA187" s="4">
        <v>1.53</v>
      </c>
      <c r="AB187" s="4">
        <v>4.53</v>
      </c>
      <c r="AC187" s="4">
        <v>69.22</v>
      </c>
      <c r="AD187" s="4">
        <v>490</v>
      </c>
      <c r="AE187" s="4">
        <v>4700</v>
      </c>
      <c r="AF187" s="4">
        <v>72.709999999999994</v>
      </c>
      <c r="AG187" s="4">
        <v>0.47</v>
      </c>
      <c r="AH187" s="4">
        <v>18.64</v>
      </c>
      <c r="AI187" s="4">
        <v>38.9</v>
      </c>
      <c r="AJ187" s="4">
        <v>60</v>
      </c>
      <c r="AK187" s="4">
        <v>9</v>
      </c>
      <c r="AL187" s="4">
        <v>9</v>
      </c>
      <c r="AM187" s="4">
        <v>0.57999999999999996</v>
      </c>
      <c r="AN187" s="4">
        <v>294</v>
      </c>
      <c r="AO187" s="4">
        <v>299.24</v>
      </c>
      <c r="AP187" s="4">
        <v>325818.90000000002</v>
      </c>
      <c r="AQ187" s="4">
        <v>325818.90000000002</v>
      </c>
      <c r="AR187" s="4" t="s">
        <v>824</v>
      </c>
      <c r="AS187" s="5">
        <f t="shared" si="0"/>
        <v>0</v>
      </c>
    </row>
    <row r="188" spans="1:45" ht="14.25" customHeight="1" x14ac:dyDescent="0.55000000000000004">
      <c r="A188" s="4">
        <v>21.01</v>
      </c>
      <c r="B188" s="4">
        <v>31.13</v>
      </c>
      <c r="C188" s="4">
        <v>5502.83</v>
      </c>
      <c r="D188" s="4">
        <v>7.6</v>
      </c>
      <c r="E188" s="4" t="s">
        <v>825</v>
      </c>
      <c r="F188" s="4" t="s">
        <v>826</v>
      </c>
      <c r="G188" s="4" t="s">
        <v>827</v>
      </c>
      <c r="H188" s="4" t="s">
        <v>828</v>
      </c>
      <c r="I188" s="4">
        <v>0</v>
      </c>
      <c r="J188" s="4">
        <v>1010.77</v>
      </c>
      <c r="K188" s="4">
        <f t="shared" si="7"/>
        <v>76.710000000000008</v>
      </c>
      <c r="L188" s="7">
        <f t="shared" si="8"/>
        <v>83.699999999999989</v>
      </c>
      <c r="M188" s="7">
        <f t="shared" si="9"/>
        <v>-6.9899999999999807</v>
      </c>
      <c r="N188" s="4">
        <v>7.43</v>
      </c>
      <c r="O188" s="4">
        <v>91.57</v>
      </c>
      <c r="P188" s="4">
        <v>65</v>
      </c>
      <c r="Q188" s="4">
        <v>20.100000000000001</v>
      </c>
      <c r="R188" s="4">
        <v>10.119999999999999</v>
      </c>
      <c r="S188" s="4">
        <v>15.74</v>
      </c>
      <c r="T188" s="4">
        <v>5.27</v>
      </c>
      <c r="U188" s="4">
        <v>5.44</v>
      </c>
      <c r="V188" s="4">
        <v>3521.81</v>
      </c>
      <c r="W188" s="4">
        <v>1041.1199999999999</v>
      </c>
      <c r="X188" s="4">
        <v>1171.53</v>
      </c>
      <c r="Y188" s="4">
        <v>730.48</v>
      </c>
      <c r="Z188" s="4">
        <v>5.5</v>
      </c>
      <c r="AA188" s="4">
        <v>1.57</v>
      </c>
      <c r="AB188" s="4">
        <v>4.46</v>
      </c>
      <c r="AC188" s="4">
        <v>65.760000000000005</v>
      </c>
      <c r="AD188" s="4">
        <v>490</v>
      </c>
      <c r="AE188" s="4">
        <v>4700</v>
      </c>
      <c r="AF188" s="4">
        <v>72.790000000000006</v>
      </c>
      <c r="AG188" s="4">
        <v>0.47</v>
      </c>
      <c r="AH188" s="4">
        <v>16.38</v>
      </c>
      <c r="AI188" s="4">
        <v>24.34</v>
      </c>
      <c r="AJ188" s="4">
        <v>60</v>
      </c>
      <c r="AK188" s="4">
        <v>9</v>
      </c>
      <c r="AL188" s="4">
        <v>9</v>
      </c>
      <c r="AM188" s="4">
        <v>0.93</v>
      </c>
      <c r="AN188" s="4">
        <v>294</v>
      </c>
      <c r="AO188" s="4">
        <v>302.37</v>
      </c>
      <c r="AP188" s="4">
        <v>366029.63</v>
      </c>
      <c r="AQ188" s="4">
        <v>270698.69</v>
      </c>
      <c r="AR188" s="4" t="s">
        <v>829</v>
      </c>
      <c r="AS188" s="5">
        <f t="shared" si="0"/>
        <v>5.441263698630137</v>
      </c>
    </row>
    <row r="189" spans="1:45" ht="14.25" customHeight="1" x14ac:dyDescent="0.55000000000000004">
      <c r="A189" s="4">
        <v>20.74</v>
      </c>
      <c r="B189" s="4">
        <v>31.03</v>
      </c>
      <c r="C189" s="4">
        <v>5498.39</v>
      </c>
      <c r="D189" s="4">
        <v>7.62</v>
      </c>
      <c r="E189" s="4" t="s">
        <v>830</v>
      </c>
      <c r="F189" s="4" t="s">
        <v>741</v>
      </c>
      <c r="G189" s="4" t="s">
        <v>831</v>
      </c>
      <c r="H189" s="4" t="s">
        <v>630</v>
      </c>
      <c r="I189" s="4">
        <v>0</v>
      </c>
      <c r="J189" s="4">
        <v>1131.95</v>
      </c>
      <c r="K189" s="4">
        <f t="shared" si="7"/>
        <v>102.60000000000001</v>
      </c>
      <c r="L189" s="7">
        <f t="shared" si="8"/>
        <v>102.60000000000001</v>
      </c>
      <c r="M189" s="7">
        <f t="shared" si="9"/>
        <v>0</v>
      </c>
      <c r="N189" s="4">
        <v>7.53</v>
      </c>
      <c r="O189" s="4">
        <v>91.93</v>
      </c>
      <c r="P189" s="4">
        <v>63</v>
      </c>
      <c r="Q189" s="4">
        <v>20.399999999999999</v>
      </c>
      <c r="R189" s="4">
        <v>10.29</v>
      </c>
      <c r="S189" s="4">
        <v>15.76</v>
      </c>
      <c r="T189" s="4">
        <v>4.9800000000000004</v>
      </c>
      <c r="U189" s="4">
        <v>4.8600000000000003</v>
      </c>
      <c r="V189" s="4">
        <v>3518.97</v>
      </c>
      <c r="W189" s="4">
        <v>1038.29</v>
      </c>
      <c r="X189" s="4">
        <v>1146.6099999999999</v>
      </c>
      <c r="Y189" s="4">
        <v>724.24</v>
      </c>
      <c r="Z189" s="4">
        <v>15.89</v>
      </c>
      <c r="AA189" s="4">
        <v>1.57</v>
      </c>
      <c r="AB189" s="4">
        <v>4.4800000000000004</v>
      </c>
      <c r="AC189" s="4">
        <v>67.37</v>
      </c>
      <c r="AD189" s="4">
        <v>490</v>
      </c>
      <c r="AE189" s="4">
        <v>4700</v>
      </c>
      <c r="AF189" s="4">
        <v>73.989999999999995</v>
      </c>
      <c r="AG189" s="4">
        <v>0.47</v>
      </c>
      <c r="AH189" s="4">
        <v>19.18</v>
      </c>
      <c r="AI189" s="4">
        <v>52.59</v>
      </c>
      <c r="AJ189" s="4">
        <v>60</v>
      </c>
      <c r="AK189" s="4">
        <v>9</v>
      </c>
      <c r="AL189" s="4">
        <v>9</v>
      </c>
      <c r="AM189" s="4">
        <v>0.43</v>
      </c>
      <c r="AN189" s="4">
        <v>294</v>
      </c>
      <c r="AO189" s="4">
        <v>297.87</v>
      </c>
      <c r="AP189" s="4">
        <v>383898.99</v>
      </c>
      <c r="AQ189" s="4">
        <v>383898.99</v>
      </c>
      <c r="AR189" s="4" t="s">
        <v>832</v>
      </c>
      <c r="AS189" s="5">
        <f t="shared" si="0"/>
        <v>0</v>
      </c>
    </row>
    <row r="190" spans="1:45" ht="14.25" customHeight="1" x14ac:dyDescent="0.55000000000000004">
      <c r="A190" s="4">
        <v>20.88</v>
      </c>
      <c r="B190" s="4">
        <v>30.7</v>
      </c>
      <c r="C190" s="4">
        <v>5489.83</v>
      </c>
      <c r="D190" s="4">
        <v>7.6</v>
      </c>
      <c r="E190" s="4" t="s">
        <v>833</v>
      </c>
      <c r="F190" s="4" t="s">
        <v>834</v>
      </c>
      <c r="G190" s="4" t="s">
        <v>835</v>
      </c>
      <c r="H190" s="4" t="s">
        <v>836</v>
      </c>
      <c r="I190" s="4">
        <v>0</v>
      </c>
      <c r="J190" s="4">
        <v>1043.52</v>
      </c>
      <c r="K190" s="4">
        <f t="shared" si="7"/>
        <v>73.230000000000018</v>
      </c>
      <c r="L190" s="7">
        <f t="shared" si="8"/>
        <v>78</v>
      </c>
      <c r="M190" s="7">
        <f t="shared" si="9"/>
        <v>-4.7699999999999818</v>
      </c>
      <c r="N190" s="4">
        <v>7.47</v>
      </c>
      <c r="O190" s="4">
        <v>92.19</v>
      </c>
      <c r="P190" s="4">
        <v>74</v>
      </c>
      <c r="Q190" s="4">
        <v>19</v>
      </c>
      <c r="R190" s="4">
        <v>9.82</v>
      </c>
      <c r="S190" s="4">
        <v>15.84</v>
      </c>
      <c r="T190" s="4">
        <v>5.04</v>
      </c>
      <c r="U190" s="4">
        <v>5.26</v>
      </c>
      <c r="V190" s="4">
        <v>3513.49</v>
      </c>
      <c r="W190" s="4">
        <v>1038.73</v>
      </c>
      <c r="X190" s="4">
        <v>1166.5</v>
      </c>
      <c r="Y190" s="4">
        <v>728.62</v>
      </c>
      <c r="Z190" s="4">
        <v>5.63</v>
      </c>
      <c r="AA190" s="4">
        <v>1.56</v>
      </c>
      <c r="AB190" s="4">
        <v>4.4800000000000004</v>
      </c>
      <c r="AC190" s="4">
        <v>66.099999999999994</v>
      </c>
      <c r="AD190" s="4">
        <v>490</v>
      </c>
      <c r="AE190" s="4">
        <v>4700</v>
      </c>
      <c r="AF190" s="4">
        <v>70.62</v>
      </c>
      <c r="AG190" s="4">
        <v>0.47</v>
      </c>
      <c r="AH190" s="4">
        <v>16.57</v>
      </c>
      <c r="AI190" s="4">
        <v>26.12</v>
      </c>
      <c r="AJ190" s="4">
        <v>60</v>
      </c>
      <c r="AK190" s="4">
        <v>9</v>
      </c>
      <c r="AL190" s="4">
        <v>9</v>
      </c>
      <c r="AM190" s="4">
        <v>0.87</v>
      </c>
      <c r="AN190" s="4">
        <v>294</v>
      </c>
      <c r="AO190" s="4">
        <v>301.8</v>
      </c>
      <c r="AP190" s="4">
        <v>346297.29</v>
      </c>
      <c r="AQ190" s="4">
        <v>248540.54</v>
      </c>
      <c r="AR190" s="4" t="s">
        <v>837</v>
      </c>
      <c r="AS190" s="5">
        <f t="shared" si="0"/>
        <v>5.5797231735159798</v>
      </c>
    </row>
    <row r="191" spans="1:45" ht="14.25" customHeight="1" x14ac:dyDescent="0.55000000000000004">
      <c r="A191" s="4">
        <v>20.47</v>
      </c>
      <c r="B191" s="4">
        <v>30.29</v>
      </c>
      <c r="C191" s="4">
        <v>5525.44</v>
      </c>
      <c r="D191" s="4">
        <v>7.59</v>
      </c>
      <c r="E191" s="4" t="s">
        <v>838</v>
      </c>
      <c r="F191" s="4" t="s">
        <v>839</v>
      </c>
      <c r="G191" s="4" t="s">
        <v>840</v>
      </c>
      <c r="H191" s="4" t="s">
        <v>841</v>
      </c>
      <c r="I191" s="4">
        <v>0</v>
      </c>
      <c r="J191" s="4">
        <v>964.86</v>
      </c>
      <c r="K191" s="4">
        <f t="shared" si="7"/>
        <v>66.12</v>
      </c>
      <c r="L191" s="7">
        <f t="shared" si="8"/>
        <v>72.27</v>
      </c>
      <c r="M191" s="7">
        <f t="shared" si="9"/>
        <v>-6.1499999999999915</v>
      </c>
      <c r="N191" s="4">
        <v>7.36</v>
      </c>
      <c r="O191" s="4">
        <v>91.73</v>
      </c>
      <c r="P191" s="4">
        <v>65</v>
      </c>
      <c r="Q191" s="4">
        <v>19.5</v>
      </c>
      <c r="R191" s="4">
        <v>9.82</v>
      </c>
      <c r="S191" s="4">
        <v>15.19</v>
      </c>
      <c r="T191" s="4">
        <v>5.28</v>
      </c>
      <c r="U191" s="4">
        <v>5.73</v>
      </c>
      <c r="V191" s="4">
        <v>3536.28</v>
      </c>
      <c r="W191" s="4">
        <v>1044.06</v>
      </c>
      <c r="X191" s="4">
        <v>1170.9100000000001</v>
      </c>
      <c r="Y191" s="4">
        <v>730.83</v>
      </c>
      <c r="Z191" s="4">
        <v>5.49</v>
      </c>
      <c r="AA191" s="4">
        <v>1.55</v>
      </c>
      <c r="AB191" s="4">
        <v>4.5</v>
      </c>
      <c r="AC191" s="4">
        <v>65.05</v>
      </c>
      <c r="AD191" s="4">
        <v>490</v>
      </c>
      <c r="AE191" s="4">
        <v>4700</v>
      </c>
      <c r="AF191" s="4">
        <v>70.64</v>
      </c>
      <c r="AG191" s="4">
        <v>0.47</v>
      </c>
      <c r="AH191" s="4">
        <v>14.94</v>
      </c>
      <c r="AI191" s="4">
        <v>28.19</v>
      </c>
      <c r="AJ191" s="4">
        <v>60</v>
      </c>
      <c r="AK191" s="4">
        <v>9</v>
      </c>
      <c r="AL191" s="4">
        <v>9</v>
      </c>
      <c r="AM191" s="4">
        <v>0.8</v>
      </c>
      <c r="AN191" s="4">
        <v>294</v>
      </c>
      <c r="AO191" s="4">
        <v>301.23</v>
      </c>
      <c r="AP191" s="4">
        <v>345949.71</v>
      </c>
      <c r="AQ191" s="4">
        <v>244358.84</v>
      </c>
      <c r="AR191" s="4" t="s">
        <v>842</v>
      </c>
      <c r="AS191" s="5">
        <f t="shared" si="0"/>
        <v>5.798565639269408</v>
      </c>
    </row>
    <row r="192" spans="1:45" ht="14.25" customHeight="1" x14ac:dyDescent="0.55000000000000004">
      <c r="A192" s="4">
        <v>20.399999999999999</v>
      </c>
      <c r="B192" s="4">
        <v>30.16</v>
      </c>
      <c r="C192" s="4">
        <v>5504.54</v>
      </c>
      <c r="D192" s="4">
        <v>7.6</v>
      </c>
      <c r="E192" s="4" t="s">
        <v>843</v>
      </c>
      <c r="F192" s="4" t="s">
        <v>844</v>
      </c>
      <c r="G192" s="4" t="s">
        <v>845</v>
      </c>
      <c r="H192" s="4" t="s">
        <v>846</v>
      </c>
      <c r="I192" s="4">
        <v>0</v>
      </c>
      <c r="J192" s="4">
        <v>1044.4100000000001</v>
      </c>
      <c r="K192" s="4">
        <f t="shared" si="7"/>
        <v>75.789999999999992</v>
      </c>
      <c r="L192" s="7">
        <f t="shared" si="8"/>
        <v>82.82</v>
      </c>
      <c r="M192" s="7">
        <f t="shared" si="9"/>
        <v>-7.0300000000000011</v>
      </c>
      <c r="N192" s="4">
        <v>7.42</v>
      </c>
      <c r="O192" s="4">
        <v>91.98</v>
      </c>
      <c r="P192" s="4">
        <v>62</v>
      </c>
      <c r="Q192" s="4">
        <v>20.3</v>
      </c>
      <c r="R192" s="4">
        <v>9.75</v>
      </c>
      <c r="S192" s="4">
        <v>15.54</v>
      </c>
      <c r="T192" s="4">
        <v>4.87</v>
      </c>
      <c r="U192" s="4">
        <v>5.27</v>
      </c>
      <c r="V192" s="4">
        <v>3522.91</v>
      </c>
      <c r="W192" s="4">
        <v>1038.3800000000001</v>
      </c>
      <c r="X192" s="4">
        <v>1146.76</v>
      </c>
      <c r="Y192" s="4">
        <v>723.26</v>
      </c>
      <c r="Z192" s="4">
        <v>5.03</v>
      </c>
      <c r="AA192" s="4">
        <v>1.55</v>
      </c>
      <c r="AB192" s="4">
        <v>4.51</v>
      </c>
      <c r="AC192" s="4">
        <v>66.72</v>
      </c>
      <c r="AD192" s="4">
        <v>490</v>
      </c>
      <c r="AE192" s="4">
        <v>4700</v>
      </c>
      <c r="AF192" s="4">
        <v>70.150000000000006</v>
      </c>
      <c r="AG192" s="4">
        <v>0.47</v>
      </c>
      <c r="AH192" s="4">
        <v>16.43</v>
      </c>
      <c r="AI192" s="4">
        <v>22.55</v>
      </c>
      <c r="AJ192" s="4">
        <v>60</v>
      </c>
      <c r="AK192" s="4">
        <v>9</v>
      </c>
      <c r="AL192" s="4">
        <v>9</v>
      </c>
      <c r="AM192" s="4">
        <v>1</v>
      </c>
      <c r="AN192" s="4">
        <v>294</v>
      </c>
      <c r="AO192" s="4">
        <v>303.02999999999997</v>
      </c>
      <c r="AP192" s="4">
        <v>375240.3</v>
      </c>
      <c r="AQ192" s="4">
        <v>233674.17</v>
      </c>
      <c r="AR192" s="4" t="s">
        <v>847</v>
      </c>
      <c r="AS192" s="5">
        <f t="shared" si="0"/>
        <v>8.0802585616438343</v>
      </c>
    </row>
    <row r="193" spans="1:45" ht="14.25" customHeight="1" x14ac:dyDescent="0.55000000000000004">
      <c r="A193" s="4">
        <v>20.66</v>
      </c>
      <c r="B193" s="4">
        <v>30.78</v>
      </c>
      <c r="C193" s="4">
        <v>5492.63</v>
      </c>
      <c r="D193" s="4">
        <v>7.6</v>
      </c>
      <c r="E193" s="4" t="s">
        <v>848</v>
      </c>
      <c r="F193" s="4" t="s">
        <v>849</v>
      </c>
      <c r="G193" s="4" t="s">
        <v>850</v>
      </c>
      <c r="H193" s="4" t="s">
        <v>851</v>
      </c>
      <c r="I193" s="4">
        <v>0</v>
      </c>
      <c r="J193" s="4">
        <v>929.58</v>
      </c>
      <c r="K193" s="4">
        <f t="shared" si="7"/>
        <v>65.819999999999993</v>
      </c>
      <c r="L193" s="7">
        <f t="shared" si="8"/>
        <v>72.839999999999989</v>
      </c>
      <c r="M193" s="7">
        <f t="shared" si="9"/>
        <v>-7.019999999999996</v>
      </c>
      <c r="N193" s="4">
        <v>7.37</v>
      </c>
      <c r="O193" s="4">
        <v>92.44</v>
      </c>
      <c r="P193" s="4">
        <v>61</v>
      </c>
      <c r="Q193" s="4">
        <v>20.399999999999999</v>
      </c>
      <c r="R193" s="4">
        <v>10.119999999999999</v>
      </c>
      <c r="S193" s="4">
        <v>15.5</v>
      </c>
      <c r="T193" s="4">
        <v>5.17</v>
      </c>
      <c r="U193" s="4">
        <v>5.91</v>
      </c>
      <c r="V193" s="4">
        <v>3515.28</v>
      </c>
      <c r="W193" s="4">
        <v>1041.06</v>
      </c>
      <c r="X193" s="4">
        <v>1190.76</v>
      </c>
      <c r="Y193" s="4">
        <v>734.33</v>
      </c>
      <c r="Z193" s="4">
        <v>5.42</v>
      </c>
      <c r="AA193" s="4">
        <v>1.57</v>
      </c>
      <c r="AB193" s="4">
        <v>4.46</v>
      </c>
      <c r="AC193" s="4">
        <v>66.2</v>
      </c>
      <c r="AD193" s="4">
        <v>490</v>
      </c>
      <c r="AE193" s="4">
        <v>4700</v>
      </c>
      <c r="AF193" s="4">
        <v>72.760000000000005</v>
      </c>
      <c r="AG193" s="4">
        <v>0.47</v>
      </c>
      <c r="AH193" s="4">
        <v>14.82</v>
      </c>
      <c r="AI193" s="4">
        <v>27.97</v>
      </c>
      <c r="AJ193" s="4">
        <v>60</v>
      </c>
      <c r="AK193" s="4">
        <v>9</v>
      </c>
      <c r="AL193" s="4">
        <v>9</v>
      </c>
      <c r="AM193" s="4">
        <v>0.81</v>
      </c>
      <c r="AN193" s="4">
        <v>294</v>
      </c>
      <c r="AO193" s="4">
        <v>301.27999999999997</v>
      </c>
      <c r="AP193" s="4">
        <v>336925.1</v>
      </c>
      <c r="AQ193" s="4">
        <v>225747.4</v>
      </c>
      <c r="AR193" s="4" t="s">
        <v>852</v>
      </c>
      <c r="AS193" s="5">
        <f t="shared" si="0"/>
        <v>6.3457591324200902</v>
      </c>
    </row>
    <row r="194" spans="1:45" ht="14.25" customHeight="1" x14ac:dyDescent="0.55000000000000004">
      <c r="A194" s="4">
        <v>20.75</v>
      </c>
      <c r="B194" s="4">
        <v>30.95</v>
      </c>
      <c r="C194" s="4">
        <v>5474.61</v>
      </c>
      <c r="D194" s="4">
        <v>7.62</v>
      </c>
      <c r="E194" s="4" t="s">
        <v>853</v>
      </c>
      <c r="F194" s="4" t="s">
        <v>854</v>
      </c>
      <c r="G194" s="4" t="s">
        <v>855</v>
      </c>
      <c r="H194" s="4" t="s">
        <v>856</v>
      </c>
      <c r="I194" s="4">
        <v>0</v>
      </c>
      <c r="J194" s="4">
        <v>1015.7</v>
      </c>
      <c r="K194" s="4">
        <f t="shared" si="7"/>
        <v>77.039999999999992</v>
      </c>
      <c r="L194" s="7">
        <f t="shared" si="8"/>
        <v>85.59</v>
      </c>
      <c r="M194" s="7">
        <f t="shared" si="9"/>
        <v>-8.5500000000000114</v>
      </c>
      <c r="N194" s="4">
        <v>7.43</v>
      </c>
      <c r="O194" s="4">
        <v>92.52</v>
      </c>
      <c r="P194" s="4">
        <v>60</v>
      </c>
      <c r="Q194" s="4">
        <v>20.399999999999999</v>
      </c>
      <c r="R194" s="4">
        <v>10.210000000000001</v>
      </c>
      <c r="S194" s="4">
        <v>15.37</v>
      </c>
      <c r="T194" s="4">
        <v>5.38</v>
      </c>
      <c r="U194" s="4">
        <v>5.39</v>
      </c>
      <c r="V194" s="4">
        <v>3503.75</v>
      </c>
      <c r="W194" s="4">
        <v>1035.54</v>
      </c>
      <c r="X194" s="4">
        <v>1163.31</v>
      </c>
      <c r="Y194" s="4">
        <v>726.12</v>
      </c>
      <c r="Z194" s="4">
        <v>5.4</v>
      </c>
      <c r="AA194" s="4">
        <v>1.58</v>
      </c>
      <c r="AB194" s="4">
        <v>4.47</v>
      </c>
      <c r="AC194" s="4">
        <v>65.5</v>
      </c>
      <c r="AD194" s="4">
        <v>490</v>
      </c>
      <c r="AE194" s="4">
        <v>4700</v>
      </c>
      <c r="AF194" s="4">
        <v>73.400000000000006</v>
      </c>
      <c r="AG194" s="4">
        <v>0.47</v>
      </c>
      <c r="AH194" s="4">
        <v>16.72</v>
      </c>
      <c r="AI194" s="4">
        <v>23.8</v>
      </c>
      <c r="AJ194" s="4">
        <v>60</v>
      </c>
      <c r="AK194" s="4">
        <v>9</v>
      </c>
      <c r="AL194" s="4">
        <v>9</v>
      </c>
      <c r="AM194" s="4">
        <v>0.95</v>
      </c>
      <c r="AN194" s="4">
        <v>294</v>
      </c>
      <c r="AO194" s="4">
        <v>302.56</v>
      </c>
      <c r="AP194" s="4">
        <v>353420.66</v>
      </c>
      <c r="AQ194" s="4">
        <v>280593.83</v>
      </c>
      <c r="AR194" s="4" t="s">
        <v>857</v>
      </c>
      <c r="AS194" s="5">
        <f t="shared" si="0"/>
        <v>4.156782534246573</v>
      </c>
    </row>
    <row r="195" spans="1:45" ht="14.25" customHeight="1" x14ac:dyDescent="0.55000000000000004">
      <c r="A195" s="4">
        <v>21.13</v>
      </c>
      <c r="B195" s="4">
        <v>31.2</v>
      </c>
      <c r="C195" s="4">
        <v>5454.5</v>
      </c>
      <c r="D195" s="4">
        <v>7.59</v>
      </c>
      <c r="E195" s="4" t="s">
        <v>858</v>
      </c>
      <c r="F195" s="4" t="s">
        <v>859</v>
      </c>
      <c r="G195" s="4" t="s">
        <v>860</v>
      </c>
      <c r="H195" s="4" t="s">
        <v>861</v>
      </c>
      <c r="I195" s="4">
        <v>0</v>
      </c>
      <c r="J195" s="4">
        <v>1062.8800000000001</v>
      </c>
      <c r="K195" s="4">
        <f t="shared" ref="K195:K251" si="10">IF(E195=0,0,
VALUE(MID(E195,2,FIND(",",E195)-2))+
VALUE(MID(F195,2,FIND(",",F195)-2))+
VALUE(MID(G195,2,FIND(",",G195)-2))
)</f>
        <v>86.57</v>
      </c>
      <c r="L195" s="7">
        <f t="shared" ref="L195:L251" si="11">IF(E195=0,0,
VALUE(MID(E195,FIND(",",E195)+1,FIND("]",E195)-FIND(",",E195)-1))+
VALUE(MID(F195,FIND(",",F195)+1,FIND("]",F195)-FIND(",",F195)-1))+
VALUE(MID(G195,FIND(",",G195)+1,FIND("]",G195)-FIND(",",G195)-1))
)</f>
        <v>86.57</v>
      </c>
      <c r="M195" s="7">
        <f t="shared" ref="M195:M251" si="12">(K195-L195)</f>
        <v>0</v>
      </c>
      <c r="N195" s="4">
        <v>7.47</v>
      </c>
      <c r="O195" s="4">
        <v>92.09</v>
      </c>
      <c r="P195" s="4">
        <v>63</v>
      </c>
      <c r="Q195" s="4">
        <v>20.3</v>
      </c>
      <c r="R195" s="4">
        <v>10.07</v>
      </c>
      <c r="S195" s="4">
        <v>15.67</v>
      </c>
      <c r="T195" s="4">
        <v>5.46</v>
      </c>
      <c r="U195" s="4">
        <v>5.13</v>
      </c>
      <c r="V195" s="4">
        <v>3490.88</v>
      </c>
      <c r="W195" s="4">
        <v>1031.25</v>
      </c>
      <c r="X195" s="4">
        <v>1151.6199999999999</v>
      </c>
      <c r="Y195" s="4">
        <v>721.9</v>
      </c>
      <c r="Z195" s="4">
        <v>13.84</v>
      </c>
      <c r="AA195" s="4">
        <v>1.55</v>
      </c>
      <c r="AB195" s="4">
        <v>4.49</v>
      </c>
      <c r="AC195" s="4">
        <v>64.849999999999994</v>
      </c>
      <c r="AD195" s="4">
        <v>490</v>
      </c>
      <c r="AE195" s="4">
        <v>4700</v>
      </c>
      <c r="AF195" s="4">
        <v>72.42</v>
      </c>
      <c r="AG195" s="4">
        <v>0.47</v>
      </c>
      <c r="AH195" s="4">
        <v>17.53</v>
      </c>
      <c r="AI195" s="4">
        <v>54.3</v>
      </c>
      <c r="AJ195" s="4">
        <v>60</v>
      </c>
      <c r="AK195" s="4">
        <v>9</v>
      </c>
      <c r="AL195" s="4">
        <v>9</v>
      </c>
      <c r="AM195" s="4">
        <v>0.42</v>
      </c>
      <c r="AN195" s="4">
        <v>294</v>
      </c>
      <c r="AO195" s="4">
        <v>297.75</v>
      </c>
      <c r="AP195" s="4">
        <v>367485.32</v>
      </c>
      <c r="AQ195" s="4">
        <v>367485.32</v>
      </c>
      <c r="AR195" s="4" t="s">
        <v>862</v>
      </c>
      <c r="AS195" s="5">
        <f t="shared" si="0"/>
        <v>0</v>
      </c>
    </row>
    <row r="196" spans="1:45" ht="14.25" customHeight="1" x14ac:dyDescent="0.55000000000000004">
      <c r="A196" s="4">
        <v>20.82</v>
      </c>
      <c r="B196" s="4">
        <v>31.03</v>
      </c>
      <c r="C196" s="4">
        <v>5460.81</v>
      </c>
      <c r="D196" s="4">
        <v>7.59</v>
      </c>
      <c r="E196" s="4" t="s">
        <v>863</v>
      </c>
      <c r="F196" s="4" t="s">
        <v>864</v>
      </c>
      <c r="G196" s="4" t="s">
        <v>865</v>
      </c>
      <c r="H196" s="4" t="s">
        <v>866</v>
      </c>
      <c r="I196" s="4">
        <v>0</v>
      </c>
      <c r="J196" s="4">
        <v>988.52</v>
      </c>
      <c r="K196" s="4">
        <f t="shared" si="10"/>
        <v>75.180000000000007</v>
      </c>
      <c r="L196" s="7">
        <f t="shared" si="11"/>
        <v>75.180000000000007</v>
      </c>
      <c r="M196" s="7">
        <f t="shared" si="12"/>
        <v>0</v>
      </c>
      <c r="N196" s="4">
        <v>7.43</v>
      </c>
      <c r="O196" s="4">
        <v>92.08</v>
      </c>
      <c r="P196" s="4">
        <v>61</v>
      </c>
      <c r="Q196" s="4">
        <v>20.6</v>
      </c>
      <c r="R196" s="4">
        <v>10.210000000000001</v>
      </c>
      <c r="S196" s="4">
        <v>15.68</v>
      </c>
      <c r="T196" s="4">
        <v>5.14</v>
      </c>
      <c r="U196" s="4">
        <v>5.52</v>
      </c>
      <c r="V196" s="4">
        <v>3494.92</v>
      </c>
      <c r="W196" s="4">
        <v>1034.46</v>
      </c>
      <c r="X196" s="4">
        <v>1173.96</v>
      </c>
      <c r="Y196" s="4">
        <v>728.12</v>
      </c>
      <c r="Z196" s="4">
        <v>24.17</v>
      </c>
      <c r="AA196" s="4">
        <v>1.55</v>
      </c>
      <c r="AB196" s="4">
        <v>4.49</v>
      </c>
      <c r="AC196" s="4">
        <v>66.5</v>
      </c>
      <c r="AD196" s="4">
        <v>490</v>
      </c>
      <c r="AE196" s="4">
        <v>4700</v>
      </c>
      <c r="AF196" s="4">
        <v>73.400000000000006</v>
      </c>
      <c r="AG196" s="4">
        <v>0.47</v>
      </c>
      <c r="AH196" s="4">
        <v>16.22</v>
      </c>
      <c r="AI196" s="4">
        <v>109.18</v>
      </c>
      <c r="AJ196" s="4">
        <v>60</v>
      </c>
      <c r="AK196" s="4">
        <v>9</v>
      </c>
      <c r="AL196" s="4">
        <v>9</v>
      </c>
      <c r="AM196" s="4">
        <v>0.21</v>
      </c>
      <c r="AN196" s="4">
        <v>294</v>
      </c>
      <c r="AO196" s="4">
        <v>295.87</v>
      </c>
      <c r="AP196" s="4">
        <v>325358.44</v>
      </c>
      <c r="AQ196" s="4">
        <v>325358.44</v>
      </c>
      <c r="AR196" s="4" t="s">
        <v>867</v>
      </c>
      <c r="AS196" s="5">
        <f t="shared" si="0"/>
        <v>0</v>
      </c>
    </row>
    <row r="197" spans="1:45" ht="14.25" customHeight="1" x14ac:dyDescent="0.55000000000000004">
      <c r="A197" s="4">
        <v>19.98</v>
      </c>
      <c r="B197" s="4">
        <v>29.96</v>
      </c>
      <c r="C197" s="4">
        <v>5512.16</v>
      </c>
      <c r="D197" s="4">
        <v>7.59</v>
      </c>
      <c r="E197" s="4" t="s">
        <v>868</v>
      </c>
      <c r="F197" s="4" t="s">
        <v>869</v>
      </c>
      <c r="G197" s="4" t="s">
        <v>176</v>
      </c>
      <c r="H197" s="4" t="s">
        <v>870</v>
      </c>
      <c r="I197" s="4">
        <v>0</v>
      </c>
      <c r="J197" s="4">
        <v>1068.51</v>
      </c>
      <c r="K197" s="4">
        <f t="shared" si="10"/>
        <v>67.31</v>
      </c>
      <c r="L197" s="7">
        <f t="shared" si="11"/>
        <v>70.17</v>
      </c>
      <c r="M197" s="7">
        <f t="shared" si="12"/>
        <v>-2.8599999999999994</v>
      </c>
      <c r="N197" s="4">
        <v>7.49</v>
      </c>
      <c r="O197" s="4">
        <v>91.86</v>
      </c>
      <c r="P197" s="4">
        <v>67</v>
      </c>
      <c r="Q197" s="4">
        <v>19.399999999999999</v>
      </c>
      <c r="R197" s="4">
        <v>9.98</v>
      </c>
      <c r="S197" s="4">
        <v>15.35</v>
      </c>
      <c r="T197" s="4">
        <v>4.63</v>
      </c>
      <c r="U197" s="4">
        <v>5.16</v>
      </c>
      <c r="V197" s="4">
        <v>3527.78</v>
      </c>
      <c r="W197" s="4">
        <v>1042.56</v>
      </c>
      <c r="X197" s="4">
        <v>1166.3499999999999</v>
      </c>
      <c r="Y197" s="4">
        <v>730.45</v>
      </c>
      <c r="Z197" s="4">
        <v>5.76</v>
      </c>
      <c r="AA197" s="4">
        <v>1.54</v>
      </c>
      <c r="AB197" s="4">
        <v>4.5199999999999996</v>
      </c>
      <c r="AC197" s="4">
        <v>68.3</v>
      </c>
      <c r="AD197" s="4">
        <v>490</v>
      </c>
      <c r="AE197" s="4">
        <v>4700</v>
      </c>
      <c r="AF197" s="4">
        <v>71.75</v>
      </c>
      <c r="AG197" s="4">
        <v>0.47</v>
      </c>
      <c r="AH197" s="4">
        <v>17.25</v>
      </c>
      <c r="AI197" s="4">
        <v>29.04</v>
      </c>
      <c r="AJ197" s="4">
        <v>60</v>
      </c>
      <c r="AK197" s="4">
        <v>9</v>
      </c>
      <c r="AL197" s="4">
        <v>9</v>
      </c>
      <c r="AM197" s="4">
        <v>0.78</v>
      </c>
      <c r="AN197" s="4">
        <v>294</v>
      </c>
      <c r="AO197" s="4">
        <v>301.02</v>
      </c>
      <c r="AP197" s="4">
        <v>320579.34000000003</v>
      </c>
      <c r="AQ197" s="4">
        <v>224342.34</v>
      </c>
      <c r="AR197" s="4" t="s">
        <v>871</v>
      </c>
      <c r="AS197" s="5">
        <f t="shared" si="0"/>
        <v>5.4929794520547963</v>
      </c>
    </row>
    <row r="198" spans="1:45" ht="14.25" customHeight="1" x14ac:dyDescent="0.55000000000000004">
      <c r="A198" s="4">
        <v>20.92</v>
      </c>
      <c r="B198" s="4">
        <v>31.07</v>
      </c>
      <c r="C198" s="4">
        <v>5453.25</v>
      </c>
      <c r="D198" s="4">
        <v>7.6</v>
      </c>
      <c r="E198" s="4" t="s">
        <v>872</v>
      </c>
      <c r="F198" s="4" t="s">
        <v>873</v>
      </c>
      <c r="G198" s="4" t="s">
        <v>401</v>
      </c>
      <c r="H198" s="4" t="s">
        <v>874</v>
      </c>
      <c r="I198" s="4">
        <v>0</v>
      </c>
      <c r="J198" s="4">
        <v>894.83</v>
      </c>
      <c r="K198" s="4">
        <f t="shared" si="10"/>
        <v>63.01</v>
      </c>
      <c r="L198" s="7">
        <f t="shared" si="11"/>
        <v>73.16</v>
      </c>
      <c r="M198" s="7">
        <f t="shared" si="12"/>
        <v>-10.149999999999999</v>
      </c>
      <c r="N198" s="4">
        <v>7.35</v>
      </c>
      <c r="O198" s="4">
        <v>92.35</v>
      </c>
      <c r="P198" s="4">
        <v>68</v>
      </c>
      <c r="Q198" s="4">
        <v>19.5</v>
      </c>
      <c r="R198" s="4">
        <v>10.14</v>
      </c>
      <c r="S198" s="4">
        <v>15.57</v>
      </c>
      <c r="T198" s="4">
        <v>5.36</v>
      </c>
      <c r="U198" s="4">
        <v>6.09</v>
      </c>
      <c r="V198" s="4">
        <v>3490.08</v>
      </c>
      <c r="W198" s="4">
        <v>1034.98</v>
      </c>
      <c r="X198" s="4">
        <v>1195.98</v>
      </c>
      <c r="Y198" s="4">
        <v>732.68</v>
      </c>
      <c r="Z198" s="4">
        <v>5.17</v>
      </c>
      <c r="AA198" s="4">
        <v>1.57</v>
      </c>
      <c r="AB198" s="4">
        <v>4.46</v>
      </c>
      <c r="AC198" s="4">
        <v>65.430000000000007</v>
      </c>
      <c r="AD198" s="4">
        <v>490</v>
      </c>
      <c r="AE198" s="4">
        <v>4700</v>
      </c>
      <c r="AF198" s="4">
        <v>72.930000000000007</v>
      </c>
      <c r="AG198" s="4">
        <v>0.47</v>
      </c>
      <c r="AH198" s="4">
        <v>14.32</v>
      </c>
      <c r="AI198" s="4">
        <v>27.85</v>
      </c>
      <c r="AJ198" s="4">
        <v>60</v>
      </c>
      <c r="AK198" s="4">
        <v>9</v>
      </c>
      <c r="AL198" s="4">
        <v>9</v>
      </c>
      <c r="AM198" s="4">
        <v>0.81</v>
      </c>
      <c r="AN198" s="4">
        <v>294</v>
      </c>
      <c r="AO198" s="4">
        <v>301.32</v>
      </c>
      <c r="AP198" s="4">
        <v>303890.24</v>
      </c>
      <c r="AQ198" s="4">
        <v>223681.52</v>
      </c>
      <c r="AR198" s="4" t="s">
        <v>875</v>
      </c>
      <c r="AS198" s="5">
        <f t="shared" si="0"/>
        <v>4.5781232876712332</v>
      </c>
    </row>
    <row r="199" spans="1:45" ht="14.25" customHeight="1" x14ac:dyDescent="0.55000000000000004">
      <c r="A199" s="4">
        <v>20.420000000000002</v>
      </c>
      <c r="B199" s="4">
        <v>30.69</v>
      </c>
      <c r="C199" s="4">
        <v>5494.1</v>
      </c>
      <c r="D199" s="4">
        <v>7.6</v>
      </c>
      <c r="E199" s="4" t="s">
        <v>876</v>
      </c>
      <c r="F199" s="4" t="s">
        <v>877</v>
      </c>
      <c r="G199" s="4" t="s">
        <v>878</v>
      </c>
      <c r="H199" s="4" t="s">
        <v>879</v>
      </c>
      <c r="I199" s="4">
        <v>0</v>
      </c>
      <c r="J199" s="4">
        <v>882.6</v>
      </c>
      <c r="K199" s="4">
        <f t="shared" si="10"/>
        <v>63.889999999999993</v>
      </c>
      <c r="L199" s="7">
        <f t="shared" si="11"/>
        <v>68.42</v>
      </c>
      <c r="M199" s="7">
        <f t="shared" si="12"/>
        <v>-4.5300000000000082</v>
      </c>
      <c r="N199" s="4">
        <v>7.36</v>
      </c>
      <c r="O199" s="4">
        <v>92.08</v>
      </c>
      <c r="P199" s="4">
        <v>73</v>
      </c>
      <c r="Q199" s="4">
        <v>19.2</v>
      </c>
      <c r="R199" s="4">
        <v>10.28</v>
      </c>
      <c r="S199" s="4">
        <v>15.9</v>
      </c>
      <c r="T199" s="4">
        <v>4.51</v>
      </c>
      <c r="U199" s="4">
        <v>6.22</v>
      </c>
      <c r="V199" s="4">
        <v>3516.22</v>
      </c>
      <c r="W199" s="4">
        <v>1044.58</v>
      </c>
      <c r="X199" s="4">
        <v>1219.76</v>
      </c>
      <c r="Y199" s="4">
        <v>742.62</v>
      </c>
      <c r="Z199" s="4">
        <v>5.6</v>
      </c>
      <c r="AA199" s="4">
        <v>1.57</v>
      </c>
      <c r="AB199" s="4">
        <v>4.46</v>
      </c>
      <c r="AC199" s="4">
        <v>69.489999999999995</v>
      </c>
      <c r="AD199" s="4">
        <v>490</v>
      </c>
      <c r="AE199" s="4">
        <v>4700</v>
      </c>
      <c r="AF199" s="4">
        <v>73.900000000000006</v>
      </c>
      <c r="AG199" s="4">
        <v>0.47</v>
      </c>
      <c r="AH199" s="4">
        <v>14.14</v>
      </c>
      <c r="AI199" s="4">
        <v>29.78</v>
      </c>
      <c r="AJ199" s="4">
        <v>60</v>
      </c>
      <c r="AK199" s="4">
        <v>9</v>
      </c>
      <c r="AL199" s="4">
        <v>9</v>
      </c>
      <c r="AM199" s="4">
        <v>0.76</v>
      </c>
      <c r="AN199" s="4">
        <v>294</v>
      </c>
      <c r="AO199" s="4">
        <v>300.83999999999997</v>
      </c>
      <c r="AP199" s="4">
        <v>353882.45</v>
      </c>
      <c r="AQ199" s="4">
        <v>190339.92</v>
      </c>
      <c r="AR199" s="4" t="s">
        <v>880</v>
      </c>
      <c r="AS199" s="5">
        <f t="shared" si="0"/>
        <v>9.3346192922374431</v>
      </c>
    </row>
    <row r="200" spans="1:45" ht="14.25" customHeight="1" x14ac:dyDescent="0.55000000000000004">
      <c r="A200" s="4">
        <v>20.75</v>
      </c>
      <c r="B200" s="4">
        <v>30.95</v>
      </c>
      <c r="C200" s="4">
        <v>5501.13</v>
      </c>
      <c r="D200" s="4">
        <v>7.6</v>
      </c>
      <c r="E200" s="4" t="s">
        <v>881</v>
      </c>
      <c r="F200" s="4" t="s">
        <v>882</v>
      </c>
      <c r="G200" s="4" t="s">
        <v>883</v>
      </c>
      <c r="H200" s="4" t="s">
        <v>884</v>
      </c>
      <c r="I200" s="4">
        <v>0</v>
      </c>
      <c r="J200" s="4">
        <v>767.38</v>
      </c>
      <c r="K200" s="4">
        <f t="shared" si="10"/>
        <v>53.620000000000005</v>
      </c>
      <c r="L200" s="7">
        <f t="shared" si="11"/>
        <v>61.910000000000004</v>
      </c>
      <c r="M200" s="7">
        <f t="shared" si="12"/>
        <v>-8.2899999999999991</v>
      </c>
      <c r="N200" s="4">
        <v>7.28</v>
      </c>
      <c r="O200" s="4">
        <v>92.26</v>
      </c>
      <c r="P200" s="4">
        <v>65</v>
      </c>
      <c r="Q200" s="4">
        <v>19.8</v>
      </c>
      <c r="R200" s="4">
        <v>10.199999999999999</v>
      </c>
      <c r="S200" s="4">
        <v>15.47</v>
      </c>
      <c r="T200" s="4">
        <v>5.29</v>
      </c>
      <c r="U200" s="4">
        <v>7.17</v>
      </c>
      <c r="V200" s="4">
        <v>3520.72</v>
      </c>
      <c r="W200" s="4">
        <v>1050.01</v>
      </c>
      <c r="X200" s="4">
        <v>1266.3800000000001</v>
      </c>
      <c r="Y200" s="4">
        <v>754.75</v>
      </c>
      <c r="Z200" s="4">
        <v>5.2</v>
      </c>
      <c r="AA200" s="4">
        <v>1.6</v>
      </c>
      <c r="AB200" s="4">
        <v>4.4000000000000004</v>
      </c>
      <c r="AC200" s="4">
        <v>65.87</v>
      </c>
      <c r="AD200" s="4">
        <v>490</v>
      </c>
      <c r="AE200" s="4">
        <v>4700</v>
      </c>
      <c r="AF200" s="4">
        <v>73.349999999999994</v>
      </c>
      <c r="AG200" s="4">
        <v>0.47</v>
      </c>
      <c r="AH200" s="4">
        <v>11.89</v>
      </c>
      <c r="AI200" s="4">
        <v>32.909999999999997</v>
      </c>
      <c r="AJ200" s="4">
        <v>60</v>
      </c>
      <c r="AK200" s="4">
        <v>9</v>
      </c>
      <c r="AL200" s="4">
        <v>9</v>
      </c>
      <c r="AM200" s="4">
        <v>0.69</v>
      </c>
      <c r="AN200" s="4">
        <v>294</v>
      </c>
      <c r="AO200" s="4">
        <v>300.19</v>
      </c>
      <c r="AP200" s="4">
        <v>294936.65999999997</v>
      </c>
      <c r="AQ200" s="4">
        <v>166378.19</v>
      </c>
      <c r="AR200" s="4" t="s">
        <v>885</v>
      </c>
      <c r="AS200" s="5">
        <f t="shared" si="0"/>
        <v>7.3378122146118709</v>
      </c>
    </row>
    <row r="201" spans="1:45" ht="14.25" customHeight="1" x14ac:dyDescent="0.55000000000000004">
      <c r="A201" s="4">
        <v>20.55</v>
      </c>
      <c r="B201" s="4">
        <v>30.22</v>
      </c>
      <c r="C201" s="4">
        <v>5515.04</v>
      </c>
      <c r="D201" s="4">
        <v>7.6</v>
      </c>
      <c r="E201" s="4" t="s">
        <v>886</v>
      </c>
      <c r="F201" s="4" t="s">
        <v>887</v>
      </c>
      <c r="G201" s="4" t="s">
        <v>888</v>
      </c>
      <c r="H201" s="4" t="s">
        <v>889</v>
      </c>
      <c r="I201" s="4">
        <v>0</v>
      </c>
      <c r="J201" s="4">
        <v>1019.43</v>
      </c>
      <c r="K201" s="4">
        <f t="shared" si="10"/>
        <v>72.67</v>
      </c>
      <c r="L201" s="7">
        <f t="shared" si="11"/>
        <v>79.87</v>
      </c>
      <c r="M201" s="7">
        <f t="shared" si="12"/>
        <v>-7.2000000000000028</v>
      </c>
      <c r="N201" s="4">
        <v>7.4</v>
      </c>
      <c r="O201" s="4">
        <v>91.97</v>
      </c>
      <c r="P201" s="4">
        <v>66</v>
      </c>
      <c r="Q201" s="4">
        <v>19.600000000000001</v>
      </c>
      <c r="R201" s="4">
        <v>9.67</v>
      </c>
      <c r="S201" s="4">
        <v>15.41</v>
      </c>
      <c r="T201" s="4">
        <v>5.14</v>
      </c>
      <c r="U201" s="4">
        <v>5.41</v>
      </c>
      <c r="V201" s="4">
        <v>3529.63</v>
      </c>
      <c r="W201" s="4">
        <v>1040.8599999999999</v>
      </c>
      <c r="X201" s="4">
        <v>1154.71</v>
      </c>
      <c r="Y201" s="4">
        <v>726.04</v>
      </c>
      <c r="Z201" s="4">
        <v>5</v>
      </c>
      <c r="AA201" s="4">
        <v>1.56</v>
      </c>
      <c r="AB201" s="4">
        <v>4.49</v>
      </c>
      <c r="AC201" s="4">
        <v>65.290000000000006</v>
      </c>
      <c r="AD201" s="4">
        <v>490</v>
      </c>
      <c r="AE201" s="4">
        <v>4700</v>
      </c>
      <c r="AF201" s="4">
        <v>69.56</v>
      </c>
      <c r="AG201" s="4">
        <v>0.47</v>
      </c>
      <c r="AH201" s="4">
        <v>15.77</v>
      </c>
      <c r="AI201" s="4">
        <v>23.38</v>
      </c>
      <c r="AJ201" s="4">
        <v>60</v>
      </c>
      <c r="AK201" s="4">
        <v>9</v>
      </c>
      <c r="AL201" s="4">
        <v>9</v>
      </c>
      <c r="AM201" s="4">
        <v>0.97</v>
      </c>
      <c r="AN201" s="4">
        <v>294</v>
      </c>
      <c r="AO201" s="4">
        <v>302.70999999999998</v>
      </c>
      <c r="AP201" s="4">
        <v>366499.08</v>
      </c>
      <c r="AQ201" s="4">
        <v>221619.64</v>
      </c>
      <c r="AR201" s="4" t="s">
        <v>890</v>
      </c>
      <c r="AS201" s="5">
        <f t="shared" si="0"/>
        <v>8.2693744292237437</v>
      </c>
    </row>
    <row r="202" spans="1:45" ht="14.25" customHeight="1" x14ac:dyDescent="0.55000000000000004">
      <c r="A202" s="4">
        <v>21.05</v>
      </c>
      <c r="B202" s="4">
        <v>31.08</v>
      </c>
      <c r="C202" s="4">
        <v>5499.34</v>
      </c>
      <c r="D202" s="4">
        <v>7.59</v>
      </c>
      <c r="E202" s="4" t="s">
        <v>891</v>
      </c>
      <c r="F202" s="4" t="s">
        <v>892</v>
      </c>
      <c r="G202" s="4" t="s">
        <v>855</v>
      </c>
      <c r="H202" s="4" t="s">
        <v>893</v>
      </c>
      <c r="I202" s="4">
        <v>0</v>
      </c>
      <c r="J202" s="4">
        <v>916.43</v>
      </c>
      <c r="K202" s="4">
        <f t="shared" si="10"/>
        <v>64.639999999999986</v>
      </c>
      <c r="L202" s="7">
        <f t="shared" si="11"/>
        <v>69.37</v>
      </c>
      <c r="M202" s="7">
        <f t="shared" si="12"/>
        <v>-4.7300000000000182</v>
      </c>
      <c r="N202" s="4">
        <v>7.36</v>
      </c>
      <c r="O202" s="4">
        <v>91.85</v>
      </c>
      <c r="P202" s="4">
        <v>73</v>
      </c>
      <c r="Q202" s="4">
        <v>18.8</v>
      </c>
      <c r="R202" s="4">
        <v>10.029999999999999</v>
      </c>
      <c r="S202" s="4">
        <v>15.53</v>
      </c>
      <c r="T202" s="4">
        <v>5.53</v>
      </c>
      <c r="U202" s="4">
        <v>6</v>
      </c>
      <c r="V202" s="4">
        <v>3519.58</v>
      </c>
      <c r="W202" s="4">
        <v>1042.8499999999999</v>
      </c>
      <c r="X202" s="4">
        <v>1197.3499999999999</v>
      </c>
      <c r="Y202" s="4">
        <v>736.57</v>
      </c>
      <c r="Z202" s="4">
        <v>5.59</v>
      </c>
      <c r="AA202" s="4">
        <v>1.57</v>
      </c>
      <c r="AB202" s="4">
        <v>4.45</v>
      </c>
      <c r="AC202" s="4">
        <v>64.47</v>
      </c>
      <c r="AD202" s="4">
        <v>490</v>
      </c>
      <c r="AE202" s="4">
        <v>4700</v>
      </c>
      <c r="AF202" s="4">
        <v>72.099999999999994</v>
      </c>
      <c r="AG202" s="4">
        <v>0.47</v>
      </c>
      <c r="AH202" s="4">
        <v>14.42</v>
      </c>
      <c r="AI202" s="4">
        <v>29.37</v>
      </c>
      <c r="AJ202" s="4">
        <v>60</v>
      </c>
      <c r="AK202" s="4">
        <v>9</v>
      </c>
      <c r="AL202" s="4">
        <v>9</v>
      </c>
      <c r="AM202" s="4">
        <v>0.77</v>
      </c>
      <c r="AN202" s="4">
        <v>294</v>
      </c>
      <c r="AO202" s="4">
        <v>300.94</v>
      </c>
      <c r="AP202" s="4">
        <v>353160.46</v>
      </c>
      <c r="AQ202" s="4">
        <v>209295.55</v>
      </c>
      <c r="AR202" s="4" t="s">
        <v>894</v>
      </c>
      <c r="AS202" s="5">
        <f t="shared" si="0"/>
        <v>8.2114674657534259</v>
      </c>
    </row>
    <row r="203" spans="1:45" ht="14.25" customHeight="1" x14ac:dyDescent="0.55000000000000004">
      <c r="A203" s="4">
        <v>20.39</v>
      </c>
      <c r="B203" s="4">
        <v>30.8</v>
      </c>
      <c r="C203" s="4">
        <v>5475.36</v>
      </c>
      <c r="D203" s="4">
        <v>7.6</v>
      </c>
      <c r="E203" s="4" t="s">
        <v>895</v>
      </c>
      <c r="F203" s="4" t="s">
        <v>896</v>
      </c>
      <c r="G203" s="4" t="s">
        <v>897</v>
      </c>
      <c r="H203" s="4" t="s">
        <v>898</v>
      </c>
      <c r="I203" s="4">
        <v>0</v>
      </c>
      <c r="J203" s="4">
        <v>926.5</v>
      </c>
      <c r="K203" s="4">
        <f t="shared" si="10"/>
        <v>67.58</v>
      </c>
      <c r="L203" s="7">
        <f t="shared" si="11"/>
        <v>72.14</v>
      </c>
      <c r="M203" s="7">
        <f t="shared" si="12"/>
        <v>-4.5600000000000023</v>
      </c>
      <c r="N203" s="4">
        <v>7.38</v>
      </c>
      <c r="O203" s="4">
        <v>92.19</v>
      </c>
      <c r="P203" s="4">
        <v>62</v>
      </c>
      <c r="Q203" s="4">
        <v>20.100000000000001</v>
      </c>
      <c r="R203" s="4">
        <v>10.41</v>
      </c>
      <c r="S203" s="4">
        <v>15.36</v>
      </c>
      <c r="T203" s="4">
        <v>5.03</v>
      </c>
      <c r="U203" s="4">
        <v>5.91</v>
      </c>
      <c r="V203" s="4">
        <v>3504.23</v>
      </c>
      <c r="W203" s="4">
        <v>1039.1099999999999</v>
      </c>
      <c r="X203" s="4">
        <v>1196.96</v>
      </c>
      <c r="Y203" s="4">
        <v>735.14</v>
      </c>
      <c r="Z203" s="4">
        <v>5.62</v>
      </c>
      <c r="AA203" s="4">
        <v>1.56</v>
      </c>
      <c r="AB203" s="4">
        <v>4.47</v>
      </c>
      <c r="AC203" s="4">
        <v>67.41</v>
      </c>
      <c r="AD203" s="4">
        <v>490</v>
      </c>
      <c r="AE203" s="4">
        <v>4700</v>
      </c>
      <c r="AF203" s="4">
        <v>74.87</v>
      </c>
      <c r="AG203" s="4">
        <v>0.47</v>
      </c>
      <c r="AH203" s="4">
        <v>15.25</v>
      </c>
      <c r="AI203" s="4">
        <v>28.25</v>
      </c>
      <c r="AJ203" s="4">
        <v>60</v>
      </c>
      <c r="AK203" s="4">
        <v>9</v>
      </c>
      <c r="AL203" s="4">
        <v>9</v>
      </c>
      <c r="AM203" s="4">
        <v>0.8</v>
      </c>
      <c r="AN203" s="4">
        <v>294</v>
      </c>
      <c r="AO203" s="4">
        <v>301.20999999999998</v>
      </c>
      <c r="AP203" s="4">
        <v>362543.02</v>
      </c>
      <c r="AQ203" s="4">
        <v>210940.06</v>
      </c>
      <c r="AR203" s="4" t="s">
        <v>899</v>
      </c>
      <c r="AS203" s="5">
        <f t="shared" si="0"/>
        <v>8.6531369863013712</v>
      </c>
    </row>
    <row r="204" spans="1:45" ht="14.25" customHeight="1" x14ac:dyDescent="0.55000000000000004">
      <c r="A204" s="4">
        <v>20.49</v>
      </c>
      <c r="B204" s="4">
        <v>30.2</v>
      </c>
      <c r="C204" s="4">
        <v>5520.57</v>
      </c>
      <c r="D204" s="4">
        <v>7.6</v>
      </c>
      <c r="E204" s="4" t="s">
        <v>900</v>
      </c>
      <c r="F204" s="4" t="s">
        <v>901</v>
      </c>
      <c r="G204" s="4" t="s">
        <v>715</v>
      </c>
      <c r="H204" s="4" t="s">
        <v>902</v>
      </c>
      <c r="I204" s="4">
        <v>0</v>
      </c>
      <c r="J204" s="4">
        <v>1018.2</v>
      </c>
      <c r="K204" s="4">
        <f t="shared" si="10"/>
        <v>73.03</v>
      </c>
      <c r="L204" s="7">
        <f t="shared" si="11"/>
        <v>81.030000000000015</v>
      </c>
      <c r="M204" s="7">
        <f t="shared" si="12"/>
        <v>-8.0000000000000142</v>
      </c>
      <c r="N204" s="4">
        <v>7.41</v>
      </c>
      <c r="O204" s="4">
        <v>91.83</v>
      </c>
      <c r="P204" s="4">
        <v>64</v>
      </c>
      <c r="Q204" s="4">
        <v>19.8</v>
      </c>
      <c r="R204" s="4">
        <v>9.7200000000000006</v>
      </c>
      <c r="S204" s="4">
        <v>15.34</v>
      </c>
      <c r="T204" s="4">
        <v>5.15</v>
      </c>
      <c r="U204" s="4">
        <v>5.42</v>
      </c>
      <c r="V204" s="4">
        <v>3533.16</v>
      </c>
      <c r="W204" s="4">
        <v>1042.29</v>
      </c>
      <c r="X204" s="4">
        <v>1158.77</v>
      </c>
      <c r="Y204" s="4">
        <v>727.67</v>
      </c>
      <c r="Z204" s="4">
        <v>4.96</v>
      </c>
      <c r="AA204" s="4">
        <v>1.55</v>
      </c>
      <c r="AB204" s="4">
        <v>4.5</v>
      </c>
      <c r="AC204" s="4">
        <v>65.36</v>
      </c>
      <c r="AD204" s="4">
        <v>490</v>
      </c>
      <c r="AE204" s="4">
        <v>4700</v>
      </c>
      <c r="AF204" s="4">
        <v>69.87</v>
      </c>
      <c r="AG204" s="4">
        <v>0.47</v>
      </c>
      <c r="AH204" s="4">
        <v>15.8</v>
      </c>
      <c r="AI204" s="4">
        <v>23.05</v>
      </c>
      <c r="AJ204" s="4">
        <v>60</v>
      </c>
      <c r="AK204" s="4">
        <v>9</v>
      </c>
      <c r="AL204" s="4">
        <v>9</v>
      </c>
      <c r="AM204" s="4">
        <v>0.98</v>
      </c>
      <c r="AN204" s="4">
        <v>294</v>
      </c>
      <c r="AO204" s="4">
        <v>302.83999999999997</v>
      </c>
      <c r="AP204" s="4">
        <v>359954.4</v>
      </c>
      <c r="AQ204" s="4">
        <v>222337.29</v>
      </c>
      <c r="AR204" s="4" t="s">
        <v>903</v>
      </c>
      <c r="AS204" s="5">
        <f t="shared" si="0"/>
        <v>7.8548578767123294</v>
      </c>
    </row>
    <row r="205" spans="1:45" ht="14.25" customHeight="1" x14ac:dyDescent="0.55000000000000004">
      <c r="A205" s="4">
        <v>20.65</v>
      </c>
      <c r="B205" s="4">
        <v>31.02</v>
      </c>
      <c r="C205" s="4">
        <v>5517.52</v>
      </c>
      <c r="D205" s="4">
        <v>7.59</v>
      </c>
      <c r="E205" s="4" t="s">
        <v>904</v>
      </c>
      <c r="F205" s="4" t="s">
        <v>905</v>
      </c>
      <c r="G205" s="4" t="s">
        <v>906</v>
      </c>
      <c r="H205" s="4" t="s">
        <v>907</v>
      </c>
      <c r="I205" s="4">
        <v>0</v>
      </c>
      <c r="J205" s="4">
        <v>714.06</v>
      </c>
      <c r="K205" s="4">
        <f t="shared" si="10"/>
        <v>49.7</v>
      </c>
      <c r="L205" s="7">
        <f t="shared" si="11"/>
        <v>56.640000000000008</v>
      </c>
      <c r="M205" s="7">
        <f t="shared" si="12"/>
        <v>-6.9400000000000048</v>
      </c>
      <c r="N205" s="4">
        <v>7.23</v>
      </c>
      <c r="O205" s="4">
        <v>92.28</v>
      </c>
      <c r="P205" s="4">
        <v>57</v>
      </c>
      <c r="Q205" s="4">
        <v>20.3</v>
      </c>
      <c r="R205" s="4">
        <v>10.37</v>
      </c>
      <c r="S205" s="4">
        <v>14.89</v>
      </c>
      <c r="T205" s="4">
        <v>5.76</v>
      </c>
      <c r="U205" s="4">
        <v>7.73</v>
      </c>
      <c r="V205" s="4">
        <v>3531.21</v>
      </c>
      <c r="W205" s="4">
        <v>1055.1600000000001</v>
      </c>
      <c r="X205" s="4">
        <v>1293.71</v>
      </c>
      <c r="Y205" s="4">
        <v>762.67</v>
      </c>
      <c r="Z205" s="4">
        <v>5.27</v>
      </c>
      <c r="AA205" s="4">
        <v>1.59</v>
      </c>
      <c r="AB205" s="4">
        <v>4.4000000000000004</v>
      </c>
      <c r="AC205" s="4">
        <v>64.27</v>
      </c>
      <c r="AD205" s="4">
        <v>490</v>
      </c>
      <c r="AE205" s="4">
        <v>4700</v>
      </c>
      <c r="AF205" s="4">
        <v>74.56</v>
      </c>
      <c r="AG205" s="4">
        <v>0.47</v>
      </c>
      <c r="AH205" s="4">
        <v>11.08</v>
      </c>
      <c r="AI205" s="4">
        <v>35.979999999999997</v>
      </c>
      <c r="AJ205" s="4">
        <v>60</v>
      </c>
      <c r="AK205" s="4">
        <v>9</v>
      </c>
      <c r="AL205" s="4">
        <v>9</v>
      </c>
      <c r="AM205" s="4">
        <v>0.63</v>
      </c>
      <c r="AN205" s="4">
        <v>294</v>
      </c>
      <c r="AO205" s="4">
        <v>299.66000000000003</v>
      </c>
      <c r="AP205" s="4">
        <v>296268.06</v>
      </c>
      <c r="AQ205" s="4">
        <v>146505.73000000001</v>
      </c>
      <c r="AR205" s="4" t="s">
        <v>908</v>
      </c>
      <c r="AS205" s="5">
        <f t="shared" si="0"/>
        <v>8.5480781963470314</v>
      </c>
    </row>
    <row r="206" spans="1:45" ht="14.25" customHeight="1" x14ac:dyDescent="0.55000000000000004">
      <c r="A206" s="4">
        <v>20.329999999999998</v>
      </c>
      <c r="B206" s="4">
        <v>30.9</v>
      </c>
      <c r="C206" s="4">
        <v>5527.46</v>
      </c>
      <c r="D206" s="4">
        <v>7.6</v>
      </c>
      <c r="E206" s="4" t="s">
        <v>909</v>
      </c>
      <c r="F206" s="4" t="s">
        <v>910</v>
      </c>
      <c r="G206" s="4" t="s">
        <v>911</v>
      </c>
      <c r="H206" s="4" t="s">
        <v>912</v>
      </c>
      <c r="I206" s="4">
        <v>0</v>
      </c>
      <c r="J206" s="4">
        <v>1096.96</v>
      </c>
      <c r="K206" s="4">
        <f t="shared" si="10"/>
        <v>92.8</v>
      </c>
      <c r="L206" s="7">
        <f t="shared" si="11"/>
        <v>104.22</v>
      </c>
      <c r="M206" s="7">
        <f t="shared" si="12"/>
        <v>-11.420000000000002</v>
      </c>
      <c r="N206" s="4">
        <v>7.5</v>
      </c>
      <c r="O206" s="4">
        <v>91.46</v>
      </c>
      <c r="P206" s="4">
        <v>55</v>
      </c>
      <c r="Q206" s="4">
        <v>20.9</v>
      </c>
      <c r="R206" s="4">
        <v>10.57</v>
      </c>
      <c r="S206" s="4">
        <v>15.15</v>
      </c>
      <c r="T206" s="4">
        <v>5.18</v>
      </c>
      <c r="U206" s="4">
        <v>5.04</v>
      </c>
      <c r="V206" s="4">
        <v>3537.57</v>
      </c>
      <c r="W206" s="4">
        <v>1044.2</v>
      </c>
      <c r="X206" s="4">
        <v>1158.27</v>
      </c>
      <c r="Y206" s="4">
        <v>729.32</v>
      </c>
      <c r="Z206" s="4">
        <v>5.34</v>
      </c>
      <c r="AA206" s="4">
        <v>1.55</v>
      </c>
      <c r="AB206" s="4">
        <v>4.5</v>
      </c>
      <c r="AC206" s="4">
        <v>67.11</v>
      </c>
      <c r="AD206" s="4">
        <v>490</v>
      </c>
      <c r="AE206" s="4">
        <v>4700</v>
      </c>
      <c r="AF206" s="4">
        <v>76.010000000000005</v>
      </c>
      <c r="AG206" s="4">
        <v>0.47</v>
      </c>
      <c r="AH206" s="4">
        <v>18.82</v>
      </c>
      <c r="AI206" s="4">
        <v>19.55</v>
      </c>
      <c r="AJ206" s="4">
        <v>60</v>
      </c>
      <c r="AK206" s="4">
        <v>9</v>
      </c>
      <c r="AL206" s="4">
        <v>9</v>
      </c>
      <c r="AM206" s="4">
        <v>1.1599999999999999</v>
      </c>
      <c r="AN206" s="4">
        <v>294</v>
      </c>
      <c r="AO206" s="4">
        <v>304.42</v>
      </c>
      <c r="AP206" s="4">
        <v>369346.73</v>
      </c>
      <c r="AQ206" s="4">
        <v>355615.02</v>
      </c>
      <c r="AR206" s="4" t="s">
        <v>913</v>
      </c>
      <c r="AS206" s="5">
        <f t="shared" si="0"/>
        <v>0.78377340182648192</v>
      </c>
    </row>
    <row r="207" spans="1:45" ht="14.25" customHeight="1" x14ac:dyDescent="0.55000000000000004">
      <c r="A207" s="4">
        <v>20.34</v>
      </c>
      <c r="B207" s="4">
        <v>30.13</v>
      </c>
      <c r="C207" s="4">
        <v>5507.82</v>
      </c>
      <c r="D207" s="4">
        <v>7.61</v>
      </c>
      <c r="E207" s="4" t="s">
        <v>914</v>
      </c>
      <c r="F207" s="4" t="s">
        <v>915</v>
      </c>
      <c r="G207" s="4" t="s">
        <v>916</v>
      </c>
      <c r="H207" s="4" t="s">
        <v>917</v>
      </c>
      <c r="I207" s="4">
        <v>0</v>
      </c>
      <c r="J207" s="4">
        <v>1008.35</v>
      </c>
      <c r="K207" s="4">
        <f t="shared" si="10"/>
        <v>71.510000000000005</v>
      </c>
      <c r="L207" s="7">
        <f t="shared" si="11"/>
        <v>76.490000000000009</v>
      </c>
      <c r="M207" s="7">
        <f t="shared" si="12"/>
        <v>-4.980000000000004</v>
      </c>
      <c r="N207" s="4">
        <v>7.4</v>
      </c>
      <c r="O207" s="4">
        <v>92.03</v>
      </c>
      <c r="P207" s="4">
        <v>63</v>
      </c>
      <c r="Q207" s="4">
        <v>19.8</v>
      </c>
      <c r="R207" s="4">
        <v>9.7799999999999994</v>
      </c>
      <c r="S207" s="4">
        <v>15.21</v>
      </c>
      <c r="T207" s="4">
        <v>5.13</v>
      </c>
      <c r="U207" s="4">
        <v>5.46</v>
      </c>
      <c r="V207" s="4">
        <v>3525</v>
      </c>
      <c r="W207" s="4">
        <v>1039.97</v>
      </c>
      <c r="X207" s="4">
        <v>1157.5899999999999</v>
      </c>
      <c r="Y207" s="4">
        <v>726.29</v>
      </c>
      <c r="Z207" s="4">
        <v>5.61</v>
      </c>
      <c r="AA207" s="4">
        <v>1.56</v>
      </c>
      <c r="AB207" s="4">
        <v>4.5</v>
      </c>
      <c r="AC207" s="4">
        <v>65.59</v>
      </c>
      <c r="AD207" s="4">
        <v>490</v>
      </c>
      <c r="AE207" s="4">
        <v>4700</v>
      </c>
      <c r="AF207" s="4">
        <v>70.349999999999994</v>
      </c>
      <c r="AG207" s="4">
        <v>0.47</v>
      </c>
      <c r="AH207" s="4">
        <v>15.77</v>
      </c>
      <c r="AI207" s="4">
        <v>26.64</v>
      </c>
      <c r="AJ207" s="4">
        <v>60</v>
      </c>
      <c r="AK207" s="4">
        <v>9</v>
      </c>
      <c r="AL207" s="4">
        <v>9</v>
      </c>
      <c r="AM207" s="4">
        <v>0.85</v>
      </c>
      <c r="AN207" s="4">
        <v>294</v>
      </c>
      <c r="AO207" s="4">
        <v>301.64999999999998</v>
      </c>
      <c r="AP207" s="4">
        <v>369219.09</v>
      </c>
      <c r="AQ207" s="4">
        <v>262445</v>
      </c>
      <c r="AR207" s="4" t="s">
        <v>918</v>
      </c>
      <c r="AS207" s="5">
        <f t="shared" si="0"/>
        <v>6.0944115296803671</v>
      </c>
    </row>
    <row r="208" spans="1:45" ht="14.25" customHeight="1" x14ac:dyDescent="0.55000000000000004">
      <c r="A208" s="4">
        <v>20.6</v>
      </c>
      <c r="B208" s="4">
        <v>30.6</v>
      </c>
      <c r="C208" s="4">
        <v>5509.45</v>
      </c>
      <c r="D208" s="4">
        <v>7.59</v>
      </c>
      <c r="E208" s="4" t="s">
        <v>919</v>
      </c>
      <c r="F208" s="4" t="s">
        <v>920</v>
      </c>
      <c r="G208" s="4" t="s">
        <v>921</v>
      </c>
      <c r="H208" s="4" t="s">
        <v>922</v>
      </c>
      <c r="I208" s="4">
        <v>0</v>
      </c>
      <c r="J208" s="4">
        <v>904.56</v>
      </c>
      <c r="K208" s="4">
        <f t="shared" si="10"/>
        <v>61.43</v>
      </c>
      <c r="L208" s="7">
        <f t="shared" si="11"/>
        <v>67.5</v>
      </c>
      <c r="M208" s="7">
        <f t="shared" si="12"/>
        <v>-6.07</v>
      </c>
      <c r="N208" s="4">
        <v>7.33</v>
      </c>
      <c r="O208" s="4">
        <v>92.2</v>
      </c>
      <c r="P208" s="4">
        <v>60</v>
      </c>
      <c r="Q208" s="4">
        <v>20.100000000000001</v>
      </c>
      <c r="R208" s="4">
        <v>10</v>
      </c>
      <c r="S208" s="4">
        <v>15.1</v>
      </c>
      <c r="T208" s="4">
        <v>5.5</v>
      </c>
      <c r="U208" s="4">
        <v>6.09</v>
      </c>
      <c r="V208" s="4">
        <v>3526.05</v>
      </c>
      <c r="W208" s="4">
        <v>1043.44</v>
      </c>
      <c r="X208" s="4">
        <v>1191.21</v>
      </c>
      <c r="Y208" s="4">
        <v>734.98</v>
      </c>
      <c r="Z208" s="4">
        <v>5.46</v>
      </c>
      <c r="AA208" s="4">
        <v>1.55</v>
      </c>
      <c r="AB208" s="4">
        <v>4.4800000000000004</v>
      </c>
      <c r="AC208" s="4">
        <v>64.489999999999995</v>
      </c>
      <c r="AD208" s="4">
        <v>490</v>
      </c>
      <c r="AE208" s="4">
        <v>4700</v>
      </c>
      <c r="AF208" s="4">
        <v>71.88</v>
      </c>
      <c r="AG208" s="4">
        <v>0.47</v>
      </c>
      <c r="AH208" s="4">
        <v>14.12</v>
      </c>
      <c r="AI208" s="4">
        <v>30.18</v>
      </c>
      <c r="AJ208" s="4">
        <v>60</v>
      </c>
      <c r="AK208" s="4">
        <v>9</v>
      </c>
      <c r="AL208" s="4">
        <v>9</v>
      </c>
      <c r="AM208" s="4">
        <v>0.75</v>
      </c>
      <c r="AN208" s="4">
        <v>294</v>
      </c>
      <c r="AO208" s="4">
        <v>300.75</v>
      </c>
      <c r="AP208" s="4">
        <v>335027.26</v>
      </c>
      <c r="AQ208" s="4">
        <v>214464.65</v>
      </c>
      <c r="AR208" s="4" t="s">
        <v>923</v>
      </c>
      <c r="AS208" s="5">
        <f t="shared" si="0"/>
        <v>6.8814275114155263</v>
      </c>
    </row>
    <row r="209" spans="1:45" ht="14.25" customHeight="1" x14ac:dyDescent="0.55000000000000004">
      <c r="A209" s="4">
        <v>20.309999999999999</v>
      </c>
      <c r="B209" s="4">
        <v>30.1</v>
      </c>
      <c r="C209" s="4">
        <v>5503.49</v>
      </c>
      <c r="D209" s="4">
        <v>7.6</v>
      </c>
      <c r="E209" s="4" t="s">
        <v>924</v>
      </c>
      <c r="F209" s="4" t="s">
        <v>925</v>
      </c>
      <c r="G209" s="4" t="s">
        <v>926</v>
      </c>
      <c r="H209" s="4" t="s">
        <v>927</v>
      </c>
      <c r="I209" s="4">
        <v>0</v>
      </c>
      <c r="J209" s="4">
        <v>1083.76</v>
      </c>
      <c r="K209" s="4">
        <f t="shared" si="10"/>
        <v>70.37</v>
      </c>
      <c r="L209" s="7">
        <f t="shared" si="11"/>
        <v>74.67</v>
      </c>
      <c r="M209" s="7">
        <f t="shared" si="12"/>
        <v>-4.2999999999999972</v>
      </c>
      <c r="N209" s="4">
        <v>7.5</v>
      </c>
      <c r="O209" s="4">
        <v>92.11</v>
      </c>
      <c r="P209" s="4">
        <v>72</v>
      </c>
      <c r="Q209" s="4">
        <v>18.8</v>
      </c>
      <c r="R209" s="4">
        <v>9.7899999999999991</v>
      </c>
      <c r="S209" s="4">
        <v>15.41</v>
      </c>
      <c r="T209" s="4">
        <v>4.9000000000000004</v>
      </c>
      <c r="U209" s="4">
        <v>5.08</v>
      </c>
      <c r="V209" s="4">
        <v>3522.23</v>
      </c>
      <c r="W209" s="4">
        <v>1041.02</v>
      </c>
      <c r="X209" s="4">
        <v>1163.99</v>
      </c>
      <c r="Y209" s="4">
        <v>729.39</v>
      </c>
      <c r="Z209" s="4">
        <v>5.65</v>
      </c>
      <c r="AA209" s="4">
        <v>1.55</v>
      </c>
      <c r="AB209" s="4">
        <v>4.5</v>
      </c>
      <c r="AC209" s="4">
        <v>66.650000000000006</v>
      </c>
      <c r="AD209" s="4">
        <v>490</v>
      </c>
      <c r="AE209" s="4">
        <v>4700</v>
      </c>
      <c r="AF209" s="4">
        <v>70.42</v>
      </c>
      <c r="AG209" s="4">
        <v>0.47</v>
      </c>
      <c r="AH209" s="4">
        <v>17.27</v>
      </c>
      <c r="AI209" s="4">
        <v>27.29</v>
      </c>
      <c r="AJ209" s="4">
        <v>60</v>
      </c>
      <c r="AK209" s="4">
        <v>9</v>
      </c>
      <c r="AL209" s="4">
        <v>9</v>
      </c>
      <c r="AM209" s="4">
        <v>0.83</v>
      </c>
      <c r="AN209" s="4">
        <v>294</v>
      </c>
      <c r="AO209" s="4">
        <v>301.47000000000003</v>
      </c>
      <c r="AP209" s="4">
        <v>314988.67</v>
      </c>
      <c r="AQ209" s="4">
        <v>239186.04</v>
      </c>
      <c r="AR209" s="4" t="s">
        <v>928</v>
      </c>
      <c r="AS209" s="5">
        <f t="shared" si="0"/>
        <v>4.3266341324200903</v>
      </c>
    </row>
    <row r="210" spans="1:45" ht="14.25" customHeight="1" x14ac:dyDescent="0.55000000000000004">
      <c r="A210" s="4">
        <v>20.52</v>
      </c>
      <c r="B210" s="4">
        <v>30.14</v>
      </c>
      <c r="C210" s="4">
        <v>5502.25</v>
      </c>
      <c r="D210" s="4">
        <v>7.61</v>
      </c>
      <c r="E210" s="4" t="s">
        <v>929</v>
      </c>
      <c r="F210" s="4" t="s">
        <v>930</v>
      </c>
      <c r="G210" s="4" t="s">
        <v>931</v>
      </c>
      <c r="H210" s="4" t="s">
        <v>932</v>
      </c>
      <c r="I210" s="4">
        <v>0</v>
      </c>
      <c r="J210" s="4">
        <v>1041.99</v>
      </c>
      <c r="K210" s="4">
        <f t="shared" si="10"/>
        <v>74.23</v>
      </c>
      <c r="L210" s="7">
        <f t="shared" si="11"/>
        <v>82.36</v>
      </c>
      <c r="M210" s="7">
        <f t="shared" si="12"/>
        <v>-8.1299999999999955</v>
      </c>
      <c r="N210" s="4">
        <v>7.41</v>
      </c>
      <c r="O210" s="4">
        <v>92.06</v>
      </c>
      <c r="P210" s="4">
        <v>64</v>
      </c>
      <c r="Q210" s="4">
        <v>20.5</v>
      </c>
      <c r="R210" s="4">
        <v>9.6199999999999992</v>
      </c>
      <c r="S210" s="4">
        <v>15.98</v>
      </c>
      <c r="T210" s="4">
        <v>4.55</v>
      </c>
      <c r="U210" s="4">
        <v>5.28</v>
      </c>
      <c r="V210" s="4">
        <v>3521.44</v>
      </c>
      <c r="W210" s="4">
        <v>1037.44</v>
      </c>
      <c r="X210" s="4">
        <v>1142.76</v>
      </c>
      <c r="Y210" s="4">
        <v>721.79</v>
      </c>
      <c r="Z210" s="4">
        <v>4.96</v>
      </c>
      <c r="AA210" s="4">
        <v>1.56</v>
      </c>
      <c r="AB210" s="4">
        <v>4.5</v>
      </c>
      <c r="AC210" s="4">
        <v>67.91</v>
      </c>
      <c r="AD210" s="4">
        <v>490</v>
      </c>
      <c r="AE210" s="4">
        <v>4700</v>
      </c>
      <c r="AF210" s="4">
        <v>69.17</v>
      </c>
      <c r="AG210" s="4">
        <v>0.47</v>
      </c>
      <c r="AH210" s="4">
        <v>16.16</v>
      </c>
      <c r="AI210" s="4">
        <v>22.68</v>
      </c>
      <c r="AJ210" s="4">
        <v>60</v>
      </c>
      <c r="AK210" s="4">
        <v>9</v>
      </c>
      <c r="AL210" s="4">
        <v>9</v>
      </c>
      <c r="AM210" s="4">
        <v>1</v>
      </c>
      <c r="AN210" s="4">
        <v>294</v>
      </c>
      <c r="AO210" s="4">
        <v>302.98</v>
      </c>
      <c r="AP210" s="4">
        <v>362201.64</v>
      </c>
      <c r="AQ210" s="4">
        <v>237857.54</v>
      </c>
      <c r="AR210" s="4" t="s">
        <v>933</v>
      </c>
      <c r="AS210" s="5">
        <f t="shared" si="0"/>
        <v>7.09726598173516</v>
      </c>
    </row>
    <row r="211" spans="1:45" ht="14.25" customHeight="1" x14ac:dyDescent="0.55000000000000004">
      <c r="A211" s="4">
        <v>20.57</v>
      </c>
      <c r="B211" s="4">
        <v>30.21</v>
      </c>
      <c r="C211" s="4">
        <v>5528.63</v>
      </c>
      <c r="D211" s="4">
        <v>7.61</v>
      </c>
      <c r="E211" s="4" t="s">
        <v>934</v>
      </c>
      <c r="F211" s="4" t="s">
        <v>935</v>
      </c>
      <c r="G211" s="4" t="s">
        <v>936</v>
      </c>
      <c r="H211" s="4" t="s">
        <v>937</v>
      </c>
      <c r="I211" s="4">
        <v>0</v>
      </c>
      <c r="J211" s="4">
        <v>954.74</v>
      </c>
      <c r="K211" s="4">
        <f t="shared" si="10"/>
        <v>64.400000000000006</v>
      </c>
      <c r="L211" s="7">
        <f t="shared" si="11"/>
        <v>67.849999999999994</v>
      </c>
      <c r="M211" s="7">
        <f t="shared" si="12"/>
        <v>-3.4499999999999886</v>
      </c>
      <c r="N211" s="4">
        <v>7.35</v>
      </c>
      <c r="O211" s="4">
        <v>92.02</v>
      </c>
      <c r="P211" s="4">
        <v>66</v>
      </c>
      <c r="Q211" s="4">
        <v>20.100000000000001</v>
      </c>
      <c r="R211" s="4">
        <v>9.64</v>
      </c>
      <c r="S211" s="4">
        <v>15.87</v>
      </c>
      <c r="T211" s="4">
        <v>4.7</v>
      </c>
      <c r="U211" s="4">
        <v>5.79</v>
      </c>
      <c r="V211" s="4">
        <v>3538.32</v>
      </c>
      <c r="W211" s="4">
        <v>1044.55</v>
      </c>
      <c r="X211" s="4">
        <v>1171.73</v>
      </c>
      <c r="Y211" s="4">
        <v>731.09</v>
      </c>
      <c r="Z211" s="4">
        <v>5.69</v>
      </c>
      <c r="AA211" s="4">
        <v>1.57</v>
      </c>
      <c r="AB211" s="4">
        <v>4.47</v>
      </c>
      <c r="AC211" s="4">
        <v>67.23</v>
      </c>
      <c r="AD211" s="4">
        <v>490</v>
      </c>
      <c r="AE211" s="4">
        <v>4700</v>
      </c>
      <c r="AF211" s="4">
        <v>69.319999999999993</v>
      </c>
      <c r="AG211" s="4">
        <v>0.47</v>
      </c>
      <c r="AH211" s="4">
        <v>14.47</v>
      </c>
      <c r="AI211" s="4">
        <v>30.02</v>
      </c>
      <c r="AJ211" s="4">
        <v>60</v>
      </c>
      <c r="AK211" s="4">
        <v>9</v>
      </c>
      <c r="AL211" s="4">
        <v>9</v>
      </c>
      <c r="AM211" s="4">
        <v>0.75</v>
      </c>
      <c r="AN211" s="4">
        <v>294</v>
      </c>
      <c r="AO211" s="4">
        <v>300.79000000000002</v>
      </c>
      <c r="AP211" s="4">
        <v>364047.28</v>
      </c>
      <c r="AQ211" s="4">
        <v>227804.86</v>
      </c>
      <c r="AR211" s="4" t="s">
        <v>938</v>
      </c>
      <c r="AS211" s="5">
        <f t="shared" si="0"/>
        <v>7.7763938356164406</v>
      </c>
    </row>
    <row r="212" spans="1:45" ht="14.25" customHeight="1" x14ac:dyDescent="0.55000000000000004">
      <c r="A212" s="4">
        <v>20.39</v>
      </c>
      <c r="B212" s="4">
        <v>30.07</v>
      </c>
      <c r="C212" s="4">
        <v>5499.68</v>
      </c>
      <c r="D212" s="4">
        <v>7.59</v>
      </c>
      <c r="E212" s="4" t="s">
        <v>939</v>
      </c>
      <c r="F212" s="4" t="s">
        <v>940</v>
      </c>
      <c r="G212" s="4" t="s">
        <v>941</v>
      </c>
      <c r="H212" s="4" t="s">
        <v>942</v>
      </c>
      <c r="I212" s="4">
        <v>0</v>
      </c>
      <c r="J212" s="4">
        <v>992.68</v>
      </c>
      <c r="K212" s="4">
        <f t="shared" si="10"/>
        <v>68.11999999999999</v>
      </c>
      <c r="L212" s="7">
        <f t="shared" si="11"/>
        <v>74.859999999999985</v>
      </c>
      <c r="M212" s="7">
        <f t="shared" si="12"/>
        <v>-6.7399999999999949</v>
      </c>
      <c r="N212" s="4">
        <v>7.38</v>
      </c>
      <c r="O212" s="4">
        <v>91.72</v>
      </c>
      <c r="P212" s="4">
        <v>61</v>
      </c>
      <c r="Q212" s="4">
        <v>20.5</v>
      </c>
      <c r="R212" s="4">
        <v>9.68</v>
      </c>
      <c r="S212" s="4">
        <v>15.59</v>
      </c>
      <c r="T212" s="4">
        <v>4.8</v>
      </c>
      <c r="U212" s="4">
        <v>5.54</v>
      </c>
      <c r="V212" s="4">
        <v>3519.8</v>
      </c>
      <c r="W212" s="4">
        <v>1037.96</v>
      </c>
      <c r="X212" s="4">
        <v>1153.83</v>
      </c>
      <c r="Y212" s="4">
        <v>724.26</v>
      </c>
      <c r="Z212" s="4">
        <v>5</v>
      </c>
      <c r="AA212" s="4">
        <v>1.53</v>
      </c>
      <c r="AB212" s="4">
        <v>4.5199999999999996</v>
      </c>
      <c r="AC212" s="4">
        <v>66.849999999999994</v>
      </c>
      <c r="AD212" s="4">
        <v>490</v>
      </c>
      <c r="AE212" s="4">
        <v>4700</v>
      </c>
      <c r="AF212" s="4">
        <v>69.59</v>
      </c>
      <c r="AG212" s="4">
        <v>0.47</v>
      </c>
      <c r="AH212" s="4">
        <v>15.33</v>
      </c>
      <c r="AI212" s="4">
        <v>24.95</v>
      </c>
      <c r="AJ212" s="4">
        <v>60</v>
      </c>
      <c r="AK212" s="4">
        <v>9</v>
      </c>
      <c r="AL212" s="4">
        <v>9</v>
      </c>
      <c r="AM212" s="4">
        <v>0.91</v>
      </c>
      <c r="AN212" s="4">
        <v>294</v>
      </c>
      <c r="AO212" s="4">
        <v>302.17</v>
      </c>
      <c r="AP212" s="4">
        <v>357427.38</v>
      </c>
      <c r="AQ212" s="4">
        <v>207881.83</v>
      </c>
      <c r="AR212" s="4" t="s">
        <v>943</v>
      </c>
      <c r="AS212" s="5">
        <f t="shared" si="0"/>
        <v>8.5357049086758003</v>
      </c>
    </row>
    <row r="213" spans="1:45" ht="14.25" customHeight="1" x14ac:dyDescent="0.55000000000000004">
      <c r="A213" s="4">
        <v>20.98</v>
      </c>
      <c r="B213" s="4">
        <v>30.56</v>
      </c>
      <c r="C213" s="4">
        <v>5609.03</v>
      </c>
      <c r="D213" s="4">
        <v>7.61</v>
      </c>
      <c r="E213" s="4" t="s">
        <v>944</v>
      </c>
      <c r="F213" s="4" t="s">
        <v>945</v>
      </c>
      <c r="G213" s="4" t="s">
        <v>946</v>
      </c>
      <c r="H213" s="4" t="s">
        <v>947</v>
      </c>
      <c r="I213" s="4">
        <v>0</v>
      </c>
      <c r="J213" s="4">
        <v>1109.1500000000001</v>
      </c>
      <c r="K213" s="4">
        <f t="shared" si="10"/>
        <v>87.149999999999991</v>
      </c>
      <c r="L213" s="7">
        <f t="shared" si="11"/>
        <v>94.27</v>
      </c>
      <c r="M213" s="7">
        <f t="shared" si="12"/>
        <v>-7.1200000000000045</v>
      </c>
      <c r="N213" s="4">
        <v>7.47</v>
      </c>
      <c r="O213" s="4">
        <v>91.91</v>
      </c>
      <c r="P213" s="4">
        <v>70</v>
      </c>
      <c r="Q213" s="4">
        <v>20.3</v>
      </c>
      <c r="R213" s="4">
        <v>9.58</v>
      </c>
      <c r="S213" s="4">
        <v>16.559999999999999</v>
      </c>
      <c r="T213" s="4">
        <v>4.42</v>
      </c>
      <c r="U213" s="4">
        <v>5.0599999999999996</v>
      </c>
      <c r="V213" s="4">
        <v>3589.78</v>
      </c>
      <c r="W213" s="4">
        <v>1056.93</v>
      </c>
      <c r="X213" s="4">
        <v>1154.96</v>
      </c>
      <c r="Y213" s="4">
        <v>733.74</v>
      </c>
      <c r="Z213" s="4">
        <v>5.08</v>
      </c>
      <c r="AA213" s="4">
        <v>1.58</v>
      </c>
      <c r="AB213" s="4">
        <v>4.46</v>
      </c>
      <c r="AC213" s="4">
        <v>68.42</v>
      </c>
      <c r="AD213" s="4">
        <v>490</v>
      </c>
      <c r="AE213" s="4">
        <v>4700</v>
      </c>
      <c r="AF213" s="4">
        <v>68.88</v>
      </c>
      <c r="AG213" s="4">
        <v>0.47</v>
      </c>
      <c r="AH213" s="4">
        <v>16.98</v>
      </c>
      <c r="AI213" s="4">
        <v>19.809999999999999</v>
      </c>
      <c r="AJ213" s="4">
        <v>60</v>
      </c>
      <c r="AK213" s="4">
        <v>9</v>
      </c>
      <c r="AL213" s="4">
        <v>9</v>
      </c>
      <c r="AM213" s="4">
        <v>1.1399999999999999</v>
      </c>
      <c r="AN213" s="4">
        <v>294</v>
      </c>
      <c r="AO213" s="4">
        <v>304.27999999999997</v>
      </c>
      <c r="AP213" s="4">
        <v>406800.53</v>
      </c>
      <c r="AQ213" s="4">
        <v>277435.55</v>
      </c>
      <c r="AR213" s="4" t="s">
        <v>948</v>
      </c>
      <c r="AS213" s="5">
        <f t="shared" si="0"/>
        <v>7.383845890410961</v>
      </c>
    </row>
    <row r="214" spans="1:45" ht="14.25" customHeight="1" x14ac:dyDescent="0.55000000000000004">
      <c r="A214" s="4">
        <v>21.18</v>
      </c>
      <c r="B214" s="4">
        <v>30.67</v>
      </c>
      <c r="C214" s="4">
        <v>5602.1</v>
      </c>
      <c r="D214" s="4">
        <v>7.61</v>
      </c>
      <c r="E214" s="4" t="s">
        <v>949</v>
      </c>
      <c r="F214" s="4" t="s">
        <v>950</v>
      </c>
      <c r="G214" s="4" t="s">
        <v>951</v>
      </c>
      <c r="H214" s="4" t="s">
        <v>952</v>
      </c>
      <c r="I214" s="4">
        <v>0</v>
      </c>
      <c r="J214" s="4">
        <v>1026</v>
      </c>
      <c r="K214" s="4">
        <f t="shared" si="10"/>
        <v>72.27000000000001</v>
      </c>
      <c r="L214" s="7">
        <f t="shared" si="11"/>
        <v>76.11</v>
      </c>
      <c r="M214" s="7">
        <f t="shared" si="12"/>
        <v>-3.8399999999999892</v>
      </c>
      <c r="N214" s="4">
        <v>7.4</v>
      </c>
      <c r="O214" s="4">
        <v>92.34</v>
      </c>
      <c r="P214" s="4">
        <v>73</v>
      </c>
      <c r="Q214" s="4">
        <v>20.100000000000001</v>
      </c>
      <c r="R214" s="4">
        <v>9.49</v>
      </c>
      <c r="S214" s="4">
        <v>16.75</v>
      </c>
      <c r="T214" s="4">
        <v>4.43</v>
      </c>
      <c r="U214" s="4">
        <v>5.46</v>
      </c>
      <c r="V214" s="4">
        <v>3585.34</v>
      </c>
      <c r="W214" s="4">
        <v>1056.78</v>
      </c>
      <c r="X214" s="4">
        <v>1168.5899999999999</v>
      </c>
      <c r="Y214" s="4">
        <v>736.23</v>
      </c>
      <c r="Z214" s="4">
        <v>5.22</v>
      </c>
      <c r="AA214" s="4">
        <v>1.58</v>
      </c>
      <c r="AB214" s="4">
        <v>4.4400000000000004</v>
      </c>
      <c r="AC214" s="4">
        <v>68.180000000000007</v>
      </c>
      <c r="AD214" s="4">
        <v>490</v>
      </c>
      <c r="AE214" s="4">
        <v>4700</v>
      </c>
      <c r="AF214" s="4">
        <v>68.22</v>
      </c>
      <c r="AG214" s="4">
        <v>0.47</v>
      </c>
      <c r="AH214" s="4">
        <v>15.3</v>
      </c>
      <c r="AI214" s="4">
        <v>24.54</v>
      </c>
      <c r="AJ214" s="4">
        <v>60</v>
      </c>
      <c r="AK214" s="4">
        <v>9</v>
      </c>
      <c r="AL214" s="4">
        <v>9</v>
      </c>
      <c r="AM214" s="4">
        <v>0.92</v>
      </c>
      <c r="AN214" s="4">
        <v>294</v>
      </c>
      <c r="AO214" s="4">
        <v>302.3</v>
      </c>
      <c r="AP214" s="4">
        <v>391711.42</v>
      </c>
      <c r="AQ214" s="4">
        <v>212396.78</v>
      </c>
      <c r="AR214" s="4" t="s">
        <v>953</v>
      </c>
      <c r="AS214" s="5">
        <f t="shared" si="0"/>
        <v>10.234853881278537</v>
      </c>
    </row>
    <row r="215" spans="1:45" ht="14.25" customHeight="1" x14ac:dyDescent="0.55000000000000004">
      <c r="A215" s="4">
        <v>20.3</v>
      </c>
      <c r="B215" s="4">
        <v>29.89</v>
      </c>
      <c r="C215" s="4">
        <v>5478.13</v>
      </c>
      <c r="D215" s="4">
        <v>7.61</v>
      </c>
      <c r="E215" s="4" t="s">
        <v>954</v>
      </c>
      <c r="F215" s="4" t="s">
        <v>955</v>
      </c>
      <c r="G215" s="4" t="s">
        <v>956</v>
      </c>
      <c r="H215" s="4" t="s">
        <v>957</v>
      </c>
      <c r="I215" s="4">
        <v>0</v>
      </c>
      <c r="J215" s="4">
        <v>1049.47</v>
      </c>
      <c r="K215" s="4">
        <f t="shared" si="10"/>
        <v>75.960000000000008</v>
      </c>
      <c r="L215" s="7">
        <f t="shared" si="11"/>
        <v>83.92</v>
      </c>
      <c r="M215" s="7">
        <f t="shared" si="12"/>
        <v>-7.9599999999999937</v>
      </c>
      <c r="N215" s="4">
        <v>7.42</v>
      </c>
      <c r="O215" s="4">
        <v>92.25</v>
      </c>
      <c r="P215" s="4">
        <v>61</v>
      </c>
      <c r="Q215" s="4">
        <v>20.399999999999999</v>
      </c>
      <c r="R215" s="4">
        <v>9.59</v>
      </c>
      <c r="S215" s="4">
        <v>15.5</v>
      </c>
      <c r="T215" s="4">
        <v>4.8</v>
      </c>
      <c r="U215" s="4">
        <v>5.22</v>
      </c>
      <c r="V215" s="4">
        <v>3506</v>
      </c>
      <c r="W215" s="4">
        <v>1032.95</v>
      </c>
      <c r="X215" s="4">
        <v>1137.5999999999999</v>
      </c>
      <c r="Y215" s="4">
        <v>718.71</v>
      </c>
      <c r="Z215" s="4">
        <v>4.9800000000000004</v>
      </c>
      <c r="AA215" s="4">
        <v>1.55</v>
      </c>
      <c r="AB215" s="4">
        <v>4.5199999999999996</v>
      </c>
      <c r="AC215" s="4">
        <v>66.64</v>
      </c>
      <c r="AD215" s="4">
        <v>490</v>
      </c>
      <c r="AE215" s="4">
        <v>4700</v>
      </c>
      <c r="AF215" s="4">
        <v>68.989999999999995</v>
      </c>
      <c r="AG215" s="4">
        <v>0.47</v>
      </c>
      <c r="AH215" s="4">
        <v>16.350000000000001</v>
      </c>
      <c r="AI215" s="4">
        <v>22.25</v>
      </c>
      <c r="AJ215" s="4">
        <v>60</v>
      </c>
      <c r="AK215" s="4">
        <v>9</v>
      </c>
      <c r="AL215" s="4">
        <v>9</v>
      </c>
      <c r="AM215" s="4">
        <v>1.02</v>
      </c>
      <c r="AN215" s="4">
        <v>294</v>
      </c>
      <c r="AO215" s="4">
        <v>303.16000000000003</v>
      </c>
      <c r="AP215" s="4">
        <v>368888.28</v>
      </c>
      <c r="AQ215" s="4">
        <v>241553.85</v>
      </c>
      <c r="AR215" s="4" t="s">
        <v>958</v>
      </c>
      <c r="AS215" s="5">
        <f t="shared" si="0"/>
        <v>7.2679469178082208</v>
      </c>
    </row>
    <row r="216" spans="1:45" ht="14.25" customHeight="1" x14ac:dyDescent="0.55000000000000004">
      <c r="A216" s="4">
        <v>21.04</v>
      </c>
      <c r="B216" s="4">
        <v>30.52</v>
      </c>
      <c r="C216" s="4">
        <v>5612.09</v>
      </c>
      <c r="D216" s="4">
        <v>7.62</v>
      </c>
      <c r="E216" s="4" t="s">
        <v>959</v>
      </c>
      <c r="F216" s="4" t="s">
        <v>960</v>
      </c>
      <c r="G216" s="4" t="s">
        <v>961</v>
      </c>
      <c r="H216" s="4" t="s">
        <v>962</v>
      </c>
      <c r="I216" s="4">
        <v>0</v>
      </c>
      <c r="J216" s="4">
        <v>915.15</v>
      </c>
      <c r="K216" s="4">
        <f t="shared" si="10"/>
        <v>71.97</v>
      </c>
      <c r="L216" s="7">
        <f t="shared" si="11"/>
        <v>75.709999999999994</v>
      </c>
      <c r="M216" s="7">
        <f t="shared" si="12"/>
        <v>-3.7399999999999949</v>
      </c>
      <c r="N216" s="4">
        <v>7.29</v>
      </c>
      <c r="O216" s="4">
        <v>92.72</v>
      </c>
      <c r="P216" s="4">
        <v>79</v>
      </c>
      <c r="Q216" s="4">
        <v>19.399999999999999</v>
      </c>
      <c r="R216" s="4">
        <v>9.4700000000000006</v>
      </c>
      <c r="S216" s="4">
        <v>16.829999999999998</v>
      </c>
      <c r="T216" s="4">
        <v>4.21</v>
      </c>
      <c r="U216" s="4">
        <v>6.13</v>
      </c>
      <c r="V216" s="4">
        <v>3591.74</v>
      </c>
      <c r="W216" s="4">
        <v>1058.8800000000001</v>
      </c>
      <c r="X216" s="4">
        <v>1183.1199999999999</v>
      </c>
      <c r="Y216" s="4">
        <v>739.22</v>
      </c>
      <c r="Z216" s="4">
        <v>5.23</v>
      </c>
      <c r="AA216" s="4">
        <v>1.59</v>
      </c>
      <c r="AB216" s="4">
        <v>4.43</v>
      </c>
      <c r="AC216" s="4">
        <v>69.209999999999994</v>
      </c>
      <c r="AD216" s="4">
        <v>490</v>
      </c>
      <c r="AE216" s="4">
        <v>4700</v>
      </c>
      <c r="AF216" s="4">
        <v>68.11</v>
      </c>
      <c r="AG216" s="4">
        <v>0.47</v>
      </c>
      <c r="AH216" s="4">
        <v>13.27</v>
      </c>
      <c r="AI216" s="4">
        <v>24.67</v>
      </c>
      <c r="AJ216" s="4">
        <v>60</v>
      </c>
      <c r="AK216" s="4">
        <v>9</v>
      </c>
      <c r="AL216" s="4">
        <v>9</v>
      </c>
      <c r="AM216" s="4">
        <v>0.92</v>
      </c>
      <c r="AN216" s="4">
        <v>294</v>
      </c>
      <c r="AO216" s="4">
        <v>302.26</v>
      </c>
      <c r="AP216" s="4">
        <v>449746.96</v>
      </c>
      <c r="AQ216" s="4">
        <v>209682.51</v>
      </c>
      <c r="AR216" s="4" t="s">
        <v>963</v>
      </c>
      <c r="AS216" s="5">
        <f t="shared" si="0"/>
        <v>13.702308789954339</v>
      </c>
    </row>
    <row r="217" spans="1:45" ht="14.25" customHeight="1" x14ac:dyDescent="0.55000000000000004">
      <c r="A217" s="4">
        <v>21.04</v>
      </c>
      <c r="B217" s="4">
        <v>30.73</v>
      </c>
      <c r="C217" s="4">
        <v>5655.55</v>
      </c>
      <c r="D217" s="4">
        <v>7.59</v>
      </c>
      <c r="E217" s="4" t="s">
        <v>964</v>
      </c>
      <c r="F217" s="4" t="s">
        <v>965</v>
      </c>
      <c r="G217" s="4" t="s">
        <v>966</v>
      </c>
      <c r="H217" s="4" t="s">
        <v>967</v>
      </c>
      <c r="I217" s="4">
        <v>0</v>
      </c>
      <c r="J217" s="4">
        <v>726.37</v>
      </c>
      <c r="K217" s="4">
        <f t="shared" si="10"/>
        <v>55.54</v>
      </c>
      <c r="L217" s="7">
        <f t="shared" si="11"/>
        <v>54.65</v>
      </c>
      <c r="M217" s="7">
        <f t="shared" si="12"/>
        <v>0.89000000000000057</v>
      </c>
      <c r="N217" s="4">
        <v>7.15</v>
      </c>
      <c r="O217" s="4">
        <v>91.85</v>
      </c>
      <c r="P217" s="4">
        <v>71</v>
      </c>
      <c r="Q217" s="4">
        <v>21</v>
      </c>
      <c r="R217" s="4">
        <v>9.69</v>
      </c>
      <c r="S217" s="4">
        <v>17.34</v>
      </c>
      <c r="T217" s="4">
        <v>3.7</v>
      </c>
      <c r="U217" s="4">
        <v>7.79</v>
      </c>
      <c r="V217" s="4">
        <v>3619.55</v>
      </c>
      <c r="W217" s="4">
        <v>1071.3399999999999</v>
      </c>
      <c r="X217" s="4">
        <v>1249.54</v>
      </c>
      <c r="Y217" s="4">
        <v>757.69</v>
      </c>
      <c r="Z217" s="4">
        <v>6.1</v>
      </c>
      <c r="AA217" s="4">
        <v>1.6</v>
      </c>
      <c r="AB217" s="4">
        <v>4.3899999999999997</v>
      </c>
      <c r="AC217" s="4">
        <v>72.34</v>
      </c>
      <c r="AD217" s="4">
        <v>490</v>
      </c>
      <c r="AE217" s="4">
        <v>4700</v>
      </c>
      <c r="AF217" s="4">
        <v>69.67</v>
      </c>
      <c r="AG217" s="4">
        <v>0.47</v>
      </c>
      <c r="AH217" s="4">
        <v>10.27</v>
      </c>
      <c r="AI217" s="4">
        <v>37.28</v>
      </c>
      <c r="AJ217" s="4">
        <v>60</v>
      </c>
      <c r="AK217" s="4">
        <v>9</v>
      </c>
      <c r="AL217" s="4">
        <v>9</v>
      </c>
      <c r="AM217" s="4">
        <v>0.61</v>
      </c>
      <c r="AN217" s="4">
        <v>294</v>
      </c>
      <c r="AO217" s="4">
        <v>299.45999999999998</v>
      </c>
      <c r="AP217" s="4">
        <v>434538.26</v>
      </c>
      <c r="AQ217" s="4">
        <v>169441.51</v>
      </c>
      <c r="AR217" s="4" t="s">
        <v>968</v>
      </c>
      <c r="AS217" s="5">
        <f t="shared" si="0"/>
        <v>15.131093036529681</v>
      </c>
    </row>
    <row r="218" spans="1:45" ht="14.25" customHeight="1" x14ac:dyDescent="0.55000000000000004">
      <c r="A218" s="4">
        <v>20.67</v>
      </c>
      <c r="B218" s="4">
        <v>30.28</v>
      </c>
      <c r="C218" s="4">
        <v>5510.71</v>
      </c>
      <c r="D218" s="4">
        <v>7.6</v>
      </c>
      <c r="E218" s="4" t="s">
        <v>969</v>
      </c>
      <c r="F218" s="4" t="s">
        <v>970</v>
      </c>
      <c r="G218" s="4" t="s">
        <v>971</v>
      </c>
      <c r="H218" s="4" t="s">
        <v>972</v>
      </c>
      <c r="I218" s="4">
        <v>0</v>
      </c>
      <c r="J218" s="4">
        <v>1032.3800000000001</v>
      </c>
      <c r="K218" s="4">
        <f t="shared" si="10"/>
        <v>73.930000000000007</v>
      </c>
      <c r="L218" s="7">
        <f t="shared" si="11"/>
        <v>81.540000000000006</v>
      </c>
      <c r="M218" s="7">
        <f t="shared" si="12"/>
        <v>-7.6099999999999994</v>
      </c>
      <c r="N218" s="4">
        <v>7.41</v>
      </c>
      <c r="O218" s="4">
        <v>92.04</v>
      </c>
      <c r="P218" s="4">
        <v>67</v>
      </c>
      <c r="Q218" s="4">
        <v>20.100000000000001</v>
      </c>
      <c r="R218" s="4">
        <v>9.6</v>
      </c>
      <c r="S218" s="4">
        <v>15.99</v>
      </c>
      <c r="T218" s="4">
        <v>4.68</v>
      </c>
      <c r="U218" s="4">
        <v>5.34</v>
      </c>
      <c r="V218" s="4">
        <v>3526.85</v>
      </c>
      <c r="W218" s="4">
        <v>1039.55</v>
      </c>
      <c r="X218" s="4">
        <v>1149.1199999999999</v>
      </c>
      <c r="Y218" s="4">
        <v>724.2</v>
      </c>
      <c r="Z218" s="4">
        <v>4.99</v>
      </c>
      <c r="AA218" s="4">
        <v>1.55</v>
      </c>
      <c r="AB218" s="4">
        <v>4.49</v>
      </c>
      <c r="AC218" s="4">
        <v>67.239999999999995</v>
      </c>
      <c r="AD218" s="4">
        <v>490</v>
      </c>
      <c r="AE218" s="4">
        <v>4700</v>
      </c>
      <c r="AF218" s="4">
        <v>69.05</v>
      </c>
      <c r="AG218" s="4">
        <v>0.47</v>
      </c>
      <c r="AH218" s="4">
        <v>15.92</v>
      </c>
      <c r="AI218" s="4">
        <v>22.9</v>
      </c>
      <c r="AJ218" s="4">
        <v>60</v>
      </c>
      <c r="AK218" s="4">
        <v>9</v>
      </c>
      <c r="AL218" s="4">
        <v>9</v>
      </c>
      <c r="AM218" s="4">
        <v>0.99</v>
      </c>
      <c r="AN218" s="4">
        <v>294</v>
      </c>
      <c r="AO218" s="4">
        <v>302.89999999999998</v>
      </c>
      <c r="AP218" s="4">
        <v>366485.63</v>
      </c>
      <c r="AQ218" s="4">
        <v>230653.25</v>
      </c>
      <c r="AR218" s="4" t="s">
        <v>973</v>
      </c>
      <c r="AS218" s="5">
        <f t="shared" si="0"/>
        <v>7.7529897260273977</v>
      </c>
    </row>
    <row r="219" spans="1:45" ht="14.25" customHeight="1" x14ac:dyDescent="0.55000000000000004">
      <c r="A219" s="4">
        <v>20.98</v>
      </c>
      <c r="B219" s="4">
        <v>30.64</v>
      </c>
      <c r="C219" s="4">
        <v>5629.43</v>
      </c>
      <c r="D219" s="4">
        <v>7.59</v>
      </c>
      <c r="E219" s="4" t="s">
        <v>974</v>
      </c>
      <c r="F219" s="4" t="s">
        <v>975</v>
      </c>
      <c r="G219" s="4" t="s">
        <v>976</v>
      </c>
      <c r="H219" s="4" t="s">
        <v>977</v>
      </c>
      <c r="I219" s="4">
        <v>0</v>
      </c>
      <c r="J219" s="4">
        <v>985.39</v>
      </c>
      <c r="K219" s="4">
        <f t="shared" si="10"/>
        <v>66.88</v>
      </c>
      <c r="L219" s="7">
        <f t="shared" si="11"/>
        <v>68.239999999999995</v>
      </c>
      <c r="M219" s="7">
        <f t="shared" si="12"/>
        <v>-1.3599999999999994</v>
      </c>
      <c r="N219" s="4">
        <v>7.37</v>
      </c>
      <c r="O219" s="4">
        <v>91.73</v>
      </c>
      <c r="P219" s="4">
        <v>78</v>
      </c>
      <c r="Q219" s="4">
        <v>19.100000000000001</v>
      </c>
      <c r="R219" s="4">
        <v>9.66</v>
      </c>
      <c r="S219" s="4">
        <v>16.420000000000002</v>
      </c>
      <c r="T219" s="4">
        <v>4.5599999999999996</v>
      </c>
      <c r="U219" s="4">
        <v>5.71</v>
      </c>
      <c r="V219" s="4">
        <v>3602.84</v>
      </c>
      <c r="W219" s="4">
        <v>1062.51</v>
      </c>
      <c r="X219" s="4">
        <v>1182.24</v>
      </c>
      <c r="Y219" s="4">
        <v>741.58</v>
      </c>
      <c r="Z219" s="4">
        <v>5.88</v>
      </c>
      <c r="AA219" s="4">
        <v>1.56</v>
      </c>
      <c r="AB219" s="4">
        <v>4.46</v>
      </c>
      <c r="AC219" s="4">
        <v>67.92</v>
      </c>
      <c r="AD219" s="4">
        <v>490</v>
      </c>
      <c r="AE219" s="4">
        <v>4700</v>
      </c>
      <c r="AF219" s="4">
        <v>69.430000000000007</v>
      </c>
      <c r="AG219" s="4">
        <v>0.47</v>
      </c>
      <c r="AH219" s="4">
        <v>14.73</v>
      </c>
      <c r="AI219" s="4">
        <v>29.85</v>
      </c>
      <c r="AJ219" s="4">
        <v>60</v>
      </c>
      <c r="AK219" s="4">
        <v>9</v>
      </c>
      <c r="AL219" s="4">
        <v>9</v>
      </c>
      <c r="AM219" s="4">
        <v>0.76</v>
      </c>
      <c r="AN219" s="4">
        <v>294</v>
      </c>
      <c r="AO219" s="4">
        <v>300.82</v>
      </c>
      <c r="AP219" s="4">
        <v>387493.77</v>
      </c>
      <c r="AQ219" s="4">
        <v>234162.05</v>
      </c>
      <c r="AR219" s="4" t="s">
        <v>978</v>
      </c>
      <c r="AS219" s="5">
        <f t="shared" si="0"/>
        <v>8.7518105022831065</v>
      </c>
    </row>
    <row r="220" spans="1:45" ht="14.25" customHeight="1" x14ac:dyDescent="0.55000000000000004">
      <c r="A220" s="4">
        <v>20.88</v>
      </c>
      <c r="B220" s="4">
        <v>30.49</v>
      </c>
      <c r="C220" s="4">
        <v>5624.17</v>
      </c>
      <c r="D220" s="4">
        <v>7.6</v>
      </c>
      <c r="E220" s="4" t="s">
        <v>979</v>
      </c>
      <c r="F220" s="4" t="s">
        <v>980</v>
      </c>
      <c r="G220" s="4" t="s">
        <v>981</v>
      </c>
      <c r="H220" s="4" t="s">
        <v>982</v>
      </c>
      <c r="I220" s="4">
        <v>0</v>
      </c>
      <c r="J220" s="4">
        <v>1085.92</v>
      </c>
      <c r="K220" s="4">
        <f t="shared" si="10"/>
        <v>80.59</v>
      </c>
      <c r="L220" s="7">
        <f t="shared" si="11"/>
        <v>86.26</v>
      </c>
      <c r="M220" s="7">
        <f t="shared" si="12"/>
        <v>-5.6700000000000017</v>
      </c>
      <c r="N220" s="4">
        <v>7.44</v>
      </c>
      <c r="O220" s="4">
        <v>91.73</v>
      </c>
      <c r="P220" s="4">
        <v>74</v>
      </c>
      <c r="Q220" s="4">
        <v>19.7</v>
      </c>
      <c r="R220" s="4">
        <v>9.6199999999999992</v>
      </c>
      <c r="S220" s="4">
        <v>16.5</v>
      </c>
      <c r="T220" s="4">
        <v>4.38</v>
      </c>
      <c r="U220" s="4">
        <v>5.18</v>
      </c>
      <c r="V220" s="4">
        <v>3599.47</v>
      </c>
      <c r="W220" s="4">
        <v>1059.55</v>
      </c>
      <c r="X220" s="4">
        <v>1158.17</v>
      </c>
      <c r="Y220" s="4">
        <v>735.37</v>
      </c>
      <c r="Z220" s="4">
        <v>5.14</v>
      </c>
      <c r="AA220" s="4">
        <v>1.56</v>
      </c>
      <c r="AB220" s="4">
        <v>4.47</v>
      </c>
      <c r="AC220" s="4">
        <v>68.709999999999994</v>
      </c>
      <c r="AD220" s="4">
        <v>490</v>
      </c>
      <c r="AE220" s="4">
        <v>4700</v>
      </c>
      <c r="AF220" s="4">
        <v>69.150000000000006</v>
      </c>
      <c r="AG220" s="4">
        <v>0.47</v>
      </c>
      <c r="AH220" s="4">
        <v>16.55</v>
      </c>
      <c r="AI220" s="4">
        <v>21.65</v>
      </c>
      <c r="AJ220" s="4">
        <v>60</v>
      </c>
      <c r="AK220" s="4">
        <v>9</v>
      </c>
      <c r="AL220" s="4">
        <v>9</v>
      </c>
      <c r="AM220" s="4">
        <v>1.05</v>
      </c>
      <c r="AN220" s="4">
        <v>294</v>
      </c>
      <c r="AO220" s="4">
        <v>303.41000000000003</v>
      </c>
      <c r="AP220" s="4">
        <v>399497.25</v>
      </c>
      <c r="AQ220" s="4">
        <v>255178.89</v>
      </c>
      <c r="AR220" s="4" t="s">
        <v>983</v>
      </c>
      <c r="AS220" s="5">
        <f t="shared" si="0"/>
        <v>8.2373493150684922</v>
      </c>
    </row>
    <row r="221" spans="1:45" ht="14.25" customHeight="1" x14ac:dyDescent="0.55000000000000004">
      <c r="A221" s="4">
        <v>20.32</v>
      </c>
      <c r="B221" s="4">
        <v>30.02</v>
      </c>
      <c r="C221" s="4">
        <v>5492.02</v>
      </c>
      <c r="D221" s="4">
        <v>7.6</v>
      </c>
      <c r="E221" s="4" t="s">
        <v>984</v>
      </c>
      <c r="F221" s="4" t="s">
        <v>985</v>
      </c>
      <c r="G221" s="4" t="s">
        <v>986</v>
      </c>
      <c r="H221" s="4" t="s">
        <v>987</v>
      </c>
      <c r="I221" s="4">
        <v>0</v>
      </c>
      <c r="J221" s="4">
        <v>1072.67</v>
      </c>
      <c r="K221" s="4">
        <f t="shared" si="10"/>
        <v>79.44</v>
      </c>
      <c r="L221" s="7">
        <f t="shared" si="11"/>
        <v>87.34</v>
      </c>
      <c r="M221" s="7">
        <f t="shared" si="12"/>
        <v>-7.9000000000000057</v>
      </c>
      <c r="N221" s="4">
        <v>7.44</v>
      </c>
      <c r="O221" s="4">
        <v>91.82</v>
      </c>
      <c r="P221" s="4">
        <v>58</v>
      </c>
      <c r="Q221" s="4">
        <v>20.399999999999999</v>
      </c>
      <c r="R221" s="4">
        <v>9.6999999999999993</v>
      </c>
      <c r="S221" s="4">
        <v>15.11</v>
      </c>
      <c r="T221" s="4">
        <v>5.21</v>
      </c>
      <c r="U221" s="4">
        <v>5.12</v>
      </c>
      <c r="V221" s="4">
        <v>3514.89</v>
      </c>
      <c r="W221" s="4">
        <v>1035.21</v>
      </c>
      <c r="X221" s="4">
        <v>1135.97</v>
      </c>
      <c r="Y221" s="4">
        <v>719.48</v>
      </c>
      <c r="Z221" s="4">
        <v>5</v>
      </c>
      <c r="AA221" s="4">
        <v>1.54</v>
      </c>
      <c r="AB221" s="4">
        <v>4.5199999999999996</v>
      </c>
      <c r="AC221" s="4">
        <v>65.040000000000006</v>
      </c>
      <c r="AD221" s="4">
        <v>490</v>
      </c>
      <c r="AE221" s="4">
        <v>4700</v>
      </c>
      <c r="AF221" s="4">
        <v>69.739999999999995</v>
      </c>
      <c r="AG221" s="4">
        <v>0.47</v>
      </c>
      <c r="AH221" s="4">
        <v>16.93</v>
      </c>
      <c r="AI221" s="4">
        <v>21.38</v>
      </c>
      <c r="AJ221" s="4">
        <v>60</v>
      </c>
      <c r="AK221" s="4">
        <v>9</v>
      </c>
      <c r="AL221" s="4">
        <v>9</v>
      </c>
      <c r="AM221" s="4">
        <v>1.06</v>
      </c>
      <c r="AN221" s="4">
        <v>294</v>
      </c>
      <c r="AO221" s="4">
        <v>303.52999999999997</v>
      </c>
      <c r="AP221" s="4">
        <v>378206.29</v>
      </c>
      <c r="AQ221" s="4">
        <v>254642.71</v>
      </c>
      <c r="AR221" s="4" t="s">
        <v>988</v>
      </c>
      <c r="AS221" s="5">
        <f t="shared" si="0"/>
        <v>7.052715753424657</v>
      </c>
    </row>
    <row r="222" spans="1:45" ht="14.25" customHeight="1" x14ac:dyDescent="0.55000000000000004">
      <c r="A222" s="4">
        <v>20.7</v>
      </c>
      <c r="B222" s="4">
        <v>30.39</v>
      </c>
      <c r="C222" s="4">
        <v>5627.57</v>
      </c>
      <c r="D222" s="4">
        <v>7.61</v>
      </c>
      <c r="E222" s="4" t="s">
        <v>989</v>
      </c>
      <c r="F222" s="4" t="s">
        <v>990</v>
      </c>
      <c r="G222" s="4" t="s">
        <v>991</v>
      </c>
      <c r="H222" s="4" t="s">
        <v>992</v>
      </c>
      <c r="I222" s="4">
        <v>0</v>
      </c>
      <c r="J222" s="4">
        <v>1078.72</v>
      </c>
      <c r="K222" s="4">
        <f t="shared" si="10"/>
        <v>95.9</v>
      </c>
      <c r="L222" s="7">
        <f t="shared" si="11"/>
        <v>104.97999999999999</v>
      </c>
      <c r="M222" s="7">
        <f t="shared" si="12"/>
        <v>-9.0799999999999841</v>
      </c>
      <c r="N222" s="4">
        <v>7.43</v>
      </c>
      <c r="O222" s="4">
        <v>91.78</v>
      </c>
      <c r="P222" s="4">
        <v>81</v>
      </c>
      <c r="Q222" s="4">
        <v>19.8</v>
      </c>
      <c r="R222" s="4">
        <v>9.69</v>
      </c>
      <c r="S222" s="4">
        <v>17.46</v>
      </c>
      <c r="T222" s="4">
        <v>3.24</v>
      </c>
      <c r="U222" s="4">
        <v>5.22</v>
      </c>
      <c r="V222" s="4">
        <v>3601.64</v>
      </c>
      <c r="W222" s="4">
        <v>1059.55</v>
      </c>
      <c r="X222" s="4">
        <v>1154.75</v>
      </c>
      <c r="Y222" s="4">
        <v>734.37</v>
      </c>
      <c r="Z222" s="4">
        <v>5.0199999999999996</v>
      </c>
      <c r="AA222" s="4">
        <v>1.57</v>
      </c>
      <c r="AB222" s="4">
        <v>4.47</v>
      </c>
      <c r="AC222" s="4">
        <v>74.930000000000007</v>
      </c>
      <c r="AD222" s="4">
        <v>490</v>
      </c>
      <c r="AE222" s="4">
        <v>4700</v>
      </c>
      <c r="AF222" s="4">
        <v>69.680000000000007</v>
      </c>
      <c r="AG222" s="4">
        <v>0.47</v>
      </c>
      <c r="AH222" s="4">
        <v>16.52</v>
      </c>
      <c r="AI222" s="4">
        <v>17.79</v>
      </c>
      <c r="AJ222" s="4">
        <v>60</v>
      </c>
      <c r="AK222" s="4">
        <v>9</v>
      </c>
      <c r="AL222" s="4">
        <v>9</v>
      </c>
      <c r="AM222" s="4">
        <v>1.27</v>
      </c>
      <c r="AN222" s="4">
        <v>294</v>
      </c>
      <c r="AO222" s="4">
        <v>305.45</v>
      </c>
      <c r="AP222" s="4">
        <v>467123.5</v>
      </c>
      <c r="AQ222" s="4">
        <v>319398.25</v>
      </c>
      <c r="AR222" s="4" t="s">
        <v>993</v>
      </c>
      <c r="AS222" s="5">
        <f t="shared" si="0"/>
        <v>8.4318065068493144</v>
      </c>
    </row>
    <row r="223" spans="1:45" ht="14.25" customHeight="1" x14ac:dyDescent="0.55000000000000004">
      <c r="A223" s="4">
        <v>21.01</v>
      </c>
      <c r="B223" s="4">
        <v>30.59</v>
      </c>
      <c r="C223" s="4">
        <v>5639.17</v>
      </c>
      <c r="D223" s="4">
        <v>7.61</v>
      </c>
      <c r="E223" s="4" t="s">
        <v>994</v>
      </c>
      <c r="F223" s="4" t="s">
        <v>995</v>
      </c>
      <c r="G223" s="4" t="s">
        <v>961</v>
      </c>
      <c r="H223" s="4" t="s">
        <v>996</v>
      </c>
      <c r="I223" s="4">
        <v>0</v>
      </c>
      <c r="J223" s="4">
        <v>711.98</v>
      </c>
      <c r="K223" s="4">
        <f t="shared" si="10"/>
        <v>54.260000000000005</v>
      </c>
      <c r="L223" s="7">
        <f t="shared" si="11"/>
        <v>53.11</v>
      </c>
      <c r="M223" s="7">
        <f t="shared" si="12"/>
        <v>1.1500000000000057</v>
      </c>
      <c r="N223" s="4">
        <v>7.13</v>
      </c>
      <c r="O223" s="4">
        <v>92.64</v>
      </c>
      <c r="P223" s="4">
        <v>80</v>
      </c>
      <c r="Q223" s="4">
        <v>20</v>
      </c>
      <c r="R223" s="4">
        <v>9.58</v>
      </c>
      <c r="S223" s="4">
        <v>17.53</v>
      </c>
      <c r="T223" s="4">
        <v>3.48</v>
      </c>
      <c r="U223" s="4">
        <v>7.92</v>
      </c>
      <c r="V223" s="4">
        <v>3609.07</v>
      </c>
      <c r="W223" s="4">
        <v>1068.04</v>
      </c>
      <c r="X223" s="4">
        <v>1247.05</v>
      </c>
      <c r="Y223" s="4">
        <v>755.31</v>
      </c>
      <c r="Z223" s="4">
        <v>6.13</v>
      </c>
      <c r="AA223" s="4">
        <v>1.61</v>
      </c>
      <c r="AB223" s="4">
        <v>4.38</v>
      </c>
      <c r="AC223" s="4">
        <v>73.37</v>
      </c>
      <c r="AD223" s="4">
        <v>490</v>
      </c>
      <c r="AE223" s="4">
        <v>4700</v>
      </c>
      <c r="AF223" s="4">
        <v>68.89</v>
      </c>
      <c r="AG223" s="4">
        <v>0.47</v>
      </c>
      <c r="AH223" s="4">
        <v>9.9499999999999993</v>
      </c>
      <c r="AI223" s="4">
        <v>38.36</v>
      </c>
      <c r="AJ223" s="4">
        <v>60</v>
      </c>
      <c r="AK223" s="4">
        <v>9</v>
      </c>
      <c r="AL223" s="4">
        <v>9</v>
      </c>
      <c r="AM223" s="4">
        <v>0.59</v>
      </c>
      <c r="AN223" s="4">
        <v>294</v>
      </c>
      <c r="AO223" s="4">
        <v>299.31</v>
      </c>
      <c r="AP223" s="4">
        <v>433803.33</v>
      </c>
      <c r="AQ223" s="4">
        <v>165540.65</v>
      </c>
      <c r="AR223" s="4" t="s">
        <v>997</v>
      </c>
      <c r="AS223" s="5">
        <f t="shared" si="0"/>
        <v>15.311796803652971</v>
      </c>
    </row>
    <row r="224" spans="1:45" ht="14.25" customHeight="1" x14ac:dyDescent="0.55000000000000004">
      <c r="A224" s="4">
        <v>20.9</v>
      </c>
      <c r="B224" s="4">
        <v>30.41</v>
      </c>
      <c r="C224" s="4">
        <v>5551.61</v>
      </c>
      <c r="D224" s="4">
        <v>7.59</v>
      </c>
      <c r="E224" s="4" t="s">
        <v>998</v>
      </c>
      <c r="F224" s="4" t="s">
        <v>999</v>
      </c>
      <c r="G224" s="4" t="s">
        <v>187</v>
      </c>
      <c r="H224" s="4" t="s">
        <v>1000</v>
      </c>
      <c r="I224" s="4">
        <v>0</v>
      </c>
      <c r="J224" s="4">
        <v>984.39</v>
      </c>
      <c r="K224" s="4">
        <f t="shared" si="10"/>
        <v>66.31</v>
      </c>
      <c r="L224" s="7">
        <f t="shared" si="11"/>
        <v>75.33</v>
      </c>
      <c r="M224" s="7">
        <f t="shared" si="12"/>
        <v>-9.019999999999996</v>
      </c>
      <c r="N224" s="4">
        <v>7.36</v>
      </c>
      <c r="O224" s="4">
        <v>92.45</v>
      </c>
      <c r="P224" s="4">
        <v>77</v>
      </c>
      <c r="Q224" s="4">
        <v>19.600000000000001</v>
      </c>
      <c r="R224" s="4">
        <v>9.51</v>
      </c>
      <c r="S224" s="4">
        <v>16.78</v>
      </c>
      <c r="T224" s="4">
        <v>4.12</v>
      </c>
      <c r="U224" s="4">
        <v>5.64</v>
      </c>
      <c r="V224" s="4">
        <v>3553.03</v>
      </c>
      <c r="W224" s="4">
        <v>1047.3800000000001</v>
      </c>
      <c r="X224" s="4">
        <v>1162.75</v>
      </c>
      <c r="Y224" s="4">
        <v>730.3</v>
      </c>
      <c r="Z224" s="4">
        <v>4.84</v>
      </c>
      <c r="AA224" s="4">
        <v>1.56</v>
      </c>
      <c r="AB224" s="4">
        <v>4.4800000000000004</v>
      </c>
      <c r="AC224" s="4">
        <v>69.760000000000005</v>
      </c>
      <c r="AD224" s="4">
        <v>490</v>
      </c>
      <c r="AE224" s="4">
        <v>4700</v>
      </c>
      <c r="AF224" s="4">
        <v>68.37</v>
      </c>
      <c r="AG224" s="4">
        <v>0.47</v>
      </c>
      <c r="AH224" s="4">
        <v>14.74</v>
      </c>
      <c r="AI224" s="4">
        <v>24.79</v>
      </c>
      <c r="AJ224" s="4">
        <v>60</v>
      </c>
      <c r="AK224" s="4">
        <v>9</v>
      </c>
      <c r="AL224" s="4">
        <v>9</v>
      </c>
      <c r="AM224" s="4">
        <v>0.91</v>
      </c>
      <c r="AN224" s="4">
        <v>294</v>
      </c>
      <c r="AO224" s="4">
        <v>302.22000000000003</v>
      </c>
      <c r="AP224" s="4">
        <v>333864.75</v>
      </c>
      <c r="AQ224" s="4">
        <v>214114.6</v>
      </c>
      <c r="AR224" s="4" t="s">
        <v>1001</v>
      </c>
      <c r="AS224" s="5">
        <f t="shared" si="0"/>
        <v>6.8350542237442919</v>
      </c>
    </row>
    <row r="225" spans="1:45" ht="14.25" customHeight="1" x14ac:dyDescent="0.55000000000000004">
      <c r="A225" s="4">
        <v>20.87</v>
      </c>
      <c r="B225" s="4">
        <v>30.5</v>
      </c>
      <c r="C225" s="4">
        <v>5544.93</v>
      </c>
      <c r="D225" s="4">
        <v>7.6</v>
      </c>
      <c r="E225" s="4" t="s">
        <v>1002</v>
      </c>
      <c r="F225" s="4" t="s">
        <v>1003</v>
      </c>
      <c r="G225" s="4" t="s">
        <v>1004</v>
      </c>
      <c r="H225" s="4" t="s">
        <v>1005</v>
      </c>
      <c r="I225" s="4">
        <v>0</v>
      </c>
      <c r="J225" s="4">
        <v>1011.26</v>
      </c>
      <c r="K225" s="4">
        <f t="shared" si="10"/>
        <v>70.7</v>
      </c>
      <c r="L225" s="7">
        <f t="shared" si="11"/>
        <v>74.210000000000008</v>
      </c>
      <c r="M225" s="7">
        <f t="shared" si="12"/>
        <v>-3.5100000000000051</v>
      </c>
      <c r="N225" s="4">
        <v>7.39</v>
      </c>
      <c r="O225" s="4">
        <v>92.04</v>
      </c>
      <c r="P225" s="4">
        <v>68</v>
      </c>
      <c r="Q225" s="4">
        <v>20.2</v>
      </c>
      <c r="R225" s="4">
        <v>9.6199999999999992</v>
      </c>
      <c r="S225" s="4">
        <v>16.21</v>
      </c>
      <c r="T225" s="4">
        <v>4.66</v>
      </c>
      <c r="U225" s="4">
        <v>5.48</v>
      </c>
      <c r="V225" s="4">
        <v>3548.76</v>
      </c>
      <c r="W225" s="4">
        <v>1046.31</v>
      </c>
      <c r="X225" s="4">
        <v>1160.28</v>
      </c>
      <c r="Y225" s="4">
        <v>729.6</v>
      </c>
      <c r="Z225" s="4">
        <v>5.24</v>
      </c>
      <c r="AA225" s="4">
        <v>1.57</v>
      </c>
      <c r="AB225" s="4">
        <v>4.47</v>
      </c>
      <c r="AC225" s="4">
        <v>67.38</v>
      </c>
      <c r="AD225" s="4">
        <v>490</v>
      </c>
      <c r="AE225" s="4">
        <v>4700</v>
      </c>
      <c r="AF225" s="4">
        <v>69.209999999999994</v>
      </c>
      <c r="AG225" s="4">
        <v>0.47</v>
      </c>
      <c r="AH225" s="4">
        <v>15.44</v>
      </c>
      <c r="AI225" s="4">
        <v>25.17</v>
      </c>
      <c r="AJ225" s="4">
        <v>60</v>
      </c>
      <c r="AK225" s="4">
        <v>9</v>
      </c>
      <c r="AL225" s="4">
        <v>9</v>
      </c>
      <c r="AM225" s="4">
        <v>0.9</v>
      </c>
      <c r="AN225" s="4">
        <v>294</v>
      </c>
      <c r="AO225" s="4">
        <v>302.08999999999997</v>
      </c>
      <c r="AP225" s="4">
        <v>391231.51</v>
      </c>
      <c r="AQ225" s="4">
        <v>204331.51999999999</v>
      </c>
      <c r="AR225" s="4" t="s">
        <v>1006</v>
      </c>
      <c r="AS225" s="5">
        <f t="shared" si="0"/>
        <v>10.667807648401828</v>
      </c>
    </row>
    <row r="226" spans="1:45" ht="14.25" customHeight="1" x14ac:dyDescent="0.55000000000000004">
      <c r="A226" s="4">
        <v>20.84</v>
      </c>
      <c r="B226" s="4">
        <v>30.55</v>
      </c>
      <c r="C226" s="4">
        <v>5668.74</v>
      </c>
      <c r="D226" s="4">
        <v>7.57</v>
      </c>
      <c r="E226" s="4" t="s">
        <v>1007</v>
      </c>
      <c r="F226" s="4" t="s">
        <v>1008</v>
      </c>
      <c r="G226" s="4" t="s">
        <v>1009</v>
      </c>
      <c r="H226" s="4" t="s">
        <v>1010</v>
      </c>
      <c r="I226" s="4">
        <v>0</v>
      </c>
      <c r="J226" s="4">
        <v>1047.73</v>
      </c>
      <c r="K226" s="4">
        <f t="shared" si="10"/>
        <v>75.399999999999991</v>
      </c>
      <c r="L226" s="7">
        <f t="shared" si="11"/>
        <v>79.929999999999993</v>
      </c>
      <c r="M226" s="7">
        <f t="shared" si="12"/>
        <v>-4.5300000000000011</v>
      </c>
      <c r="N226" s="4">
        <v>7.42</v>
      </c>
      <c r="O226" s="4">
        <v>90.9</v>
      </c>
      <c r="P226" s="4">
        <v>80</v>
      </c>
      <c r="Q226" s="4">
        <v>19.2</v>
      </c>
      <c r="R226" s="4">
        <v>9.7100000000000009</v>
      </c>
      <c r="S226" s="4">
        <v>16.760000000000002</v>
      </c>
      <c r="T226" s="4">
        <v>4.08</v>
      </c>
      <c r="U226" s="4">
        <v>5.41</v>
      </c>
      <c r="V226" s="4">
        <v>3627.99</v>
      </c>
      <c r="W226" s="4">
        <v>1068.94</v>
      </c>
      <c r="X226" s="4">
        <v>1177.6400000000001</v>
      </c>
      <c r="Y226" s="4">
        <v>743.83</v>
      </c>
      <c r="Z226" s="4">
        <v>5.19</v>
      </c>
      <c r="AA226" s="4">
        <v>1.55</v>
      </c>
      <c r="AB226" s="4">
        <v>4.4800000000000004</v>
      </c>
      <c r="AC226" s="4">
        <v>70.400000000000006</v>
      </c>
      <c r="AD226" s="4">
        <v>490</v>
      </c>
      <c r="AE226" s="4">
        <v>4700</v>
      </c>
      <c r="AF226" s="4">
        <v>69.81</v>
      </c>
      <c r="AG226" s="4">
        <v>0.47</v>
      </c>
      <c r="AH226" s="4">
        <v>15.83</v>
      </c>
      <c r="AI226" s="4">
        <v>23.36</v>
      </c>
      <c r="AJ226" s="4">
        <v>60</v>
      </c>
      <c r="AK226" s="4">
        <v>9</v>
      </c>
      <c r="AL226" s="4">
        <v>9</v>
      </c>
      <c r="AM226" s="4">
        <v>0.97</v>
      </c>
      <c r="AN226" s="4">
        <v>294</v>
      </c>
      <c r="AO226" s="4">
        <v>302.72000000000003</v>
      </c>
      <c r="AP226" s="4">
        <v>394806.35</v>
      </c>
      <c r="AQ226" s="4">
        <v>227065.5</v>
      </c>
      <c r="AR226" s="4" t="s">
        <v>1011</v>
      </c>
      <c r="AS226" s="5">
        <f t="shared" si="0"/>
        <v>9.5742494292237428</v>
      </c>
    </row>
    <row r="227" spans="1:45" ht="14.25" customHeight="1" x14ac:dyDescent="0.55000000000000004">
      <c r="A227" s="4">
        <v>20.68</v>
      </c>
      <c r="B227" s="4">
        <v>30.4</v>
      </c>
      <c r="C227" s="4">
        <v>5656.69</v>
      </c>
      <c r="D227" s="4">
        <v>7.59</v>
      </c>
      <c r="E227" s="4" t="s">
        <v>1012</v>
      </c>
      <c r="F227" s="4" t="s">
        <v>1013</v>
      </c>
      <c r="G227" s="4" t="s">
        <v>1014</v>
      </c>
      <c r="H227" s="4" t="s">
        <v>1015</v>
      </c>
      <c r="I227" s="4">
        <v>0</v>
      </c>
      <c r="J227" s="4">
        <v>742.62</v>
      </c>
      <c r="K227" s="4">
        <f t="shared" si="10"/>
        <v>46.83</v>
      </c>
      <c r="L227" s="7">
        <f t="shared" si="11"/>
        <v>44.199999999999996</v>
      </c>
      <c r="M227" s="7">
        <f t="shared" si="12"/>
        <v>2.6300000000000026</v>
      </c>
      <c r="N227" s="4">
        <v>7.18</v>
      </c>
      <c r="O227" s="4">
        <v>92.17</v>
      </c>
      <c r="P227" s="4">
        <v>87</v>
      </c>
      <c r="Q227" s="4">
        <v>18.600000000000001</v>
      </c>
      <c r="R227" s="4">
        <v>9.7200000000000006</v>
      </c>
      <c r="S227" s="4">
        <v>17.03</v>
      </c>
      <c r="T227" s="4">
        <v>3.65</v>
      </c>
      <c r="U227" s="4">
        <v>7.62</v>
      </c>
      <c r="V227" s="4">
        <v>3620.28</v>
      </c>
      <c r="W227" s="4">
        <v>1073.23</v>
      </c>
      <c r="X227" s="4">
        <v>1259.23</v>
      </c>
      <c r="Y227" s="4">
        <v>761.46</v>
      </c>
      <c r="Z227" s="4">
        <v>6.36</v>
      </c>
      <c r="AA227" s="4">
        <v>1.59</v>
      </c>
      <c r="AB227" s="4">
        <v>4.4000000000000004</v>
      </c>
      <c r="AC227" s="4">
        <v>72.7</v>
      </c>
      <c r="AD227" s="4">
        <v>490</v>
      </c>
      <c r="AE227" s="4">
        <v>4700</v>
      </c>
      <c r="AF227" s="4">
        <v>69.91</v>
      </c>
      <c r="AG227" s="4">
        <v>0.47</v>
      </c>
      <c r="AH227" s="4">
        <v>10.56</v>
      </c>
      <c r="AI227" s="4">
        <v>46.1</v>
      </c>
      <c r="AJ227" s="4">
        <v>60</v>
      </c>
      <c r="AK227" s="4">
        <v>9</v>
      </c>
      <c r="AL227" s="4">
        <v>9</v>
      </c>
      <c r="AM227" s="4">
        <v>0.49</v>
      </c>
      <c r="AN227" s="4">
        <v>294</v>
      </c>
      <c r="AO227" s="4">
        <v>298.42</v>
      </c>
      <c r="AP227" s="4">
        <v>371139.34</v>
      </c>
      <c r="AQ227" s="4">
        <v>127849.72</v>
      </c>
      <c r="AR227" s="4" t="s">
        <v>1016</v>
      </c>
      <c r="AS227" s="5">
        <f t="shared" si="0"/>
        <v>13.88639383561644</v>
      </c>
    </row>
    <row r="228" spans="1:45" ht="14.25" customHeight="1" x14ac:dyDescent="0.55000000000000004">
      <c r="A228" s="4">
        <v>20.67</v>
      </c>
      <c r="B228" s="4">
        <v>30.33</v>
      </c>
      <c r="C228" s="4">
        <v>5541.51</v>
      </c>
      <c r="D228" s="4">
        <v>7.6</v>
      </c>
      <c r="E228" s="4" t="s">
        <v>1017</v>
      </c>
      <c r="F228" s="4" t="s">
        <v>1018</v>
      </c>
      <c r="G228" s="4" t="s">
        <v>976</v>
      </c>
      <c r="H228" s="4" t="s">
        <v>1019</v>
      </c>
      <c r="I228" s="4">
        <v>0</v>
      </c>
      <c r="J228" s="4">
        <v>1074.58</v>
      </c>
      <c r="K228" s="4">
        <f t="shared" si="10"/>
        <v>79.989999999999995</v>
      </c>
      <c r="L228" s="7">
        <f t="shared" si="11"/>
        <v>85.539999999999992</v>
      </c>
      <c r="M228" s="7">
        <f t="shared" si="12"/>
        <v>-5.5499999999999972</v>
      </c>
      <c r="N228" s="4">
        <v>7.44</v>
      </c>
      <c r="O228" s="4">
        <v>91.98</v>
      </c>
      <c r="P228" s="4">
        <v>64</v>
      </c>
      <c r="Q228" s="4">
        <v>20.7</v>
      </c>
      <c r="R228" s="4">
        <v>9.67</v>
      </c>
      <c r="S228" s="4">
        <v>16.16</v>
      </c>
      <c r="T228" s="4">
        <v>4.51</v>
      </c>
      <c r="U228" s="4">
        <v>5.16</v>
      </c>
      <c r="V228" s="4">
        <v>3546.57</v>
      </c>
      <c r="W228" s="4">
        <v>1044.52</v>
      </c>
      <c r="X228" s="4">
        <v>1145.93</v>
      </c>
      <c r="Y228" s="4">
        <v>725.91</v>
      </c>
      <c r="Z228" s="4">
        <v>5.14</v>
      </c>
      <c r="AA228" s="4">
        <v>1.55</v>
      </c>
      <c r="AB228" s="4">
        <v>4.5</v>
      </c>
      <c r="AC228" s="4">
        <v>68.2</v>
      </c>
      <c r="AD228" s="4">
        <v>490</v>
      </c>
      <c r="AE228" s="4">
        <v>4700</v>
      </c>
      <c r="AF228" s="4">
        <v>69.52</v>
      </c>
      <c r="AG228" s="4">
        <v>0.47</v>
      </c>
      <c r="AH228" s="4">
        <v>16.72</v>
      </c>
      <c r="AI228" s="4">
        <v>21.83</v>
      </c>
      <c r="AJ228" s="4">
        <v>60</v>
      </c>
      <c r="AK228" s="4">
        <v>9</v>
      </c>
      <c r="AL228" s="4">
        <v>9</v>
      </c>
      <c r="AM228" s="4">
        <v>1.04</v>
      </c>
      <c r="AN228" s="4">
        <v>294</v>
      </c>
      <c r="AO228" s="4">
        <v>303.33</v>
      </c>
      <c r="AP228" s="4">
        <v>399913.67</v>
      </c>
      <c r="AQ228" s="4">
        <v>247742.1</v>
      </c>
      <c r="AR228" s="4" t="s">
        <v>1020</v>
      </c>
      <c r="AS228" s="5">
        <f t="shared" si="0"/>
        <v>8.6855918949771684</v>
      </c>
    </row>
    <row r="229" spans="1:45" ht="14.25" customHeight="1" x14ac:dyDescent="0.55000000000000004">
      <c r="A229" s="4">
        <v>20.75</v>
      </c>
      <c r="B229" s="4">
        <v>30.39</v>
      </c>
      <c r="C229" s="4">
        <v>5543.31</v>
      </c>
      <c r="D229" s="4">
        <v>7.6</v>
      </c>
      <c r="E229" s="4" t="s">
        <v>1021</v>
      </c>
      <c r="F229" s="4" t="s">
        <v>1022</v>
      </c>
      <c r="G229" s="4" t="s">
        <v>1023</v>
      </c>
      <c r="H229" s="4" t="s">
        <v>1024</v>
      </c>
      <c r="I229" s="4">
        <v>0</v>
      </c>
      <c r="J229" s="4">
        <v>1069.0999999999999</v>
      </c>
      <c r="K229" s="4">
        <f t="shared" si="10"/>
        <v>78.22</v>
      </c>
      <c r="L229" s="7">
        <f t="shared" si="11"/>
        <v>83.37</v>
      </c>
      <c r="M229" s="7">
        <f t="shared" si="12"/>
        <v>-5.1500000000000057</v>
      </c>
      <c r="N229" s="4">
        <v>7.43</v>
      </c>
      <c r="O229" s="4">
        <v>91.77</v>
      </c>
      <c r="P229" s="4">
        <v>64</v>
      </c>
      <c r="Q229" s="4">
        <v>20.100000000000001</v>
      </c>
      <c r="R229" s="4">
        <v>9.64</v>
      </c>
      <c r="S229" s="4">
        <v>15.61</v>
      </c>
      <c r="T229" s="4">
        <v>5.14</v>
      </c>
      <c r="U229" s="4">
        <v>5.19</v>
      </c>
      <c r="V229" s="4">
        <v>3547.72</v>
      </c>
      <c r="W229" s="4">
        <v>1044.6500000000001</v>
      </c>
      <c r="X229" s="4">
        <v>1145.25</v>
      </c>
      <c r="Y229" s="4">
        <v>725.71</v>
      </c>
      <c r="Z229" s="4">
        <v>5.16</v>
      </c>
      <c r="AA229" s="4">
        <v>1.55</v>
      </c>
      <c r="AB229" s="4">
        <v>4.5</v>
      </c>
      <c r="AC229" s="4">
        <v>65.239999999999995</v>
      </c>
      <c r="AD229" s="4">
        <v>490</v>
      </c>
      <c r="AE229" s="4">
        <v>4700</v>
      </c>
      <c r="AF229" s="4">
        <v>69.31</v>
      </c>
      <c r="AG229" s="4">
        <v>0.47</v>
      </c>
      <c r="AH229" s="4">
        <v>16.559999999999999</v>
      </c>
      <c r="AI229" s="4">
        <v>22.4</v>
      </c>
      <c r="AJ229" s="4">
        <v>60</v>
      </c>
      <c r="AK229" s="4">
        <v>9</v>
      </c>
      <c r="AL229" s="4">
        <v>9</v>
      </c>
      <c r="AM229" s="4">
        <v>1.01</v>
      </c>
      <c r="AN229" s="4">
        <v>294</v>
      </c>
      <c r="AO229" s="4">
        <v>303.08999999999997</v>
      </c>
      <c r="AP229" s="4">
        <v>398092.6</v>
      </c>
      <c r="AQ229" s="4">
        <v>243110.89</v>
      </c>
      <c r="AR229" s="4" t="s">
        <v>1025</v>
      </c>
      <c r="AS229" s="5">
        <f t="shared" si="0"/>
        <v>8.8459880136986282</v>
      </c>
    </row>
    <row r="230" spans="1:45" ht="14.25" customHeight="1" x14ac:dyDescent="0.55000000000000004">
      <c r="A230" s="4">
        <v>20.63</v>
      </c>
      <c r="B230" s="4">
        <v>30.31</v>
      </c>
      <c r="C230" s="4">
        <v>5538.74</v>
      </c>
      <c r="D230" s="4">
        <v>7.59</v>
      </c>
      <c r="E230" s="4" t="s">
        <v>1026</v>
      </c>
      <c r="F230" s="4" t="s">
        <v>1027</v>
      </c>
      <c r="G230" s="4" t="s">
        <v>1028</v>
      </c>
      <c r="H230" s="4" t="s">
        <v>1029</v>
      </c>
      <c r="I230" s="4">
        <v>0</v>
      </c>
      <c r="J230" s="4">
        <v>1036.21</v>
      </c>
      <c r="K230" s="4">
        <f t="shared" si="10"/>
        <v>74.23</v>
      </c>
      <c r="L230" s="7">
        <f t="shared" si="11"/>
        <v>79.460000000000008</v>
      </c>
      <c r="M230" s="7">
        <f t="shared" si="12"/>
        <v>-5.230000000000004</v>
      </c>
      <c r="N230" s="4">
        <v>7.41</v>
      </c>
      <c r="O230" s="4">
        <v>91.85</v>
      </c>
      <c r="P230" s="4">
        <v>63</v>
      </c>
      <c r="Q230" s="4">
        <v>20.6</v>
      </c>
      <c r="R230" s="4">
        <v>9.68</v>
      </c>
      <c r="S230" s="4">
        <v>15.94</v>
      </c>
      <c r="T230" s="4">
        <v>4.6900000000000004</v>
      </c>
      <c r="U230" s="4">
        <v>5.35</v>
      </c>
      <c r="V230" s="4">
        <v>3544.79</v>
      </c>
      <c r="W230" s="4">
        <v>1044.72</v>
      </c>
      <c r="X230" s="4">
        <v>1153.74</v>
      </c>
      <c r="Y230" s="4">
        <v>727.56</v>
      </c>
      <c r="Z230" s="4">
        <v>5.14</v>
      </c>
      <c r="AA230" s="4">
        <v>1.55</v>
      </c>
      <c r="AB230" s="4">
        <v>4.5</v>
      </c>
      <c r="AC230" s="4">
        <v>67.34</v>
      </c>
      <c r="AD230" s="4">
        <v>490</v>
      </c>
      <c r="AE230" s="4">
        <v>4700</v>
      </c>
      <c r="AF230" s="4">
        <v>69.599999999999994</v>
      </c>
      <c r="AG230" s="4">
        <v>0.47</v>
      </c>
      <c r="AH230" s="4">
        <v>16.02</v>
      </c>
      <c r="AI230" s="4">
        <v>23.5</v>
      </c>
      <c r="AJ230" s="4">
        <v>60</v>
      </c>
      <c r="AK230" s="4">
        <v>9</v>
      </c>
      <c r="AL230" s="4">
        <v>9</v>
      </c>
      <c r="AM230" s="4">
        <v>0.96</v>
      </c>
      <c r="AN230" s="4">
        <v>294</v>
      </c>
      <c r="AO230" s="4">
        <v>302.67</v>
      </c>
      <c r="AP230" s="4">
        <v>386693.1</v>
      </c>
      <c r="AQ230" s="4">
        <v>223779.88</v>
      </c>
      <c r="AR230" s="4" t="s">
        <v>1030</v>
      </c>
      <c r="AS230" s="5">
        <f t="shared" si="0"/>
        <v>9.2986997716894955</v>
      </c>
    </row>
    <row r="231" spans="1:45" ht="14.25" customHeight="1" x14ac:dyDescent="0.55000000000000004">
      <c r="A231" s="4">
        <v>20.350000000000001</v>
      </c>
      <c r="B231" s="4">
        <v>29.97</v>
      </c>
      <c r="C231" s="4">
        <v>5496.46</v>
      </c>
      <c r="D231" s="4">
        <v>7.61</v>
      </c>
      <c r="E231" s="4" t="s">
        <v>1031</v>
      </c>
      <c r="F231" s="4" t="s">
        <v>1032</v>
      </c>
      <c r="G231" s="4" t="s">
        <v>1033</v>
      </c>
      <c r="H231" s="4" t="s">
        <v>1034</v>
      </c>
      <c r="I231" s="4">
        <v>0</v>
      </c>
      <c r="J231" s="4">
        <v>946.12</v>
      </c>
      <c r="K231" s="4">
        <f t="shared" si="10"/>
        <v>62.82</v>
      </c>
      <c r="L231" s="7">
        <f t="shared" si="11"/>
        <v>67.13</v>
      </c>
      <c r="M231" s="7">
        <f t="shared" si="12"/>
        <v>-4.3099999999999952</v>
      </c>
      <c r="N231" s="4">
        <v>7.34</v>
      </c>
      <c r="O231" s="4">
        <v>92.24</v>
      </c>
      <c r="P231" s="4">
        <v>62</v>
      </c>
      <c r="Q231" s="4">
        <v>20.5</v>
      </c>
      <c r="R231" s="4">
        <v>9.6199999999999992</v>
      </c>
      <c r="S231" s="4">
        <v>15.72</v>
      </c>
      <c r="T231" s="4">
        <v>4.63</v>
      </c>
      <c r="U231" s="4">
        <v>5.81</v>
      </c>
      <c r="V231" s="4">
        <v>3517.73</v>
      </c>
      <c r="W231" s="4">
        <v>1038.0899999999999</v>
      </c>
      <c r="X231" s="4">
        <v>1163.01</v>
      </c>
      <c r="Y231" s="4">
        <v>726.04</v>
      </c>
      <c r="Z231" s="4">
        <v>5.61</v>
      </c>
      <c r="AA231" s="4">
        <v>1.56</v>
      </c>
      <c r="AB231" s="4">
        <v>4.49</v>
      </c>
      <c r="AC231" s="4">
        <v>67.47</v>
      </c>
      <c r="AD231" s="4">
        <v>490</v>
      </c>
      <c r="AE231" s="4">
        <v>4700</v>
      </c>
      <c r="AF231" s="4">
        <v>69.150000000000006</v>
      </c>
      <c r="AG231" s="4">
        <v>0.47</v>
      </c>
      <c r="AH231" s="4">
        <v>14.38</v>
      </c>
      <c r="AI231" s="4">
        <v>30.35</v>
      </c>
      <c r="AJ231" s="4">
        <v>60</v>
      </c>
      <c r="AK231" s="4">
        <v>9</v>
      </c>
      <c r="AL231" s="4">
        <v>9</v>
      </c>
      <c r="AM231" s="4">
        <v>0.75</v>
      </c>
      <c r="AN231" s="4">
        <v>294</v>
      </c>
      <c r="AO231" s="4">
        <v>300.70999999999998</v>
      </c>
      <c r="AP231" s="4">
        <v>353374.76</v>
      </c>
      <c r="AQ231" s="4">
        <v>228910.01</v>
      </c>
      <c r="AR231" s="4" t="s">
        <v>1035</v>
      </c>
      <c r="AS231" s="5">
        <f t="shared" si="0"/>
        <v>7.1041523972602736</v>
      </c>
    </row>
    <row r="232" spans="1:45" ht="14.25" customHeight="1" x14ac:dyDescent="0.55000000000000004">
      <c r="A232" s="4">
        <v>21.14</v>
      </c>
      <c r="B232" s="4">
        <v>30.56</v>
      </c>
      <c r="C232" s="4">
        <v>5604.14</v>
      </c>
      <c r="D232" s="4">
        <v>7.61</v>
      </c>
      <c r="E232" s="4" t="s">
        <v>1036</v>
      </c>
      <c r="F232" s="4" t="s">
        <v>1037</v>
      </c>
      <c r="G232" s="4" t="s">
        <v>1033</v>
      </c>
      <c r="H232" s="4" t="s">
        <v>1038</v>
      </c>
      <c r="I232" s="4">
        <v>0</v>
      </c>
      <c r="J232" s="4">
        <v>869.8</v>
      </c>
      <c r="K232" s="4">
        <f t="shared" si="10"/>
        <v>55.500000000000007</v>
      </c>
      <c r="L232" s="7">
        <f t="shared" si="11"/>
        <v>54.6</v>
      </c>
      <c r="M232" s="7">
        <f t="shared" si="12"/>
        <v>0.90000000000000568</v>
      </c>
      <c r="N232" s="4">
        <v>7.28</v>
      </c>
      <c r="O232" s="4">
        <v>92.64</v>
      </c>
      <c r="P232" s="4">
        <v>83</v>
      </c>
      <c r="Q232" s="4">
        <v>18.899999999999999</v>
      </c>
      <c r="R232" s="4">
        <v>9.42</v>
      </c>
      <c r="S232" s="4">
        <v>16.84</v>
      </c>
      <c r="T232" s="4">
        <v>4.3</v>
      </c>
      <c r="U232" s="4">
        <v>6.44</v>
      </c>
      <c r="V232" s="4">
        <v>3586.65</v>
      </c>
      <c r="W232" s="4">
        <v>1060.02</v>
      </c>
      <c r="X232" s="4">
        <v>1205.8499999999999</v>
      </c>
      <c r="Y232" s="4">
        <v>744.88</v>
      </c>
      <c r="Z232" s="4">
        <v>6.1</v>
      </c>
      <c r="AA232" s="4">
        <v>1.6</v>
      </c>
      <c r="AB232" s="4">
        <v>4.41</v>
      </c>
      <c r="AC232" s="4">
        <v>68.63</v>
      </c>
      <c r="AD232" s="4">
        <v>490</v>
      </c>
      <c r="AE232" s="4">
        <v>4700</v>
      </c>
      <c r="AF232" s="4">
        <v>67.709999999999994</v>
      </c>
      <c r="AG232" s="4">
        <v>0.47</v>
      </c>
      <c r="AH232" s="4">
        <v>12.44</v>
      </c>
      <c r="AI232" s="4">
        <v>37.31</v>
      </c>
      <c r="AJ232" s="4">
        <v>60</v>
      </c>
      <c r="AK232" s="4">
        <v>9</v>
      </c>
      <c r="AL232" s="4">
        <v>9</v>
      </c>
      <c r="AM232" s="4">
        <v>0.61</v>
      </c>
      <c r="AN232" s="4">
        <v>294</v>
      </c>
      <c r="AO232" s="4">
        <v>299.45999999999998</v>
      </c>
      <c r="AP232" s="4">
        <v>377845.68</v>
      </c>
      <c r="AQ232" s="4">
        <v>173778</v>
      </c>
      <c r="AR232" s="4" t="s">
        <v>1039</v>
      </c>
      <c r="AS232" s="5">
        <f t="shared" si="0"/>
        <v>11.647698630136986</v>
      </c>
    </row>
    <row r="233" spans="1:45" ht="14.25" customHeight="1" x14ac:dyDescent="0.55000000000000004">
      <c r="A233" s="4">
        <v>20.67</v>
      </c>
      <c r="B233" s="4">
        <v>30.24</v>
      </c>
      <c r="C233" s="4">
        <v>5533.12</v>
      </c>
      <c r="D233" s="4">
        <v>7.61</v>
      </c>
      <c r="E233" s="4" t="s">
        <v>1040</v>
      </c>
      <c r="F233" s="4" t="s">
        <v>1041</v>
      </c>
      <c r="G233" s="4" t="s">
        <v>1042</v>
      </c>
      <c r="H233" s="4" t="s">
        <v>1043</v>
      </c>
      <c r="I233" s="4">
        <v>0</v>
      </c>
      <c r="J233" s="4">
        <v>1080.26</v>
      </c>
      <c r="K233" s="4">
        <f t="shared" si="10"/>
        <v>79.569999999999993</v>
      </c>
      <c r="L233" s="7">
        <f t="shared" si="11"/>
        <v>88.46</v>
      </c>
      <c r="M233" s="7">
        <f t="shared" si="12"/>
        <v>-8.89</v>
      </c>
      <c r="N233" s="4">
        <v>7.44</v>
      </c>
      <c r="O233" s="4">
        <v>92.12</v>
      </c>
      <c r="P233" s="4">
        <v>69</v>
      </c>
      <c r="Q233" s="4">
        <v>20.100000000000001</v>
      </c>
      <c r="R233" s="4">
        <v>9.57</v>
      </c>
      <c r="S233" s="4">
        <v>16.25</v>
      </c>
      <c r="T233" s="4">
        <v>4.42</v>
      </c>
      <c r="U233" s="4">
        <v>5.12</v>
      </c>
      <c r="V233" s="4">
        <v>3541.2</v>
      </c>
      <c r="W233" s="4">
        <v>1042.53</v>
      </c>
      <c r="X233" s="4">
        <v>1140.82</v>
      </c>
      <c r="Y233" s="4">
        <v>723.82</v>
      </c>
      <c r="Z233" s="4">
        <v>4.95</v>
      </c>
      <c r="AA233" s="4">
        <v>1.55</v>
      </c>
      <c r="AB233" s="4">
        <v>4.5</v>
      </c>
      <c r="AC233" s="4">
        <v>68.39</v>
      </c>
      <c r="AD233" s="4">
        <v>490</v>
      </c>
      <c r="AE233" s="4">
        <v>4700</v>
      </c>
      <c r="AF233" s="4">
        <v>68.81</v>
      </c>
      <c r="AG233" s="4">
        <v>0.47</v>
      </c>
      <c r="AH233" s="4">
        <v>16.690000000000001</v>
      </c>
      <c r="AI233" s="4">
        <v>21.11</v>
      </c>
      <c r="AJ233" s="4">
        <v>60</v>
      </c>
      <c r="AK233" s="4">
        <v>9</v>
      </c>
      <c r="AL233" s="4">
        <v>9</v>
      </c>
      <c r="AM233" s="4">
        <v>1.07</v>
      </c>
      <c r="AN233" s="4">
        <v>294</v>
      </c>
      <c r="AO233" s="4">
        <v>303.64999999999998</v>
      </c>
      <c r="AP233" s="4">
        <v>369516.34</v>
      </c>
      <c r="AQ233" s="4">
        <v>262687.34000000003</v>
      </c>
      <c r="AR233" s="4" t="s">
        <v>1044</v>
      </c>
      <c r="AS233" s="5">
        <f t="shared" si="0"/>
        <v>6.0975456621004565</v>
      </c>
    </row>
    <row r="234" spans="1:45" ht="14.25" customHeight="1" x14ac:dyDescent="0.55000000000000004">
      <c r="A234" s="4">
        <v>20.97</v>
      </c>
      <c r="B234" s="4">
        <v>30.51</v>
      </c>
      <c r="C234" s="4">
        <v>5585.15</v>
      </c>
      <c r="D234" s="4">
        <v>7.6</v>
      </c>
      <c r="E234" s="4" t="s">
        <v>1045</v>
      </c>
      <c r="F234" s="4" t="s">
        <v>1046</v>
      </c>
      <c r="G234" s="4" t="s">
        <v>1047</v>
      </c>
      <c r="H234" s="4" t="s">
        <v>1048</v>
      </c>
      <c r="I234" s="4">
        <v>0</v>
      </c>
      <c r="J234" s="4">
        <v>911.25</v>
      </c>
      <c r="K234" s="4">
        <f t="shared" si="10"/>
        <v>58.71</v>
      </c>
      <c r="L234" s="7">
        <f t="shared" si="11"/>
        <v>65.34</v>
      </c>
      <c r="M234" s="7">
        <f t="shared" si="12"/>
        <v>-6.6300000000000026</v>
      </c>
      <c r="N234" s="4">
        <v>7.31</v>
      </c>
      <c r="O234" s="4">
        <v>92.26</v>
      </c>
      <c r="P234" s="4">
        <v>77</v>
      </c>
      <c r="Q234" s="4">
        <v>19.7</v>
      </c>
      <c r="R234" s="4">
        <v>9.5399999999999991</v>
      </c>
      <c r="S234" s="4">
        <v>16.87</v>
      </c>
      <c r="T234" s="4">
        <v>4.0999999999999996</v>
      </c>
      <c r="U234" s="4">
        <v>6.13</v>
      </c>
      <c r="V234" s="4">
        <v>3574.5</v>
      </c>
      <c r="W234" s="4">
        <v>1055.4100000000001</v>
      </c>
      <c r="X234" s="4">
        <v>1189.6099999999999</v>
      </c>
      <c r="Y234" s="4">
        <v>739.48</v>
      </c>
      <c r="Z234" s="4">
        <v>5.39</v>
      </c>
      <c r="AA234" s="4">
        <v>1.58</v>
      </c>
      <c r="AB234" s="4">
        <v>4.45</v>
      </c>
      <c r="AC234" s="4">
        <v>69.91</v>
      </c>
      <c r="AD234" s="4">
        <v>490</v>
      </c>
      <c r="AE234" s="4">
        <v>4700</v>
      </c>
      <c r="AF234" s="4">
        <v>68.569999999999993</v>
      </c>
      <c r="AG234" s="4">
        <v>0.47</v>
      </c>
      <c r="AH234" s="4">
        <v>13.37</v>
      </c>
      <c r="AI234" s="4">
        <v>31.18</v>
      </c>
      <c r="AJ234" s="4">
        <v>60</v>
      </c>
      <c r="AK234" s="4">
        <v>9</v>
      </c>
      <c r="AL234" s="4">
        <v>9</v>
      </c>
      <c r="AM234" s="4">
        <v>0.73</v>
      </c>
      <c r="AN234" s="4">
        <v>294</v>
      </c>
      <c r="AO234" s="4">
        <v>300.52999999999997</v>
      </c>
      <c r="AP234" s="4">
        <v>321269.8</v>
      </c>
      <c r="AQ234" s="4">
        <v>222353.57</v>
      </c>
      <c r="AR234" s="4" t="s">
        <v>1049</v>
      </c>
      <c r="AS234" s="5">
        <f t="shared" si="0"/>
        <v>5.6459035388127843</v>
      </c>
    </row>
    <row r="235" spans="1:45" ht="14.25" customHeight="1" x14ac:dyDescent="0.55000000000000004">
      <c r="A235" s="4">
        <v>21.16</v>
      </c>
      <c r="B235" s="4">
        <v>30.67</v>
      </c>
      <c r="C235" s="4">
        <v>5619.42</v>
      </c>
      <c r="D235" s="4">
        <v>7.6</v>
      </c>
      <c r="E235" s="4" t="s">
        <v>1050</v>
      </c>
      <c r="F235" s="4" t="s">
        <v>1051</v>
      </c>
      <c r="G235" s="4" t="s">
        <v>1052</v>
      </c>
      <c r="H235" s="4" t="s">
        <v>1053</v>
      </c>
      <c r="I235" s="4">
        <v>0</v>
      </c>
      <c r="J235" s="4">
        <v>870.83</v>
      </c>
      <c r="K235" s="4">
        <f t="shared" si="10"/>
        <v>54.819999999999993</v>
      </c>
      <c r="L235" s="7">
        <f t="shared" si="11"/>
        <v>56.08</v>
      </c>
      <c r="M235" s="7">
        <f t="shared" si="12"/>
        <v>-1.2600000000000051</v>
      </c>
      <c r="N235" s="4">
        <v>7.27</v>
      </c>
      <c r="O235" s="4">
        <v>91.83</v>
      </c>
      <c r="P235" s="4">
        <v>76</v>
      </c>
      <c r="Q235" s="4">
        <v>19.7</v>
      </c>
      <c r="R235" s="4">
        <v>9.51</v>
      </c>
      <c r="S235" s="4">
        <v>16.75</v>
      </c>
      <c r="T235" s="4">
        <v>4.42</v>
      </c>
      <c r="U235" s="4">
        <v>6.45</v>
      </c>
      <c r="V235" s="4">
        <v>3596.43</v>
      </c>
      <c r="W235" s="4">
        <v>1061.76</v>
      </c>
      <c r="X235" s="4">
        <v>1200.7</v>
      </c>
      <c r="Y235" s="4">
        <v>744.23</v>
      </c>
      <c r="Z235" s="4">
        <v>5.87</v>
      </c>
      <c r="AA235" s="4">
        <v>1.58</v>
      </c>
      <c r="AB235" s="4">
        <v>4.43</v>
      </c>
      <c r="AC235" s="4">
        <v>68.3</v>
      </c>
      <c r="AD235" s="4">
        <v>490</v>
      </c>
      <c r="AE235" s="4">
        <v>4700</v>
      </c>
      <c r="AF235" s="4">
        <v>68.400000000000006</v>
      </c>
      <c r="AG235" s="4">
        <v>0.47</v>
      </c>
      <c r="AH235" s="4">
        <v>12.54</v>
      </c>
      <c r="AI235" s="4">
        <v>36.33</v>
      </c>
      <c r="AJ235" s="4">
        <v>60</v>
      </c>
      <c r="AK235" s="4">
        <v>9</v>
      </c>
      <c r="AL235" s="4">
        <v>9</v>
      </c>
      <c r="AM235" s="4">
        <v>0.62</v>
      </c>
      <c r="AN235" s="4">
        <v>294</v>
      </c>
      <c r="AO235" s="4">
        <v>299.61</v>
      </c>
      <c r="AP235" s="4">
        <v>359379.13</v>
      </c>
      <c r="AQ235" s="4">
        <v>187019.24</v>
      </c>
      <c r="AR235" s="4" t="s">
        <v>1054</v>
      </c>
      <c r="AS235" s="5">
        <f t="shared" si="0"/>
        <v>9.8378932648401829</v>
      </c>
    </row>
    <row r="236" spans="1:45" ht="14.25" customHeight="1" x14ac:dyDescent="0.55000000000000004">
      <c r="A236" s="4">
        <v>21.58</v>
      </c>
      <c r="B236" s="4">
        <v>31.16</v>
      </c>
      <c r="C236" s="4">
        <v>6000.56</v>
      </c>
      <c r="D236" s="4">
        <v>7.59</v>
      </c>
      <c r="E236" s="4" t="s">
        <v>1055</v>
      </c>
      <c r="F236" s="4" t="s">
        <v>1056</v>
      </c>
      <c r="G236" s="4" t="s">
        <v>695</v>
      </c>
      <c r="H236" s="4" t="s">
        <v>1057</v>
      </c>
      <c r="I236" s="4">
        <v>0</v>
      </c>
      <c r="J236" s="4">
        <v>894.85</v>
      </c>
      <c r="K236" s="4">
        <f t="shared" si="10"/>
        <v>70.509999999999991</v>
      </c>
      <c r="L236" s="7">
        <f t="shared" si="11"/>
        <v>77.740000000000009</v>
      </c>
      <c r="M236" s="7">
        <f t="shared" si="12"/>
        <v>-7.2300000000000182</v>
      </c>
      <c r="N236" s="4">
        <v>7.29</v>
      </c>
      <c r="O236" s="4">
        <v>91.73</v>
      </c>
      <c r="P236" s="4">
        <v>72</v>
      </c>
      <c r="Q236" s="4">
        <v>20.9</v>
      </c>
      <c r="R236" s="4">
        <v>9.58</v>
      </c>
      <c r="S236" s="4">
        <v>17.37</v>
      </c>
      <c r="T236" s="4">
        <v>4.21</v>
      </c>
      <c r="U236" s="4">
        <v>6.71</v>
      </c>
      <c r="V236" s="4">
        <v>3840.36</v>
      </c>
      <c r="W236" s="4">
        <v>1133.1600000000001</v>
      </c>
      <c r="X236" s="4">
        <v>1274.5999999999999</v>
      </c>
      <c r="Y236" s="4">
        <v>792.94</v>
      </c>
      <c r="Z236" s="4">
        <v>4.99</v>
      </c>
      <c r="AA236" s="4">
        <v>1.64</v>
      </c>
      <c r="AB236" s="4">
        <v>4.32</v>
      </c>
      <c r="AC236" s="4">
        <v>69.489999999999995</v>
      </c>
      <c r="AD236" s="4">
        <v>490</v>
      </c>
      <c r="AE236" s="4">
        <v>4700</v>
      </c>
      <c r="AF236" s="4">
        <v>68.88</v>
      </c>
      <c r="AG236" s="4">
        <v>0.47</v>
      </c>
      <c r="AH236" s="4">
        <v>12.07</v>
      </c>
      <c r="AI236" s="4">
        <v>24.03</v>
      </c>
      <c r="AJ236" s="4">
        <v>60</v>
      </c>
      <c r="AK236" s="4">
        <v>9</v>
      </c>
      <c r="AL236" s="4">
        <v>9</v>
      </c>
      <c r="AM236" s="4">
        <v>0.94</v>
      </c>
      <c r="AN236" s="4">
        <v>294</v>
      </c>
      <c r="AO236" s="4">
        <v>302.48</v>
      </c>
      <c r="AP236" s="4">
        <v>416863.53</v>
      </c>
      <c r="AQ236" s="4">
        <v>212149.93</v>
      </c>
      <c r="AR236" s="4" t="s">
        <v>1058</v>
      </c>
      <c r="AS236" s="5">
        <f t="shared" si="0"/>
        <v>11.684566210045665</v>
      </c>
    </row>
    <row r="237" spans="1:45" ht="14.25" customHeight="1" x14ac:dyDescent="0.55000000000000004">
      <c r="A237" s="4">
        <v>21.76</v>
      </c>
      <c r="B237" s="4">
        <v>31.23</v>
      </c>
      <c r="C237" s="4">
        <v>5680.23</v>
      </c>
      <c r="D237" s="4">
        <v>7.59</v>
      </c>
      <c r="E237" s="4" t="s">
        <v>1059</v>
      </c>
      <c r="F237" s="4" t="s">
        <v>1060</v>
      </c>
      <c r="G237" s="4" t="s">
        <v>1061</v>
      </c>
      <c r="H237" s="4" t="s">
        <v>1062</v>
      </c>
      <c r="I237" s="4">
        <v>0</v>
      </c>
      <c r="J237" s="4">
        <v>879.22</v>
      </c>
      <c r="K237" s="4">
        <f t="shared" si="10"/>
        <v>69.989999999999995</v>
      </c>
      <c r="L237" s="7">
        <f t="shared" si="11"/>
        <v>80.539999999999992</v>
      </c>
      <c r="M237" s="7">
        <f t="shared" si="12"/>
        <v>-10.549999999999997</v>
      </c>
      <c r="N237" s="4">
        <v>7.28</v>
      </c>
      <c r="O237" s="4">
        <v>91.89</v>
      </c>
      <c r="P237" s="4">
        <v>83</v>
      </c>
      <c r="Q237" s="4">
        <v>19.7</v>
      </c>
      <c r="R237" s="4">
        <v>9.4600000000000009</v>
      </c>
      <c r="S237" s="4">
        <v>17.61</v>
      </c>
      <c r="T237" s="4">
        <v>4.1500000000000004</v>
      </c>
      <c r="U237" s="4">
        <v>6.46</v>
      </c>
      <c r="V237" s="4">
        <v>3635.35</v>
      </c>
      <c r="W237" s="4">
        <v>1073.8499999999999</v>
      </c>
      <c r="X237" s="4">
        <v>1216.98</v>
      </c>
      <c r="Y237" s="4">
        <v>753.56</v>
      </c>
      <c r="Z237" s="4">
        <v>5.21</v>
      </c>
      <c r="AA237" s="4">
        <v>1.6</v>
      </c>
      <c r="AB237" s="4">
        <v>4.4000000000000004</v>
      </c>
      <c r="AC237" s="4">
        <v>69.5</v>
      </c>
      <c r="AD237" s="4">
        <v>490</v>
      </c>
      <c r="AE237" s="4">
        <v>4700</v>
      </c>
      <c r="AF237" s="4">
        <v>68.05</v>
      </c>
      <c r="AG237" s="4">
        <v>0.47</v>
      </c>
      <c r="AH237" s="4">
        <v>12.46</v>
      </c>
      <c r="AI237" s="4">
        <v>25.3</v>
      </c>
      <c r="AJ237" s="4">
        <v>60</v>
      </c>
      <c r="AK237" s="4">
        <v>9</v>
      </c>
      <c r="AL237" s="4">
        <v>9</v>
      </c>
      <c r="AM237" s="4">
        <v>0.89</v>
      </c>
      <c r="AN237" s="4">
        <v>294</v>
      </c>
      <c r="AO237" s="4">
        <v>302.05</v>
      </c>
      <c r="AP237" s="4">
        <v>375346.83</v>
      </c>
      <c r="AQ237" s="4">
        <v>274039.19</v>
      </c>
      <c r="AR237" s="4" t="s">
        <v>1063</v>
      </c>
      <c r="AS237" s="5">
        <f t="shared" si="0"/>
        <v>5.7823995433789959</v>
      </c>
    </row>
    <row r="238" spans="1:45" ht="14.25" customHeight="1" x14ac:dyDescent="0.55000000000000004">
      <c r="A238" s="4">
        <v>22.22</v>
      </c>
      <c r="B238" s="4">
        <v>31.86</v>
      </c>
      <c r="C238" s="4">
        <v>5922.27</v>
      </c>
      <c r="D238" s="4">
        <v>7.58</v>
      </c>
      <c r="E238" s="4" t="s">
        <v>1064</v>
      </c>
      <c r="F238" s="4" t="s">
        <v>1065</v>
      </c>
      <c r="G238" s="4" t="s">
        <v>1066</v>
      </c>
      <c r="H238" s="4" t="s">
        <v>1067</v>
      </c>
      <c r="I238" s="4">
        <v>0</v>
      </c>
      <c r="J238" s="4">
        <v>825.77</v>
      </c>
      <c r="K238" s="4">
        <f t="shared" si="10"/>
        <v>63.559999999999995</v>
      </c>
      <c r="L238" s="7">
        <f t="shared" si="11"/>
        <v>73.87</v>
      </c>
      <c r="M238" s="7">
        <f t="shared" si="12"/>
        <v>-10.310000000000009</v>
      </c>
      <c r="N238" s="4">
        <v>7.23</v>
      </c>
      <c r="O238" s="4">
        <v>92.42</v>
      </c>
      <c r="P238" s="4">
        <v>79</v>
      </c>
      <c r="Q238" s="4">
        <v>20.9</v>
      </c>
      <c r="R238" s="4">
        <v>9.64</v>
      </c>
      <c r="S238" s="4">
        <v>18.27</v>
      </c>
      <c r="T238" s="4">
        <v>3.95</v>
      </c>
      <c r="U238" s="4">
        <v>7.17</v>
      </c>
      <c r="V238" s="4">
        <v>3790.25</v>
      </c>
      <c r="W238" s="4">
        <v>1119.74</v>
      </c>
      <c r="X238" s="4">
        <v>1276.97</v>
      </c>
      <c r="Y238" s="4">
        <v>786.75</v>
      </c>
      <c r="Z238" s="4">
        <v>5.16</v>
      </c>
      <c r="AA238" s="4">
        <v>1.64</v>
      </c>
      <c r="AB238" s="4">
        <v>4.3</v>
      </c>
      <c r="AC238" s="4">
        <v>70.94</v>
      </c>
      <c r="AD238" s="4">
        <v>490</v>
      </c>
      <c r="AE238" s="4">
        <v>4700</v>
      </c>
      <c r="AF238" s="4">
        <v>69.33</v>
      </c>
      <c r="AG238" s="4">
        <v>0.47</v>
      </c>
      <c r="AH238" s="4">
        <v>11.23</v>
      </c>
      <c r="AI238" s="4">
        <v>27.58</v>
      </c>
      <c r="AJ238" s="4">
        <v>60</v>
      </c>
      <c r="AK238" s="4">
        <v>9</v>
      </c>
      <c r="AL238" s="4">
        <v>9</v>
      </c>
      <c r="AM238" s="4">
        <v>0.82</v>
      </c>
      <c r="AN238" s="4">
        <v>294</v>
      </c>
      <c r="AO238" s="4">
        <v>301.39</v>
      </c>
      <c r="AP238" s="4">
        <v>360487.55</v>
      </c>
      <c r="AQ238" s="4">
        <v>252201.69</v>
      </c>
      <c r="AR238" s="4" t="s">
        <v>1068</v>
      </c>
      <c r="AS238" s="5">
        <f t="shared" si="0"/>
        <v>6.1806997716894969</v>
      </c>
    </row>
    <row r="239" spans="1:45" ht="14.25" customHeight="1" x14ac:dyDescent="0.55000000000000004">
      <c r="A239" s="4">
        <v>21.97</v>
      </c>
      <c r="B239" s="4">
        <v>31.53</v>
      </c>
      <c r="C239" s="4">
        <v>5982.23</v>
      </c>
      <c r="D239" s="4">
        <v>7.61</v>
      </c>
      <c r="E239" s="4" t="s">
        <v>1069</v>
      </c>
      <c r="F239" s="4" t="s">
        <v>1070</v>
      </c>
      <c r="G239" s="4" t="s">
        <v>1066</v>
      </c>
      <c r="H239" s="4" t="s">
        <v>1071</v>
      </c>
      <c r="I239" s="4">
        <v>0</v>
      </c>
      <c r="J239" s="4">
        <v>716.4</v>
      </c>
      <c r="K239" s="4">
        <f t="shared" si="10"/>
        <v>55.1</v>
      </c>
      <c r="L239" s="7">
        <f t="shared" si="11"/>
        <v>63.730000000000004</v>
      </c>
      <c r="M239" s="7">
        <f t="shared" si="12"/>
        <v>-8.6300000000000026</v>
      </c>
      <c r="N239" s="4">
        <v>7.14</v>
      </c>
      <c r="O239" s="4">
        <v>91.88</v>
      </c>
      <c r="P239" s="4">
        <v>84</v>
      </c>
      <c r="Q239" s="4">
        <v>19.8</v>
      </c>
      <c r="R239" s="4">
        <v>9.56</v>
      </c>
      <c r="S239" s="4">
        <v>17.829999999999998</v>
      </c>
      <c r="T239" s="4">
        <v>4.1399999999999997</v>
      </c>
      <c r="U239" s="4">
        <v>8.35</v>
      </c>
      <c r="V239" s="4">
        <v>3828.63</v>
      </c>
      <c r="W239" s="4">
        <v>1133.8699999999999</v>
      </c>
      <c r="X239" s="4">
        <v>1328.34</v>
      </c>
      <c r="Y239" s="4">
        <v>803.18</v>
      </c>
      <c r="Z239" s="4">
        <v>5.19</v>
      </c>
      <c r="AA239" s="4">
        <v>1.68</v>
      </c>
      <c r="AB239" s="4">
        <v>4.25</v>
      </c>
      <c r="AC239" s="4">
        <v>69.77</v>
      </c>
      <c r="AD239" s="4">
        <v>490</v>
      </c>
      <c r="AE239" s="4">
        <v>4700</v>
      </c>
      <c r="AF239" s="4">
        <v>68.739999999999995</v>
      </c>
      <c r="AG239" s="4">
        <v>0.47</v>
      </c>
      <c r="AH239" s="4">
        <v>9.35</v>
      </c>
      <c r="AI239" s="4">
        <v>31.97</v>
      </c>
      <c r="AJ239" s="4">
        <v>60</v>
      </c>
      <c r="AK239" s="4">
        <v>9</v>
      </c>
      <c r="AL239" s="4">
        <v>9</v>
      </c>
      <c r="AM239" s="4">
        <v>0.71</v>
      </c>
      <c r="AN239" s="4">
        <v>294</v>
      </c>
      <c r="AO239" s="4">
        <v>300.37</v>
      </c>
      <c r="AP239" s="4">
        <v>352936.7</v>
      </c>
      <c r="AQ239" s="4">
        <v>207555.83</v>
      </c>
      <c r="AR239" s="4" t="s">
        <v>1072</v>
      </c>
      <c r="AS239" s="5">
        <f t="shared" si="0"/>
        <v>8.2979948630137006</v>
      </c>
    </row>
    <row r="240" spans="1:45" ht="14.25" customHeight="1" x14ac:dyDescent="0.55000000000000004">
      <c r="A240" s="4">
        <v>22.17</v>
      </c>
      <c r="B240" s="4">
        <v>31.65</v>
      </c>
      <c r="C240" s="4">
        <v>5965.93</v>
      </c>
      <c r="D240" s="4">
        <v>7.55</v>
      </c>
      <c r="E240" s="4" t="s">
        <v>1073</v>
      </c>
      <c r="F240" s="4" t="s">
        <v>1074</v>
      </c>
      <c r="G240" s="4" t="s">
        <v>1075</v>
      </c>
      <c r="H240" s="4" t="s">
        <v>1076</v>
      </c>
      <c r="I240" s="4">
        <v>0</v>
      </c>
      <c r="J240" s="4">
        <v>846.96</v>
      </c>
      <c r="K240" s="4">
        <f t="shared" si="10"/>
        <v>65.94</v>
      </c>
      <c r="L240" s="7">
        <f t="shared" si="11"/>
        <v>78.150000000000006</v>
      </c>
      <c r="M240" s="7">
        <f t="shared" si="12"/>
        <v>-12.210000000000008</v>
      </c>
      <c r="N240" s="4">
        <v>7.24</v>
      </c>
      <c r="O240" s="4">
        <v>91.97</v>
      </c>
      <c r="P240" s="4">
        <v>86</v>
      </c>
      <c r="Q240" s="4">
        <v>19.600000000000001</v>
      </c>
      <c r="R240" s="4">
        <v>9.48</v>
      </c>
      <c r="S240" s="4">
        <v>17.88</v>
      </c>
      <c r="T240" s="4">
        <v>4.28</v>
      </c>
      <c r="U240" s="4">
        <v>7.04</v>
      </c>
      <c r="V240" s="4">
        <v>3818.2</v>
      </c>
      <c r="W240" s="4">
        <v>1127.32</v>
      </c>
      <c r="X240" s="4">
        <v>1278.53</v>
      </c>
      <c r="Y240" s="4">
        <v>790.67</v>
      </c>
      <c r="Z240" s="4">
        <v>4.6399999999999997</v>
      </c>
      <c r="AA240" s="4">
        <v>1.61</v>
      </c>
      <c r="AB240" s="4">
        <v>4.33</v>
      </c>
      <c r="AC240" s="4">
        <v>68.89</v>
      </c>
      <c r="AD240" s="4">
        <v>490</v>
      </c>
      <c r="AE240" s="4">
        <v>4700</v>
      </c>
      <c r="AF240" s="4">
        <v>68.209999999999994</v>
      </c>
      <c r="AG240" s="4">
        <v>0.47</v>
      </c>
      <c r="AH240" s="4">
        <v>11.29</v>
      </c>
      <c r="AI240" s="4">
        <v>23.9</v>
      </c>
      <c r="AJ240" s="4">
        <v>60</v>
      </c>
      <c r="AK240" s="4">
        <v>9</v>
      </c>
      <c r="AL240" s="4">
        <v>9</v>
      </c>
      <c r="AM240" s="4">
        <v>0.95</v>
      </c>
      <c r="AN240" s="4">
        <v>294</v>
      </c>
      <c r="AO240" s="4">
        <v>302.52999999999997</v>
      </c>
      <c r="AP240" s="4">
        <v>365473.36</v>
      </c>
      <c r="AQ240" s="4">
        <v>214755.98</v>
      </c>
      <c r="AR240" s="4" t="s">
        <v>1077</v>
      </c>
      <c r="AS240" s="5">
        <f t="shared" si="0"/>
        <v>8.6025901826484006</v>
      </c>
    </row>
    <row r="241" spans="1:45" ht="14.25" customHeight="1" x14ac:dyDescent="0.55000000000000004">
      <c r="A241" s="4">
        <v>21.52</v>
      </c>
      <c r="B241" s="4">
        <v>31.08</v>
      </c>
      <c r="C241" s="4">
        <v>5999.08</v>
      </c>
      <c r="D241" s="4">
        <v>7.61</v>
      </c>
      <c r="E241" s="4" t="s">
        <v>1078</v>
      </c>
      <c r="F241" s="4" t="s">
        <v>1079</v>
      </c>
      <c r="G241" s="4" t="s">
        <v>1080</v>
      </c>
      <c r="H241" s="4" t="s">
        <v>468</v>
      </c>
      <c r="I241" s="4">
        <v>0</v>
      </c>
      <c r="J241" s="4">
        <v>774.79</v>
      </c>
      <c r="K241" s="4">
        <f t="shared" si="10"/>
        <v>59.19</v>
      </c>
      <c r="L241" s="7">
        <f t="shared" si="11"/>
        <v>68.63000000000001</v>
      </c>
      <c r="M241" s="7">
        <f t="shared" si="12"/>
        <v>-9.4400000000000119</v>
      </c>
      <c r="N241" s="4">
        <v>7.19</v>
      </c>
      <c r="O241" s="4">
        <v>92.17</v>
      </c>
      <c r="P241" s="4">
        <v>70</v>
      </c>
      <c r="Q241" s="4">
        <v>21.1</v>
      </c>
      <c r="R241" s="4">
        <v>9.56</v>
      </c>
      <c r="S241" s="4">
        <v>17.3</v>
      </c>
      <c r="T241" s="4">
        <v>4.22</v>
      </c>
      <c r="U241" s="4">
        <v>7.74</v>
      </c>
      <c r="V241" s="4">
        <v>3839.41</v>
      </c>
      <c r="W241" s="4">
        <v>1135.27</v>
      </c>
      <c r="X241" s="4">
        <v>1308.6600000000001</v>
      </c>
      <c r="Y241" s="4">
        <v>800.14</v>
      </c>
      <c r="Z241" s="4">
        <v>5.17</v>
      </c>
      <c r="AA241" s="4">
        <v>1.67</v>
      </c>
      <c r="AB241" s="4">
        <v>4.2699999999999996</v>
      </c>
      <c r="AC241" s="4">
        <v>69.38</v>
      </c>
      <c r="AD241" s="4">
        <v>490</v>
      </c>
      <c r="AE241" s="4">
        <v>4700</v>
      </c>
      <c r="AF241" s="4">
        <v>68.739999999999995</v>
      </c>
      <c r="AG241" s="4">
        <v>0.47</v>
      </c>
      <c r="AH241" s="4">
        <v>10.19</v>
      </c>
      <c r="AI241" s="4">
        <v>29.69</v>
      </c>
      <c r="AJ241" s="4">
        <v>60</v>
      </c>
      <c r="AK241" s="4">
        <v>9</v>
      </c>
      <c r="AL241" s="4">
        <v>9</v>
      </c>
      <c r="AM241" s="4">
        <v>0.76</v>
      </c>
      <c r="AN241" s="4">
        <v>294</v>
      </c>
      <c r="AO241" s="4">
        <v>300.86</v>
      </c>
      <c r="AP241" s="4">
        <v>356760.96</v>
      </c>
      <c r="AQ241" s="4">
        <v>230231.73</v>
      </c>
      <c r="AR241" s="4" t="s">
        <v>1081</v>
      </c>
      <c r="AS241" s="5">
        <f t="shared" si="0"/>
        <v>7.2219880136986303</v>
      </c>
    </row>
    <row r="242" spans="1:45" ht="14.25" customHeight="1" x14ac:dyDescent="0.55000000000000004">
      <c r="A242" s="4">
        <v>21.99</v>
      </c>
      <c r="B242" s="4">
        <v>31.67</v>
      </c>
      <c r="C242" s="4">
        <v>5865.09</v>
      </c>
      <c r="D242" s="4">
        <v>7.59</v>
      </c>
      <c r="E242" s="4" t="s">
        <v>1082</v>
      </c>
      <c r="F242" s="4" t="s">
        <v>1083</v>
      </c>
      <c r="G242" s="4" t="s">
        <v>798</v>
      </c>
      <c r="H242" s="4" t="s">
        <v>1084</v>
      </c>
      <c r="I242" s="4">
        <v>0</v>
      </c>
      <c r="J242" s="4">
        <v>840.9</v>
      </c>
      <c r="K242" s="4">
        <f t="shared" si="10"/>
        <v>65.92</v>
      </c>
      <c r="L242" s="7">
        <f t="shared" si="11"/>
        <v>76.709999999999994</v>
      </c>
      <c r="M242" s="7">
        <f t="shared" si="12"/>
        <v>-10.789999999999992</v>
      </c>
      <c r="N242" s="4">
        <v>7.25</v>
      </c>
      <c r="O242" s="4">
        <v>91.79</v>
      </c>
      <c r="P242" s="4">
        <v>83</v>
      </c>
      <c r="Q242" s="4">
        <v>19.399999999999999</v>
      </c>
      <c r="R242" s="4">
        <v>9.67</v>
      </c>
      <c r="S242" s="4">
        <v>17.32</v>
      </c>
      <c r="T242" s="4">
        <v>4.67</v>
      </c>
      <c r="U242" s="4">
        <v>6.97</v>
      </c>
      <c r="V242" s="4">
        <v>3753.66</v>
      </c>
      <c r="W242" s="4">
        <v>1109.51</v>
      </c>
      <c r="X242" s="4">
        <v>1266.78</v>
      </c>
      <c r="Y242" s="4">
        <v>780.29</v>
      </c>
      <c r="Z242" s="4">
        <v>5.16</v>
      </c>
      <c r="AA242" s="4">
        <v>1.63</v>
      </c>
      <c r="AB242" s="4">
        <v>4.32</v>
      </c>
      <c r="AC242" s="4">
        <v>67.430000000000007</v>
      </c>
      <c r="AD242" s="4">
        <v>490</v>
      </c>
      <c r="AE242" s="4">
        <v>4700</v>
      </c>
      <c r="AF242" s="4">
        <v>69.56</v>
      </c>
      <c r="AG242" s="4">
        <v>0.47</v>
      </c>
      <c r="AH242" s="4">
        <v>11.64</v>
      </c>
      <c r="AI242" s="4">
        <v>26.56</v>
      </c>
      <c r="AJ242" s="4">
        <v>60</v>
      </c>
      <c r="AK242" s="4">
        <v>9</v>
      </c>
      <c r="AL242" s="4">
        <v>9</v>
      </c>
      <c r="AM242" s="4">
        <v>0.85</v>
      </c>
      <c r="AN242" s="4">
        <v>294</v>
      </c>
      <c r="AO242" s="4">
        <v>301.67</v>
      </c>
      <c r="AP242" s="4">
        <v>362611.07</v>
      </c>
      <c r="AQ242" s="4">
        <v>258316.16</v>
      </c>
      <c r="AR242" s="4" t="s">
        <v>1085</v>
      </c>
      <c r="AS242" s="5">
        <f t="shared" si="0"/>
        <v>5.9529058219178088</v>
      </c>
    </row>
    <row r="243" spans="1:45" ht="14.25" customHeight="1" x14ac:dyDescent="0.55000000000000004">
      <c r="A243" s="4">
        <v>22.04</v>
      </c>
      <c r="B243" s="4">
        <v>31.79</v>
      </c>
      <c r="C243" s="4">
        <v>5909.8</v>
      </c>
      <c r="D243" s="4">
        <v>7.61</v>
      </c>
      <c r="E243" s="4" t="s">
        <v>1086</v>
      </c>
      <c r="F243" s="4" t="s">
        <v>1087</v>
      </c>
      <c r="G243" s="4" t="s">
        <v>798</v>
      </c>
      <c r="H243" s="4" t="s">
        <v>1088</v>
      </c>
      <c r="I243" s="4">
        <v>0</v>
      </c>
      <c r="J243" s="4">
        <v>960.1</v>
      </c>
      <c r="K243" s="4">
        <f t="shared" si="10"/>
        <v>79.61</v>
      </c>
      <c r="L243" s="7">
        <f t="shared" si="11"/>
        <v>94.860000000000014</v>
      </c>
      <c r="M243" s="7">
        <f t="shared" si="12"/>
        <v>-15.250000000000014</v>
      </c>
      <c r="N243" s="4">
        <v>7.35</v>
      </c>
      <c r="O243" s="4">
        <v>91.87</v>
      </c>
      <c r="P243" s="4">
        <v>70</v>
      </c>
      <c r="Q243" s="4">
        <v>21.9</v>
      </c>
      <c r="R243" s="4">
        <v>9.75</v>
      </c>
      <c r="S243" s="4">
        <v>18.05</v>
      </c>
      <c r="T243" s="4">
        <v>3.99</v>
      </c>
      <c r="U243" s="4">
        <v>6.16</v>
      </c>
      <c r="V243" s="4">
        <v>3782.27</v>
      </c>
      <c r="W243" s="4">
        <v>1115.51</v>
      </c>
      <c r="X243" s="4">
        <v>1244.25</v>
      </c>
      <c r="Y243" s="4">
        <v>778.97</v>
      </c>
      <c r="Z243" s="4">
        <v>4.62</v>
      </c>
      <c r="AA243" s="4">
        <v>1.65</v>
      </c>
      <c r="AB243" s="4">
        <v>4.3099999999999996</v>
      </c>
      <c r="AC243" s="4">
        <v>70.95</v>
      </c>
      <c r="AD243" s="4">
        <v>490</v>
      </c>
      <c r="AE243" s="4">
        <v>4700</v>
      </c>
      <c r="AF243" s="4">
        <v>70.12</v>
      </c>
      <c r="AG243" s="4">
        <v>0.47</v>
      </c>
      <c r="AH243" s="4">
        <v>13.6</v>
      </c>
      <c r="AI243" s="4">
        <v>19.690000000000001</v>
      </c>
      <c r="AJ243" s="4">
        <v>60</v>
      </c>
      <c r="AK243" s="4">
        <v>9</v>
      </c>
      <c r="AL243" s="4">
        <v>9</v>
      </c>
      <c r="AM243" s="4">
        <v>1.1499999999999999</v>
      </c>
      <c r="AN243" s="4">
        <v>294</v>
      </c>
      <c r="AO243" s="4">
        <v>304.35000000000002</v>
      </c>
      <c r="AP243" s="4">
        <v>375268.41</v>
      </c>
      <c r="AQ243" s="4">
        <v>268934.34000000003</v>
      </c>
      <c r="AR243" s="4" t="s">
        <v>1089</v>
      </c>
      <c r="AS243" s="5">
        <f t="shared" si="0"/>
        <v>6.0692962328767095</v>
      </c>
    </row>
    <row r="244" spans="1:45" ht="14.25" customHeight="1" x14ac:dyDescent="0.55000000000000004">
      <c r="A244" s="4">
        <v>22.13</v>
      </c>
      <c r="B244" s="4">
        <v>31.67</v>
      </c>
      <c r="C244" s="4">
        <v>5780</v>
      </c>
      <c r="D244" s="4">
        <v>7.59</v>
      </c>
      <c r="E244" s="4" t="s">
        <v>1090</v>
      </c>
      <c r="F244" s="4" t="s">
        <v>1091</v>
      </c>
      <c r="G244" s="4" t="s">
        <v>1092</v>
      </c>
      <c r="H244" s="4" t="s">
        <v>144</v>
      </c>
      <c r="I244" s="4">
        <v>0</v>
      </c>
      <c r="J244" s="4">
        <v>719.86</v>
      </c>
      <c r="K244" s="4">
        <f t="shared" si="10"/>
        <v>55.989999999999995</v>
      </c>
      <c r="L244" s="7">
        <f t="shared" si="11"/>
        <v>64.789999999999992</v>
      </c>
      <c r="M244" s="7">
        <f t="shared" si="12"/>
        <v>-8.7999999999999972</v>
      </c>
      <c r="N244" s="4">
        <v>7.16</v>
      </c>
      <c r="O244" s="4">
        <v>92.3</v>
      </c>
      <c r="P244" s="4">
        <v>85</v>
      </c>
      <c r="Q244" s="4">
        <v>19.8</v>
      </c>
      <c r="R244" s="4">
        <v>9.5500000000000007</v>
      </c>
      <c r="S244" s="4">
        <v>17.96</v>
      </c>
      <c r="T244" s="4">
        <v>4.17</v>
      </c>
      <c r="U244" s="4">
        <v>8.0299999999999994</v>
      </c>
      <c r="V244" s="4">
        <v>3699.2</v>
      </c>
      <c r="W244" s="4">
        <v>1096.47</v>
      </c>
      <c r="X244" s="4">
        <v>1289.57</v>
      </c>
      <c r="Y244" s="4">
        <v>778.13</v>
      </c>
      <c r="Z244" s="4">
        <v>5.19</v>
      </c>
      <c r="AA244" s="4">
        <v>1.64</v>
      </c>
      <c r="AB244" s="4">
        <v>4.3099999999999996</v>
      </c>
      <c r="AC244" s="4">
        <v>69.58</v>
      </c>
      <c r="AD244" s="4">
        <v>490</v>
      </c>
      <c r="AE244" s="4">
        <v>4700</v>
      </c>
      <c r="AF244" s="4">
        <v>68.64</v>
      </c>
      <c r="AG244" s="4">
        <v>0.47</v>
      </c>
      <c r="AH244" s="4">
        <v>9.76</v>
      </c>
      <c r="AI244" s="4">
        <v>31.44</v>
      </c>
      <c r="AJ244" s="4">
        <v>60</v>
      </c>
      <c r="AK244" s="4">
        <v>9</v>
      </c>
      <c r="AL244" s="4">
        <v>9</v>
      </c>
      <c r="AM244" s="4">
        <v>0.72</v>
      </c>
      <c r="AN244" s="4">
        <v>294</v>
      </c>
      <c r="AO244" s="4">
        <v>300.48</v>
      </c>
      <c r="AP244" s="4">
        <v>353518.46</v>
      </c>
      <c r="AQ244" s="4">
        <v>206962.87</v>
      </c>
      <c r="AR244" s="4" t="s">
        <v>1093</v>
      </c>
      <c r="AS244" s="5">
        <f t="shared" si="0"/>
        <v>8.3650450913242018</v>
      </c>
    </row>
    <row r="245" spans="1:45" ht="14.25" customHeight="1" x14ac:dyDescent="0.55000000000000004">
      <c r="A245" s="4">
        <v>21.98</v>
      </c>
      <c r="B245" s="4">
        <v>31.47</v>
      </c>
      <c r="C245" s="4">
        <v>5717.92</v>
      </c>
      <c r="D245" s="4">
        <v>7.61</v>
      </c>
      <c r="E245" s="4" t="s">
        <v>1094</v>
      </c>
      <c r="F245" s="4" t="s">
        <v>1095</v>
      </c>
      <c r="G245" s="4" t="s">
        <v>1096</v>
      </c>
      <c r="H245" s="4" t="s">
        <v>1097</v>
      </c>
      <c r="I245" s="4">
        <v>0</v>
      </c>
      <c r="J245" s="4">
        <v>790.72</v>
      </c>
      <c r="K245" s="4">
        <f t="shared" si="10"/>
        <v>61.620000000000005</v>
      </c>
      <c r="L245" s="7">
        <f t="shared" si="11"/>
        <v>71.539999999999992</v>
      </c>
      <c r="M245" s="7">
        <f t="shared" si="12"/>
        <v>-9.9199999999999875</v>
      </c>
      <c r="N245" s="4">
        <v>7.22</v>
      </c>
      <c r="O245" s="4">
        <v>92.15</v>
      </c>
      <c r="P245" s="4">
        <v>85</v>
      </c>
      <c r="Q245" s="4">
        <v>19.5</v>
      </c>
      <c r="R245" s="4">
        <v>9.48</v>
      </c>
      <c r="S245" s="4">
        <v>17.66</v>
      </c>
      <c r="T245" s="4">
        <v>4.32</v>
      </c>
      <c r="U245" s="4">
        <v>7.23</v>
      </c>
      <c r="V245" s="4">
        <v>3659.47</v>
      </c>
      <c r="W245" s="4">
        <v>1083.18</v>
      </c>
      <c r="X245" s="4">
        <v>1253.01</v>
      </c>
      <c r="Y245" s="4">
        <v>764.98</v>
      </c>
      <c r="Z245" s="4">
        <v>5.17</v>
      </c>
      <c r="AA245" s="4">
        <v>1.64</v>
      </c>
      <c r="AB245" s="4">
        <v>4.33</v>
      </c>
      <c r="AC245" s="4">
        <v>68.7</v>
      </c>
      <c r="AD245" s="4">
        <v>490</v>
      </c>
      <c r="AE245" s="4">
        <v>4700</v>
      </c>
      <c r="AF245" s="4">
        <v>68.19</v>
      </c>
      <c r="AG245" s="4">
        <v>0.47</v>
      </c>
      <c r="AH245" s="4">
        <v>10.94</v>
      </c>
      <c r="AI245" s="4">
        <v>28.48</v>
      </c>
      <c r="AJ245" s="4">
        <v>60</v>
      </c>
      <c r="AK245" s="4">
        <v>9</v>
      </c>
      <c r="AL245" s="4">
        <v>9</v>
      </c>
      <c r="AM245" s="4">
        <v>0.79</v>
      </c>
      <c r="AN245" s="4">
        <v>294</v>
      </c>
      <c r="AO245" s="4">
        <v>301.14999999999998</v>
      </c>
      <c r="AP245" s="4">
        <v>358097.98</v>
      </c>
      <c r="AQ245" s="4">
        <v>233881.78</v>
      </c>
      <c r="AR245" s="4" t="s">
        <v>1098</v>
      </c>
      <c r="AS245" s="5">
        <f t="shared" si="0"/>
        <v>7.0899657534246563</v>
      </c>
    </row>
    <row r="246" spans="1:45" ht="14.25" customHeight="1" x14ac:dyDescent="0.55000000000000004">
      <c r="A246" s="4">
        <v>21.46</v>
      </c>
      <c r="B246" s="4">
        <v>31.07</v>
      </c>
      <c r="C246" s="4">
        <v>5986.02</v>
      </c>
      <c r="D246" s="4">
        <v>7.6</v>
      </c>
      <c r="E246" s="4" t="s">
        <v>1099</v>
      </c>
      <c r="F246" s="4" t="s">
        <v>1100</v>
      </c>
      <c r="G246" s="4" t="s">
        <v>845</v>
      </c>
      <c r="H246" s="4" t="s">
        <v>1101</v>
      </c>
      <c r="I246" s="4">
        <v>0</v>
      </c>
      <c r="J246" s="4">
        <v>941.4</v>
      </c>
      <c r="K246" s="4">
        <f t="shared" si="10"/>
        <v>75.53</v>
      </c>
      <c r="L246" s="7">
        <f t="shared" si="11"/>
        <v>80.09</v>
      </c>
      <c r="M246" s="7">
        <f t="shared" si="12"/>
        <v>-4.5600000000000023</v>
      </c>
      <c r="N246" s="4">
        <v>7.32</v>
      </c>
      <c r="O246" s="4">
        <v>91.84</v>
      </c>
      <c r="P246" s="4">
        <v>67</v>
      </c>
      <c r="Q246" s="4">
        <v>21</v>
      </c>
      <c r="R246" s="4">
        <v>9.6</v>
      </c>
      <c r="S246" s="4">
        <v>16.82</v>
      </c>
      <c r="T246" s="4">
        <v>4.6399999999999997</v>
      </c>
      <c r="U246" s="4">
        <v>6.36</v>
      </c>
      <c r="V246" s="4">
        <v>3831.05</v>
      </c>
      <c r="W246" s="4">
        <v>1129.25</v>
      </c>
      <c r="X246" s="4">
        <v>1257.6600000000001</v>
      </c>
      <c r="Y246" s="4">
        <v>787.73</v>
      </c>
      <c r="Z246" s="4">
        <v>5.19</v>
      </c>
      <c r="AA246" s="4">
        <v>1.64</v>
      </c>
      <c r="AB246" s="4">
        <v>4.32</v>
      </c>
      <c r="AC246" s="4">
        <v>67.430000000000007</v>
      </c>
      <c r="AD246" s="4">
        <v>490</v>
      </c>
      <c r="AE246" s="4">
        <v>4700</v>
      </c>
      <c r="AF246" s="4">
        <v>69.06</v>
      </c>
      <c r="AG246" s="4">
        <v>0.47</v>
      </c>
      <c r="AH246" s="4">
        <v>12.89</v>
      </c>
      <c r="AI246" s="4">
        <v>23.32</v>
      </c>
      <c r="AJ246" s="4">
        <v>60</v>
      </c>
      <c r="AK246" s="4">
        <v>9</v>
      </c>
      <c r="AL246" s="4">
        <v>9</v>
      </c>
      <c r="AM246" s="4">
        <v>0.97</v>
      </c>
      <c r="AN246" s="4">
        <v>294</v>
      </c>
      <c r="AO246" s="4">
        <v>302.74</v>
      </c>
      <c r="AP246" s="4">
        <v>453035</v>
      </c>
      <c r="AQ246" s="4">
        <v>223606.04</v>
      </c>
      <c r="AR246" s="4" t="s">
        <v>1102</v>
      </c>
      <c r="AS246" s="5">
        <f t="shared" si="0"/>
        <v>13.095260273972603</v>
      </c>
    </row>
    <row r="247" spans="1:45" ht="14.25" customHeight="1" x14ac:dyDescent="0.55000000000000004">
      <c r="A247" s="4">
        <v>21.91</v>
      </c>
      <c r="B247" s="4">
        <v>31.65</v>
      </c>
      <c r="C247" s="4">
        <v>5908.62</v>
      </c>
      <c r="D247" s="4">
        <v>7.64</v>
      </c>
      <c r="E247" s="4" t="s">
        <v>1103</v>
      </c>
      <c r="F247" s="4" t="s">
        <v>1104</v>
      </c>
      <c r="G247" s="4" t="s">
        <v>720</v>
      </c>
      <c r="H247" s="4" t="s">
        <v>1105</v>
      </c>
      <c r="I247" s="4">
        <v>0</v>
      </c>
      <c r="J247" s="4">
        <v>839.7</v>
      </c>
      <c r="K247" s="4">
        <f t="shared" si="10"/>
        <v>65.08</v>
      </c>
      <c r="L247" s="7">
        <f t="shared" si="11"/>
        <v>75.7</v>
      </c>
      <c r="M247" s="7">
        <f t="shared" si="12"/>
        <v>-10.620000000000005</v>
      </c>
      <c r="N247" s="4">
        <v>7.25</v>
      </c>
      <c r="O247" s="4">
        <v>91.74</v>
      </c>
      <c r="P247" s="4">
        <v>73</v>
      </c>
      <c r="Q247" s="4">
        <v>21.1</v>
      </c>
      <c r="R247" s="4">
        <v>9.74</v>
      </c>
      <c r="S247" s="4">
        <v>17.690000000000001</v>
      </c>
      <c r="T247" s="4">
        <v>4.22</v>
      </c>
      <c r="U247" s="4">
        <v>7.04</v>
      </c>
      <c r="V247" s="4">
        <v>3781.52</v>
      </c>
      <c r="W247" s="4">
        <v>1117.7</v>
      </c>
      <c r="X247" s="4">
        <v>1276</v>
      </c>
      <c r="Y247" s="4">
        <v>785.98</v>
      </c>
      <c r="Z247" s="4">
        <v>5.16</v>
      </c>
      <c r="AA247" s="4">
        <v>1.69</v>
      </c>
      <c r="AB247" s="4">
        <v>4.26</v>
      </c>
      <c r="AC247" s="4">
        <v>69.78</v>
      </c>
      <c r="AD247" s="4">
        <v>490</v>
      </c>
      <c r="AE247" s="4">
        <v>4700</v>
      </c>
      <c r="AF247" s="4">
        <v>70.06</v>
      </c>
      <c r="AG247" s="4">
        <v>0.47</v>
      </c>
      <c r="AH247" s="4">
        <v>11.61</v>
      </c>
      <c r="AI247" s="4">
        <v>26.92</v>
      </c>
      <c r="AJ247" s="4">
        <v>60</v>
      </c>
      <c r="AK247" s="4">
        <v>9</v>
      </c>
      <c r="AL247" s="4">
        <v>9</v>
      </c>
      <c r="AM247" s="4">
        <v>0.84</v>
      </c>
      <c r="AN247" s="4">
        <v>294</v>
      </c>
      <c r="AO247" s="4">
        <v>301.57</v>
      </c>
      <c r="AP247" s="4">
        <v>359081.4</v>
      </c>
      <c r="AQ247" s="4">
        <v>255176.81</v>
      </c>
      <c r="AR247" s="4" t="s">
        <v>1106</v>
      </c>
      <c r="AS247" s="5">
        <f t="shared" si="0"/>
        <v>5.9306272831050242</v>
      </c>
    </row>
    <row r="248" spans="1:45" ht="14.25" customHeight="1" x14ac:dyDescent="0.55000000000000004">
      <c r="A248" s="4">
        <v>21.92</v>
      </c>
      <c r="B248" s="4">
        <v>31.46</v>
      </c>
      <c r="C248" s="4">
        <v>5976.64</v>
      </c>
      <c r="D248" s="4">
        <v>7.59</v>
      </c>
      <c r="E248" s="4" t="s">
        <v>1107</v>
      </c>
      <c r="F248" s="4" t="s">
        <v>1108</v>
      </c>
      <c r="G248" s="4" t="s">
        <v>1109</v>
      </c>
      <c r="H248" s="4" t="s">
        <v>1110</v>
      </c>
      <c r="I248" s="4">
        <v>0</v>
      </c>
      <c r="J248" s="4">
        <v>876.16</v>
      </c>
      <c r="K248" s="4">
        <f t="shared" si="10"/>
        <v>68.13</v>
      </c>
      <c r="L248" s="7">
        <f t="shared" si="11"/>
        <v>80.820000000000007</v>
      </c>
      <c r="M248" s="7">
        <f t="shared" si="12"/>
        <v>-12.690000000000012</v>
      </c>
      <c r="N248" s="4">
        <v>7.27</v>
      </c>
      <c r="O248" s="4">
        <v>91.86</v>
      </c>
      <c r="P248" s="4">
        <v>85</v>
      </c>
      <c r="Q248" s="4">
        <v>19.399999999999999</v>
      </c>
      <c r="R248" s="4">
        <v>9.5500000000000007</v>
      </c>
      <c r="S248" s="4">
        <v>17.57</v>
      </c>
      <c r="T248" s="4">
        <v>4.3499999999999996</v>
      </c>
      <c r="U248" s="4">
        <v>6.82</v>
      </c>
      <c r="V248" s="4">
        <v>3825.05</v>
      </c>
      <c r="W248" s="4">
        <v>1128.58</v>
      </c>
      <c r="X248" s="4">
        <v>1271.43</v>
      </c>
      <c r="Y248" s="4">
        <v>789.89</v>
      </c>
      <c r="Z248" s="4">
        <v>4.6399999999999997</v>
      </c>
      <c r="AA248" s="4">
        <v>1.64</v>
      </c>
      <c r="AB248" s="4">
        <v>4.3099999999999996</v>
      </c>
      <c r="AC248" s="4">
        <v>68.7</v>
      </c>
      <c r="AD248" s="4">
        <v>490</v>
      </c>
      <c r="AE248" s="4">
        <v>4700</v>
      </c>
      <c r="AF248" s="4">
        <v>68.67</v>
      </c>
      <c r="AG248" s="4">
        <v>0.47</v>
      </c>
      <c r="AH248" s="4">
        <v>11.8</v>
      </c>
      <c r="AI248" s="4">
        <v>23.11</v>
      </c>
      <c r="AJ248" s="4">
        <v>60</v>
      </c>
      <c r="AK248" s="4">
        <v>9</v>
      </c>
      <c r="AL248" s="4">
        <v>9</v>
      </c>
      <c r="AM248" s="4">
        <v>0.98</v>
      </c>
      <c r="AN248" s="4">
        <v>294</v>
      </c>
      <c r="AO248" s="4">
        <v>302.82</v>
      </c>
      <c r="AP248" s="4">
        <v>365333.97</v>
      </c>
      <c r="AQ248" s="4">
        <v>226418.78</v>
      </c>
      <c r="AR248" s="4" t="s">
        <v>1111</v>
      </c>
      <c r="AS248" s="5">
        <f t="shared" si="0"/>
        <v>7.9289492009132401</v>
      </c>
    </row>
    <row r="249" spans="1:45" ht="14.25" customHeight="1" x14ac:dyDescent="0.55000000000000004">
      <c r="A249" s="4">
        <v>22.04</v>
      </c>
      <c r="B249" s="4">
        <v>31.59</v>
      </c>
      <c r="C249" s="4">
        <v>5962.65</v>
      </c>
      <c r="D249" s="4">
        <v>7.6</v>
      </c>
      <c r="E249" s="4" t="s">
        <v>1112</v>
      </c>
      <c r="F249" s="4" t="s">
        <v>1113</v>
      </c>
      <c r="G249" s="4" t="s">
        <v>1114</v>
      </c>
      <c r="H249" s="4" t="s">
        <v>1115</v>
      </c>
      <c r="I249" s="4">
        <v>0</v>
      </c>
      <c r="J249" s="4">
        <v>800.03</v>
      </c>
      <c r="K249" s="4">
        <f t="shared" si="10"/>
        <v>61.349999999999994</v>
      </c>
      <c r="L249" s="7">
        <f t="shared" si="11"/>
        <v>71.22</v>
      </c>
      <c r="M249" s="7">
        <f t="shared" si="12"/>
        <v>-9.8700000000000045</v>
      </c>
      <c r="N249" s="4">
        <v>7.21</v>
      </c>
      <c r="O249" s="4">
        <v>92.17</v>
      </c>
      <c r="P249" s="4">
        <v>81</v>
      </c>
      <c r="Q249" s="4">
        <v>20.100000000000001</v>
      </c>
      <c r="R249" s="4">
        <v>9.5500000000000007</v>
      </c>
      <c r="S249" s="4">
        <v>17.75</v>
      </c>
      <c r="T249" s="4">
        <v>4.29</v>
      </c>
      <c r="U249" s="4">
        <v>7.45</v>
      </c>
      <c r="V249" s="4">
        <v>3816.1</v>
      </c>
      <c r="W249" s="4">
        <v>1127.93</v>
      </c>
      <c r="X249" s="4">
        <v>1293.55</v>
      </c>
      <c r="Y249" s="4">
        <v>793.83</v>
      </c>
      <c r="Z249" s="4">
        <v>5.17</v>
      </c>
      <c r="AA249" s="4">
        <v>1.67</v>
      </c>
      <c r="AB249" s="4">
        <v>4.2699999999999996</v>
      </c>
      <c r="AC249" s="4">
        <v>69.03</v>
      </c>
      <c r="AD249" s="4">
        <v>490</v>
      </c>
      <c r="AE249" s="4">
        <v>4700</v>
      </c>
      <c r="AF249" s="4">
        <v>68.69</v>
      </c>
      <c r="AG249" s="4">
        <v>0.47</v>
      </c>
      <c r="AH249" s="4">
        <v>10.64</v>
      </c>
      <c r="AI249" s="4">
        <v>28.61</v>
      </c>
      <c r="AJ249" s="4">
        <v>60</v>
      </c>
      <c r="AK249" s="4">
        <v>9</v>
      </c>
      <c r="AL249" s="4">
        <v>9</v>
      </c>
      <c r="AM249" s="4">
        <v>0.79</v>
      </c>
      <c r="AN249" s="4">
        <v>294</v>
      </c>
      <c r="AO249" s="4">
        <v>301.12</v>
      </c>
      <c r="AP249" s="4">
        <v>358684.59</v>
      </c>
      <c r="AQ249" s="4">
        <v>240668.61</v>
      </c>
      <c r="AR249" s="4" t="s">
        <v>1116</v>
      </c>
      <c r="AS249" s="5">
        <f t="shared" si="0"/>
        <v>6.7360719178082213</v>
      </c>
    </row>
    <row r="250" spans="1:45" ht="14.25" customHeight="1" x14ac:dyDescent="0.55000000000000004">
      <c r="A250" s="4">
        <v>21.62</v>
      </c>
      <c r="B250" s="4">
        <v>31.18</v>
      </c>
      <c r="C250" s="4">
        <v>5982.75</v>
      </c>
      <c r="D250" s="4">
        <v>7.6</v>
      </c>
      <c r="E250" s="4" t="s">
        <v>1117</v>
      </c>
      <c r="F250" s="4" t="s">
        <v>1118</v>
      </c>
      <c r="G250" s="4" t="s">
        <v>1119</v>
      </c>
      <c r="H250" s="4" t="s">
        <v>1120</v>
      </c>
      <c r="I250" s="4">
        <v>0</v>
      </c>
      <c r="J250" s="4">
        <v>805.31</v>
      </c>
      <c r="K250" s="4">
        <f t="shared" si="10"/>
        <v>61.76</v>
      </c>
      <c r="L250" s="7">
        <f t="shared" si="11"/>
        <v>71.709999999999994</v>
      </c>
      <c r="M250" s="7">
        <f t="shared" si="12"/>
        <v>-9.9499999999999957</v>
      </c>
      <c r="N250" s="4">
        <v>7.21</v>
      </c>
      <c r="O250" s="4">
        <v>91.99</v>
      </c>
      <c r="P250" s="4">
        <v>73</v>
      </c>
      <c r="Q250" s="4">
        <v>20.5</v>
      </c>
      <c r="R250" s="4">
        <v>9.56</v>
      </c>
      <c r="S250" s="4">
        <v>17.13</v>
      </c>
      <c r="T250" s="4">
        <v>4.49</v>
      </c>
      <c r="U250" s="4">
        <v>7.43</v>
      </c>
      <c r="V250" s="4">
        <v>3828.96</v>
      </c>
      <c r="W250" s="4">
        <v>1131.6600000000001</v>
      </c>
      <c r="X250" s="4">
        <v>1296.56</v>
      </c>
      <c r="Y250" s="4">
        <v>796.24</v>
      </c>
      <c r="Z250" s="4">
        <v>5.17</v>
      </c>
      <c r="AA250" s="4">
        <v>1.66</v>
      </c>
      <c r="AB250" s="4">
        <v>4.29</v>
      </c>
      <c r="AC250" s="4">
        <v>68.06</v>
      </c>
      <c r="AD250" s="4">
        <v>490</v>
      </c>
      <c r="AE250" s="4">
        <v>4700</v>
      </c>
      <c r="AF250" s="4">
        <v>68.78</v>
      </c>
      <c r="AG250" s="4">
        <v>0.47</v>
      </c>
      <c r="AH250" s="4">
        <v>10.7</v>
      </c>
      <c r="AI250" s="4">
        <v>28.41</v>
      </c>
      <c r="AJ250" s="4">
        <v>60</v>
      </c>
      <c r="AK250" s="4">
        <v>9</v>
      </c>
      <c r="AL250" s="4">
        <v>9</v>
      </c>
      <c r="AM250" s="4">
        <v>0.8</v>
      </c>
      <c r="AN250" s="4">
        <v>294</v>
      </c>
      <c r="AO250" s="4">
        <v>301.17</v>
      </c>
      <c r="AP250" s="4">
        <v>358620.59</v>
      </c>
      <c r="AQ250" s="4">
        <v>242602.23</v>
      </c>
      <c r="AR250" s="4" t="s">
        <v>1121</v>
      </c>
      <c r="AS250" s="5">
        <f t="shared" si="0"/>
        <v>6.622052511415526</v>
      </c>
    </row>
    <row r="251" spans="1:45" ht="14.25" customHeight="1" x14ac:dyDescent="0.55000000000000004">
      <c r="A251" s="4">
        <v>22.21</v>
      </c>
      <c r="B251" s="4">
        <v>31.8</v>
      </c>
      <c r="C251" s="4">
        <v>5834.27</v>
      </c>
      <c r="D251" s="4">
        <v>7.6</v>
      </c>
      <c r="E251" s="4" t="s">
        <v>1122</v>
      </c>
      <c r="F251" s="4" t="s">
        <v>1123</v>
      </c>
      <c r="G251" s="4" t="s">
        <v>1124</v>
      </c>
      <c r="H251" s="4" t="s">
        <v>1125</v>
      </c>
      <c r="I251" s="4">
        <v>0</v>
      </c>
      <c r="J251" s="4">
        <v>617.5</v>
      </c>
      <c r="K251" s="4">
        <f t="shared" si="10"/>
        <v>50.08</v>
      </c>
      <c r="L251" s="7">
        <f t="shared" si="11"/>
        <v>57.7</v>
      </c>
      <c r="M251" s="7">
        <f t="shared" si="12"/>
        <v>-7.6200000000000045</v>
      </c>
      <c r="N251" s="4">
        <v>7.07</v>
      </c>
      <c r="O251" s="4">
        <v>91.92</v>
      </c>
      <c r="P251" s="4">
        <v>86</v>
      </c>
      <c r="Q251" s="4">
        <v>19.7</v>
      </c>
      <c r="R251" s="4">
        <v>9.59</v>
      </c>
      <c r="S251" s="4">
        <v>17.98</v>
      </c>
      <c r="T251" s="4">
        <v>4.2300000000000004</v>
      </c>
      <c r="U251" s="4">
        <v>9.4499999999999993</v>
      </c>
      <c r="V251" s="4">
        <v>3733.93</v>
      </c>
      <c r="W251" s="4">
        <v>1109.93</v>
      </c>
      <c r="X251" s="4">
        <v>1346.68</v>
      </c>
      <c r="Y251" s="4">
        <v>795.17</v>
      </c>
      <c r="Z251" s="4">
        <v>5.21</v>
      </c>
      <c r="AA251" s="4">
        <v>1.67</v>
      </c>
      <c r="AB251" s="4">
        <v>4.25</v>
      </c>
      <c r="AC251" s="4">
        <v>69.39</v>
      </c>
      <c r="AD251" s="4">
        <v>490</v>
      </c>
      <c r="AE251" s="4">
        <v>4700</v>
      </c>
      <c r="AF251" s="4">
        <v>68.930000000000007</v>
      </c>
      <c r="AG251" s="4">
        <v>0.47</v>
      </c>
      <c r="AH251" s="4">
        <v>8.16</v>
      </c>
      <c r="AI251" s="4">
        <v>35.31</v>
      </c>
      <c r="AJ251" s="4">
        <v>60</v>
      </c>
      <c r="AK251" s="4">
        <v>9</v>
      </c>
      <c r="AL251" s="4">
        <v>9</v>
      </c>
      <c r="AM251" s="4">
        <v>0.64</v>
      </c>
      <c r="AN251" s="4">
        <v>294</v>
      </c>
      <c r="AO251" s="4">
        <v>299.77</v>
      </c>
      <c r="AP251" s="4">
        <v>351450.7</v>
      </c>
      <c r="AQ251" s="4">
        <v>177037.15</v>
      </c>
      <c r="AR251" s="4" t="s">
        <v>1126</v>
      </c>
      <c r="AS251" s="5">
        <f t="shared" si="0"/>
        <v>9.9551113013698647</v>
      </c>
    </row>
    <row r="252" spans="1:45" ht="14.25" customHeight="1" x14ac:dyDescent="0.55000000000000004"/>
    <row r="253" spans="1:45" ht="14.25" customHeight="1" x14ac:dyDescent="0.55000000000000004">
      <c r="L253" t="s">
        <v>3091</v>
      </c>
    </row>
    <row r="254" spans="1:45" ht="14.25" customHeight="1" x14ac:dyDescent="0.55000000000000004"/>
    <row r="255" spans="1:45" ht="14.25" customHeight="1" x14ac:dyDescent="0.55000000000000004"/>
    <row r="256" spans="1:45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0"/>
  <sheetViews>
    <sheetView tabSelected="1" workbookViewId="0">
      <selection activeCell="K3" sqref="K3"/>
    </sheetView>
  </sheetViews>
  <sheetFormatPr defaultColWidth="14.41796875" defaultRowHeight="15" customHeight="1" x14ac:dyDescent="0.55000000000000004"/>
  <cols>
    <col min="1" max="1" width="11.3125" bestFit="1" customWidth="1"/>
    <col min="2" max="2" width="11.1015625" bestFit="1" customWidth="1"/>
    <col min="3" max="3" width="13.15625" bestFit="1" customWidth="1"/>
    <col min="4" max="4" width="8.68359375" customWidth="1"/>
    <col min="5" max="6" width="11.68359375" bestFit="1" customWidth="1"/>
    <col min="7" max="7" width="15.3671875" bestFit="1" customWidth="1"/>
    <col min="8" max="8" width="11.68359375" bestFit="1" customWidth="1"/>
    <col min="9" max="9" width="8.68359375" customWidth="1"/>
    <col min="10" max="10" width="14.3125" bestFit="1" customWidth="1"/>
    <col min="11" max="11" width="11.3671875" bestFit="1" customWidth="1"/>
    <col min="12" max="12" width="11.26171875" bestFit="1" customWidth="1"/>
    <col min="13" max="13" width="14.68359375" bestFit="1" customWidth="1"/>
    <col min="14" max="14" width="8.68359375" customWidth="1"/>
    <col min="15" max="15" width="17.3125" bestFit="1" customWidth="1"/>
    <col min="16" max="16" width="15.20703125" bestFit="1" customWidth="1"/>
    <col min="17" max="17" width="12.7890625" bestFit="1" customWidth="1"/>
    <col min="18" max="18" width="10.1015625" bestFit="1" customWidth="1"/>
    <col min="19" max="19" width="12.83984375" bestFit="1" customWidth="1"/>
    <col min="20" max="20" width="13.578125" bestFit="1" customWidth="1"/>
    <col min="21" max="24" width="8.68359375" customWidth="1"/>
    <col min="25" max="25" width="9.68359375" bestFit="1" customWidth="1"/>
    <col min="26" max="26" width="9.26171875" bestFit="1" customWidth="1"/>
    <col min="27" max="28" width="8.68359375" customWidth="1"/>
    <col min="29" max="29" width="9.47265625" bestFit="1" customWidth="1"/>
    <col min="30" max="30" width="9.89453125" bestFit="1" customWidth="1"/>
    <col min="31" max="33" width="8.68359375" customWidth="1"/>
    <col min="34" max="34" width="13" bestFit="1" customWidth="1"/>
    <col min="35" max="35" width="14.47265625" bestFit="1" customWidth="1"/>
    <col min="36" max="36" width="13.5234375" bestFit="1" customWidth="1"/>
    <col min="37" max="37" width="17.7890625" bestFit="1" customWidth="1"/>
    <col min="38" max="38" width="13.05078125" bestFit="1" customWidth="1"/>
    <col min="39" max="39" width="16.1015625" bestFit="1" customWidth="1"/>
    <col min="40" max="40" width="11.578125" bestFit="1" customWidth="1"/>
    <col min="41" max="41" width="10.26171875" bestFit="1" customWidth="1"/>
    <col min="42" max="42" width="18.47265625" bestFit="1" customWidth="1"/>
    <col min="43" max="43" width="16" bestFit="1" customWidth="1"/>
    <col min="44" max="44" width="52.68359375" customWidth="1"/>
    <col min="45" max="45" width="10.26171875" customWidth="1"/>
  </cols>
  <sheetData>
    <row r="1" spans="1:4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3083</v>
      </c>
      <c r="F1" s="1" t="s">
        <v>3084</v>
      </c>
      <c r="G1" s="1" t="s">
        <v>3085</v>
      </c>
      <c r="H1" s="6" t="s">
        <v>3086</v>
      </c>
      <c r="I1" s="1" t="s">
        <v>4</v>
      </c>
      <c r="J1" s="1" t="s">
        <v>5</v>
      </c>
      <c r="K1" s="1" t="s">
        <v>3088</v>
      </c>
      <c r="L1" s="1" t="s">
        <v>3092</v>
      </c>
      <c r="M1" s="1" t="s">
        <v>3093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2">
        <f>SUM(AS2:AS251)</f>
        <v>1744.5670062785391</v>
      </c>
    </row>
    <row r="2" spans="1:45" ht="14.25" customHeight="1" x14ac:dyDescent="0.55000000000000004">
      <c r="A2" s="4">
        <v>20.170000000000002</v>
      </c>
      <c r="B2" s="4">
        <v>29.44</v>
      </c>
      <c r="C2" s="4">
        <v>5519.29</v>
      </c>
      <c r="D2" s="4">
        <v>7.6</v>
      </c>
      <c r="E2" s="4" t="s">
        <v>1127</v>
      </c>
      <c r="F2" s="4" t="s">
        <v>1128</v>
      </c>
      <c r="G2" s="4" t="s">
        <v>1129</v>
      </c>
      <c r="H2" s="4" t="s">
        <v>1130</v>
      </c>
      <c r="I2" s="4">
        <v>0</v>
      </c>
      <c r="J2" s="4">
        <v>720.49</v>
      </c>
      <c r="K2" s="4">
        <f>IF(E2=0,0,
VALUE(MID(E2,2,FIND(",",E2)-2))+
VALUE(MID(F2,2,FIND(",",F2)-2))+
VALUE(MID(G2,2,FIND(",",G2)-2))
)</f>
        <v>65.180000000000007</v>
      </c>
      <c r="L2" s="4">
        <f>IF(E2=0,0,
VALUE(MID(E2,FIND(",",E2)+1,FIND("]",E2)-FIND(",",E2)-1))+
VALUE(MID(F2,FIND(",",F2)+1,FIND("]",F2)-FIND(",",F2)-1))+
VALUE(MID(G2,FIND(",",G2)+1,FIND("]",G2)-FIND(",",G2)-1))
)</f>
        <v>67.11</v>
      </c>
      <c r="M2" s="4">
        <f>(K2-L2)</f>
        <v>-1.9299999999999926</v>
      </c>
      <c r="N2" s="4">
        <v>7.26</v>
      </c>
      <c r="O2" s="4">
        <v>89.99</v>
      </c>
      <c r="P2" s="4">
        <v>44</v>
      </c>
      <c r="Q2" s="4">
        <v>22.5</v>
      </c>
      <c r="R2" s="4">
        <v>9.27</v>
      </c>
      <c r="S2" s="4">
        <v>14.96</v>
      </c>
      <c r="T2" s="4">
        <v>5.21</v>
      </c>
      <c r="U2" s="4">
        <v>7.66</v>
      </c>
      <c r="V2" s="4">
        <v>3532.34</v>
      </c>
      <c r="W2" s="4">
        <v>1057.76</v>
      </c>
      <c r="X2" s="4">
        <v>1309.44</v>
      </c>
      <c r="Y2" s="4">
        <v>768.06</v>
      </c>
      <c r="Z2" s="4">
        <v>8.74</v>
      </c>
      <c r="AA2" s="4">
        <v>1.61</v>
      </c>
      <c r="AB2" s="4">
        <v>4.3899999999999997</v>
      </c>
      <c r="AC2" s="4">
        <v>64.05</v>
      </c>
      <c r="AD2" s="4">
        <v>680</v>
      </c>
      <c r="AE2" s="4">
        <v>5900</v>
      </c>
      <c r="AF2" s="4">
        <v>83.72</v>
      </c>
      <c r="AG2" s="4">
        <v>0.59</v>
      </c>
      <c r="AH2" s="4">
        <v>12.57</v>
      </c>
      <c r="AI2" s="4">
        <v>63.2</v>
      </c>
      <c r="AJ2" s="4">
        <v>60</v>
      </c>
      <c r="AK2" s="4">
        <v>9</v>
      </c>
      <c r="AL2" s="4">
        <v>9</v>
      </c>
      <c r="AM2" s="4">
        <v>0.5</v>
      </c>
      <c r="AN2" s="4">
        <v>408</v>
      </c>
      <c r="AO2" s="4">
        <v>412.47</v>
      </c>
      <c r="AP2" s="4">
        <v>398066.87</v>
      </c>
      <c r="AQ2" s="4">
        <v>327776.82</v>
      </c>
      <c r="AR2" s="4" t="s">
        <v>42</v>
      </c>
      <c r="AS2" s="5">
        <f t="shared" ref="AS2:AS251" si="0">(AP2-AQ2)/(365*24*2)</f>
        <v>4.0119891552511406</v>
      </c>
    </row>
    <row r="3" spans="1:45" ht="14.25" customHeight="1" x14ac:dyDescent="0.55000000000000004">
      <c r="A3" s="4">
        <v>19.920000000000002</v>
      </c>
      <c r="B3" s="4">
        <v>29.26</v>
      </c>
      <c r="C3" s="4">
        <v>5530.14</v>
      </c>
      <c r="D3" s="4">
        <v>7.6</v>
      </c>
      <c r="E3" s="4" t="s">
        <v>1131</v>
      </c>
      <c r="F3" s="4" t="s">
        <v>1132</v>
      </c>
      <c r="G3" s="4" t="s">
        <v>1133</v>
      </c>
      <c r="H3" s="4" t="s">
        <v>1134</v>
      </c>
      <c r="I3" s="4">
        <v>0</v>
      </c>
      <c r="J3" s="4">
        <v>718.65</v>
      </c>
      <c r="K3" s="4">
        <f t="shared" ref="K3:K66" si="1">IF(E3=0,0,
VALUE(MID(E3,2,FIND(",",E3)-2))+
VALUE(MID(F3,2,FIND(",",F3)-2))+
VALUE(MID(G3,2,FIND(",",G3)-2))
)</f>
        <v>64.599999999999994</v>
      </c>
      <c r="L3" s="4">
        <f t="shared" ref="L3:L66" si="2">IF(E3=0,0,
VALUE(MID(E3,FIND(",",E3)+1,FIND("]",E3)-FIND(",",E3)-1))+
VALUE(MID(F3,FIND(",",F3)+1,FIND("]",F3)-FIND(",",F3)-1))+
VALUE(MID(G3,FIND(",",G3)+1,FIND("]",G3)-FIND(",",G3)-1))
)</f>
        <v>66.17</v>
      </c>
      <c r="M3" s="4">
        <f t="shared" ref="M3:M66" si="3">(K3-L3)</f>
        <v>-1.5700000000000074</v>
      </c>
      <c r="N3" s="4">
        <v>7.26</v>
      </c>
      <c r="O3" s="4">
        <v>89.87</v>
      </c>
      <c r="P3" s="4">
        <v>46</v>
      </c>
      <c r="Q3" s="4">
        <v>21.7</v>
      </c>
      <c r="R3" s="4">
        <v>9.34</v>
      </c>
      <c r="S3" s="4">
        <v>14.59</v>
      </c>
      <c r="T3" s="4">
        <v>5.33</v>
      </c>
      <c r="U3" s="4">
        <v>7.7</v>
      </c>
      <c r="V3" s="4">
        <v>3539.29</v>
      </c>
      <c r="W3" s="4">
        <v>1059.9000000000001</v>
      </c>
      <c r="X3" s="4">
        <v>1312.73</v>
      </c>
      <c r="Y3" s="4">
        <v>769.74</v>
      </c>
      <c r="Z3" s="4">
        <v>10.25</v>
      </c>
      <c r="AA3" s="4">
        <v>1.6</v>
      </c>
      <c r="AB3" s="4">
        <v>4.3899999999999997</v>
      </c>
      <c r="AC3" s="4">
        <v>63.67</v>
      </c>
      <c r="AD3" s="4">
        <v>680</v>
      </c>
      <c r="AE3" s="4">
        <v>5900</v>
      </c>
      <c r="AF3" s="4">
        <v>84.33</v>
      </c>
      <c r="AG3" s="4">
        <v>0.59</v>
      </c>
      <c r="AH3" s="4">
        <v>12.6</v>
      </c>
      <c r="AI3" s="4">
        <v>74.77</v>
      </c>
      <c r="AJ3" s="4">
        <v>60</v>
      </c>
      <c r="AK3" s="4">
        <v>9</v>
      </c>
      <c r="AL3" s="4">
        <v>9</v>
      </c>
      <c r="AM3" s="4">
        <v>0.42</v>
      </c>
      <c r="AN3" s="4">
        <v>408</v>
      </c>
      <c r="AO3" s="4">
        <v>411.78</v>
      </c>
      <c r="AP3" s="4">
        <v>387772.03</v>
      </c>
      <c r="AQ3" s="4">
        <v>373068.96</v>
      </c>
      <c r="AR3" s="4" t="s">
        <v>47</v>
      </c>
      <c r="AS3" s="5">
        <f t="shared" si="0"/>
        <v>0.83921632420091363</v>
      </c>
    </row>
    <row r="4" spans="1:45" ht="14.25" customHeight="1" x14ac:dyDescent="0.55000000000000004">
      <c r="A4" s="4">
        <v>20.48</v>
      </c>
      <c r="B4" s="4">
        <v>29.79</v>
      </c>
      <c r="C4" s="4">
        <v>5507.58</v>
      </c>
      <c r="D4" s="4">
        <v>7.6</v>
      </c>
      <c r="E4" s="4" t="s">
        <v>1135</v>
      </c>
      <c r="F4" s="4" t="s">
        <v>1136</v>
      </c>
      <c r="G4" s="4" t="s">
        <v>1137</v>
      </c>
      <c r="H4" s="4" t="s">
        <v>1138</v>
      </c>
      <c r="I4" s="4">
        <v>0</v>
      </c>
      <c r="J4" s="4">
        <v>738.07</v>
      </c>
      <c r="K4" s="4">
        <f t="shared" si="1"/>
        <v>65.84</v>
      </c>
      <c r="L4" s="4">
        <f t="shared" si="2"/>
        <v>65.180000000000007</v>
      </c>
      <c r="M4" s="4">
        <f t="shared" si="3"/>
        <v>0.65999999999999659</v>
      </c>
      <c r="N4" s="4">
        <v>7.27</v>
      </c>
      <c r="O4" s="4">
        <v>89.96</v>
      </c>
      <c r="P4" s="4">
        <v>63</v>
      </c>
      <c r="Q4" s="4">
        <v>19.899999999999999</v>
      </c>
      <c r="R4" s="4">
        <v>9.31</v>
      </c>
      <c r="S4" s="4">
        <v>15.3</v>
      </c>
      <c r="T4" s="4">
        <v>5.18</v>
      </c>
      <c r="U4" s="4">
        <v>7.46</v>
      </c>
      <c r="V4" s="4">
        <v>3524.85</v>
      </c>
      <c r="W4" s="4">
        <v>1054.04</v>
      </c>
      <c r="X4" s="4">
        <v>1292.93</v>
      </c>
      <c r="Y4" s="4">
        <v>762.67</v>
      </c>
      <c r="Z4" s="4">
        <v>11.62</v>
      </c>
      <c r="AA4" s="4">
        <v>1.6</v>
      </c>
      <c r="AB4" s="4">
        <v>4.4000000000000004</v>
      </c>
      <c r="AC4" s="4">
        <v>64.239999999999995</v>
      </c>
      <c r="AD4" s="4">
        <v>680</v>
      </c>
      <c r="AE4" s="4">
        <v>5900</v>
      </c>
      <c r="AF4" s="4">
        <v>84</v>
      </c>
      <c r="AG4" s="4">
        <v>0.59</v>
      </c>
      <c r="AH4" s="4">
        <v>13</v>
      </c>
      <c r="AI4" s="4">
        <v>83.13</v>
      </c>
      <c r="AJ4" s="4">
        <v>60</v>
      </c>
      <c r="AK4" s="4">
        <v>9</v>
      </c>
      <c r="AL4" s="4">
        <v>9</v>
      </c>
      <c r="AM4" s="4">
        <v>0.38</v>
      </c>
      <c r="AN4" s="4">
        <v>408</v>
      </c>
      <c r="AO4" s="4">
        <v>411.4</v>
      </c>
      <c r="AP4" s="4">
        <v>405628.19</v>
      </c>
      <c r="AQ4" s="4">
        <v>394440.42</v>
      </c>
      <c r="AR4" s="4" t="s">
        <v>52</v>
      </c>
      <c r="AS4" s="5">
        <f t="shared" si="0"/>
        <v>0.6385713470319645</v>
      </c>
    </row>
    <row r="5" spans="1:45" ht="14.25" customHeight="1" x14ac:dyDescent="0.55000000000000004">
      <c r="A5" s="4">
        <v>20.81</v>
      </c>
      <c r="B5" s="4">
        <v>30.05</v>
      </c>
      <c r="C5" s="4">
        <v>5502.47</v>
      </c>
      <c r="D5" s="4">
        <v>7.6</v>
      </c>
      <c r="E5" s="4" t="s">
        <v>1139</v>
      </c>
      <c r="F5" s="4" t="s">
        <v>1140</v>
      </c>
      <c r="G5" s="4" t="s">
        <v>1141</v>
      </c>
      <c r="H5" s="4" t="s">
        <v>1142</v>
      </c>
      <c r="I5" s="4">
        <v>0</v>
      </c>
      <c r="J5" s="4">
        <v>640.37</v>
      </c>
      <c r="K5" s="4">
        <f t="shared" si="1"/>
        <v>58.860000000000007</v>
      </c>
      <c r="L5" s="4">
        <f t="shared" si="2"/>
        <v>57.01</v>
      </c>
      <c r="M5" s="4">
        <f t="shared" si="3"/>
        <v>1.8500000000000085</v>
      </c>
      <c r="N5" s="4">
        <v>7.2</v>
      </c>
      <c r="O5" s="4">
        <v>89.97</v>
      </c>
      <c r="P5" s="4">
        <v>87</v>
      </c>
      <c r="Q5" s="4">
        <v>17.2</v>
      </c>
      <c r="R5" s="4">
        <v>9.24</v>
      </c>
      <c r="S5" s="4">
        <v>15.66</v>
      </c>
      <c r="T5" s="4">
        <v>5.15</v>
      </c>
      <c r="U5" s="4">
        <v>8.59</v>
      </c>
      <c r="V5" s="4">
        <v>3521.58</v>
      </c>
      <c r="W5" s="4">
        <v>1058.98</v>
      </c>
      <c r="X5" s="4">
        <v>1353.35</v>
      </c>
      <c r="Y5" s="4">
        <v>777.74</v>
      </c>
      <c r="Z5" s="4">
        <v>12.39</v>
      </c>
      <c r="AA5" s="4">
        <v>1.63</v>
      </c>
      <c r="AB5" s="4">
        <v>4.33</v>
      </c>
      <c r="AC5" s="4">
        <v>64.180000000000007</v>
      </c>
      <c r="AD5" s="4">
        <v>680</v>
      </c>
      <c r="AE5" s="4">
        <v>5900</v>
      </c>
      <c r="AF5" s="4">
        <v>83.38</v>
      </c>
      <c r="AG5" s="4">
        <v>0.59</v>
      </c>
      <c r="AH5" s="4">
        <v>10.98</v>
      </c>
      <c r="AI5" s="4">
        <v>99.19</v>
      </c>
      <c r="AJ5" s="4">
        <v>60</v>
      </c>
      <c r="AK5" s="4">
        <v>9</v>
      </c>
      <c r="AL5" s="4">
        <v>9</v>
      </c>
      <c r="AM5" s="4">
        <v>0.32</v>
      </c>
      <c r="AN5" s="4">
        <v>408</v>
      </c>
      <c r="AO5" s="4">
        <v>410.85</v>
      </c>
      <c r="AP5" s="4">
        <v>403586.25</v>
      </c>
      <c r="AQ5" s="4">
        <v>336927.2</v>
      </c>
      <c r="AR5" s="4" t="s">
        <v>57</v>
      </c>
      <c r="AS5" s="5">
        <f t="shared" si="0"/>
        <v>3.8047402968036521</v>
      </c>
    </row>
    <row r="6" spans="1:45" ht="14.25" customHeight="1" x14ac:dyDescent="0.55000000000000004">
      <c r="A6" s="4">
        <v>20.309999999999999</v>
      </c>
      <c r="B6" s="4">
        <v>29.58</v>
      </c>
      <c r="C6" s="4">
        <v>5507.53</v>
      </c>
      <c r="D6" s="4">
        <v>7.6</v>
      </c>
      <c r="E6" s="4" t="s">
        <v>1143</v>
      </c>
      <c r="F6" s="4" t="s">
        <v>1144</v>
      </c>
      <c r="G6" s="4" t="s">
        <v>1145</v>
      </c>
      <c r="H6" s="4" t="s">
        <v>1146</v>
      </c>
      <c r="I6" s="4">
        <v>0</v>
      </c>
      <c r="J6" s="4">
        <v>728.47</v>
      </c>
      <c r="K6" s="4">
        <f t="shared" si="1"/>
        <v>65.050000000000011</v>
      </c>
      <c r="L6" s="4">
        <f t="shared" si="2"/>
        <v>64.19</v>
      </c>
      <c r="M6" s="4">
        <f t="shared" si="3"/>
        <v>0.86000000000001364</v>
      </c>
      <c r="N6" s="4">
        <v>7.26</v>
      </c>
      <c r="O6" s="4">
        <v>90.01</v>
      </c>
      <c r="P6" s="4">
        <v>63</v>
      </c>
      <c r="Q6" s="4">
        <v>19.600000000000001</v>
      </c>
      <c r="R6" s="4">
        <v>9.26</v>
      </c>
      <c r="S6" s="4">
        <v>15.03</v>
      </c>
      <c r="T6" s="4">
        <v>5.28</v>
      </c>
      <c r="U6" s="4">
        <v>7.56</v>
      </c>
      <c r="V6" s="4">
        <v>3524.82</v>
      </c>
      <c r="W6" s="4">
        <v>1054.25</v>
      </c>
      <c r="X6" s="4">
        <v>1296.1400000000001</v>
      </c>
      <c r="Y6" s="4">
        <v>763.35</v>
      </c>
      <c r="Z6" s="4">
        <v>11.66</v>
      </c>
      <c r="AA6" s="4">
        <v>1.6</v>
      </c>
      <c r="AB6" s="4">
        <v>4.3899999999999997</v>
      </c>
      <c r="AC6" s="4">
        <v>63.69</v>
      </c>
      <c r="AD6" s="4">
        <v>680</v>
      </c>
      <c r="AE6" s="4">
        <v>5900</v>
      </c>
      <c r="AF6" s="4">
        <v>83.63</v>
      </c>
      <c r="AG6" s="4">
        <v>0.59</v>
      </c>
      <c r="AH6" s="4">
        <v>12.75</v>
      </c>
      <c r="AI6" s="4">
        <v>84.44</v>
      </c>
      <c r="AJ6" s="4">
        <v>60</v>
      </c>
      <c r="AK6" s="4">
        <v>9</v>
      </c>
      <c r="AL6" s="4">
        <v>9</v>
      </c>
      <c r="AM6" s="4">
        <v>0.37</v>
      </c>
      <c r="AN6" s="4">
        <v>408</v>
      </c>
      <c r="AO6" s="4">
        <v>411.35</v>
      </c>
      <c r="AP6" s="4">
        <v>407441.32</v>
      </c>
      <c r="AQ6" s="4">
        <v>387729.91</v>
      </c>
      <c r="AR6" s="4" t="s">
        <v>62</v>
      </c>
      <c r="AS6" s="5">
        <f t="shared" si="0"/>
        <v>1.1250804794520566</v>
      </c>
    </row>
    <row r="7" spans="1:45" ht="14.25" customHeight="1" x14ac:dyDescent="0.55000000000000004">
      <c r="A7" s="4">
        <v>19.850000000000001</v>
      </c>
      <c r="B7" s="4">
        <v>29.14</v>
      </c>
      <c r="C7" s="4">
        <v>5493.38</v>
      </c>
      <c r="D7" s="4">
        <v>7.6</v>
      </c>
      <c r="E7" s="4" t="s">
        <v>1147</v>
      </c>
      <c r="F7" s="4" t="s">
        <v>1148</v>
      </c>
      <c r="G7" s="4" t="s">
        <v>1149</v>
      </c>
      <c r="H7" s="4" t="s">
        <v>1150</v>
      </c>
      <c r="I7" s="4">
        <v>0</v>
      </c>
      <c r="J7" s="4">
        <v>732.97</v>
      </c>
      <c r="K7" s="4">
        <f t="shared" si="1"/>
        <v>65.19</v>
      </c>
      <c r="L7" s="4">
        <f t="shared" si="2"/>
        <v>64.13</v>
      </c>
      <c r="M7" s="4">
        <f t="shared" si="3"/>
        <v>1.0600000000000023</v>
      </c>
      <c r="N7" s="4">
        <v>7.26</v>
      </c>
      <c r="O7" s="4">
        <v>90.01</v>
      </c>
      <c r="P7" s="4">
        <v>68</v>
      </c>
      <c r="Q7" s="4">
        <v>17.8</v>
      </c>
      <c r="R7" s="4">
        <v>9.2899999999999991</v>
      </c>
      <c r="S7" s="4">
        <v>13.99</v>
      </c>
      <c r="T7" s="4">
        <v>5.86</v>
      </c>
      <c r="U7" s="4">
        <v>7.49</v>
      </c>
      <c r="V7" s="4">
        <v>3515.76</v>
      </c>
      <c r="W7" s="4">
        <v>1051.31</v>
      </c>
      <c r="X7" s="4">
        <v>1290.3399999999999</v>
      </c>
      <c r="Y7" s="4">
        <v>760.76</v>
      </c>
      <c r="Z7" s="4">
        <v>11.69</v>
      </c>
      <c r="AA7" s="4">
        <v>1.59</v>
      </c>
      <c r="AB7" s="4">
        <v>4.42</v>
      </c>
      <c r="AC7" s="4">
        <v>61.33</v>
      </c>
      <c r="AD7" s="4">
        <v>680</v>
      </c>
      <c r="AE7" s="4">
        <v>5900</v>
      </c>
      <c r="AF7" s="4">
        <v>83.86</v>
      </c>
      <c r="AG7" s="4">
        <v>0.59</v>
      </c>
      <c r="AH7" s="4">
        <v>12.91</v>
      </c>
      <c r="AI7" s="4">
        <v>84.5</v>
      </c>
      <c r="AJ7" s="4">
        <v>60</v>
      </c>
      <c r="AK7" s="4">
        <v>9</v>
      </c>
      <c r="AL7" s="4">
        <v>9</v>
      </c>
      <c r="AM7" s="4">
        <v>0.37</v>
      </c>
      <c r="AN7" s="4">
        <v>408</v>
      </c>
      <c r="AO7" s="4">
        <v>411.35</v>
      </c>
      <c r="AP7" s="4">
        <v>408449.72</v>
      </c>
      <c r="AQ7" s="4">
        <v>387795.77</v>
      </c>
      <c r="AR7" s="4" t="s">
        <v>67</v>
      </c>
      <c r="AS7" s="5">
        <f t="shared" si="0"/>
        <v>1.1788784246575317</v>
      </c>
    </row>
    <row r="8" spans="1:45" ht="14.25" customHeight="1" x14ac:dyDescent="0.55000000000000004">
      <c r="A8" s="4">
        <v>20.43</v>
      </c>
      <c r="B8" s="4">
        <v>29.66</v>
      </c>
      <c r="C8" s="4">
        <v>5497.91</v>
      </c>
      <c r="D8" s="4">
        <v>7.6</v>
      </c>
      <c r="E8" s="4" t="s">
        <v>1151</v>
      </c>
      <c r="F8" s="4" t="s">
        <v>1152</v>
      </c>
      <c r="G8" s="4" t="s">
        <v>1153</v>
      </c>
      <c r="H8" s="4" t="s">
        <v>1154</v>
      </c>
      <c r="I8" s="4">
        <v>0</v>
      </c>
      <c r="J8" s="4">
        <v>718.38</v>
      </c>
      <c r="K8" s="4">
        <f t="shared" si="1"/>
        <v>64.41</v>
      </c>
      <c r="L8" s="4">
        <f t="shared" si="2"/>
        <v>64.11</v>
      </c>
      <c r="M8" s="4">
        <f t="shared" si="3"/>
        <v>0.29999999999999716</v>
      </c>
      <c r="N8" s="4">
        <v>7.26</v>
      </c>
      <c r="O8" s="4">
        <v>90.08</v>
      </c>
      <c r="P8" s="4">
        <v>56</v>
      </c>
      <c r="Q8" s="4">
        <v>20.9</v>
      </c>
      <c r="R8" s="4">
        <v>9.23</v>
      </c>
      <c r="S8" s="4">
        <v>15.29</v>
      </c>
      <c r="T8" s="4">
        <v>5.14</v>
      </c>
      <c r="U8" s="4">
        <v>7.65</v>
      </c>
      <c r="V8" s="4">
        <v>3518.66</v>
      </c>
      <c r="W8" s="4">
        <v>1053.27</v>
      </c>
      <c r="X8" s="4">
        <v>1301.8699999999999</v>
      </c>
      <c r="Y8" s="4">
        <v>764.21</v>
      </c>
      <c r="Z8" s="4">
        <v>10.55</v>
      </c>
      <c r="AA8" s="4">
        <v>1.6</v>
      </c>
      <c r="AB8" s="4">
        <v>4.3899999999999997</v>
      </c>
      <c r="AC8" s="4">
        <v>64.209999999999994</v>
      </c>
      <c r="AD8" s="4">
        <v>680</v>
      </c>
      <c r="AE8" s="4">
        <v>5900</v>
      </c>
      <c r="AF8" s="4">
        <v>83.3</v>
      </c>
      <c r="AG8" s="4">
        <v>0.59</v>
      </c>
      <c r="AH8" s="4">
        <v>12.52</v>
      </c>
      <c r="AI8" s="4">
        <v>77.180000000000007</v>
      </c>
      <c r="AJ8" s="4">
        <v>60</v>
      </c>
      <c r="AK8" s="4">
        <v>9</v>
      </c>
      <c r="AL8" s="4">
        <v>9</v>
      </c>
      <c r="AM8" s="4">
        <v>0.41</v>
      </c>
      <c r="AN8" s="4">
        <v>408</v>
      </c>
      <c r="AO8" s="4">
        <v>411.66</v>
      </c>
      <c r="AP8" s="4">
        <v>405777.71</v>
      </c>
      <c r="AQ8" s="4">
        <v>359651.72</v>
      </c>
      <c r="AR8" s="4" t="s">
        <v>72</v>
      </c>
      <c r="AS8" s="5">
        <f t="shared" si="0"/>
        <v>2.6327619863013725</v>
      </c>
    </row>
    <row r="9" spans="1:45" ht="14.25" customHeight="1" x14ac:dyDescent="0.55000000000000004">
      <c r="A9" s="4">
        <v>20.5</v>
      </c>
      <c r="B9" s="4">
        <v>29.77</v>
      </c>
      <c r="C9" s="4">
        <v>5504.15</v>
      </c>
      <c r="D9" s="4">
        <v>7.6</v>
      </c>
      <c r="E9" s="4" t="s">
        <v>1155</v>
      </c>
      <c r="F9" s="4" t="s">
        <v>1156</v>
      </c>
      <c r="G9" s="4" t="s">
        <v>1157</v>
      </c>
      <c r="H9" s="4" t="s">
        <v>1158</v>
      </c>
      <c r="I9" s="4">
        <v>0</v>
      </c>
      <c r="J9" s="4">
        <v>756.85</v>
      </c>
      <c r="K9" s="4">
        <f t="shared" si="1"/>
        <v>67.709999999999994</v>
      </c>
      <c r="L9" s="4">
        <f t="shared" si="2"/>
        <v>68.03</v>
      </c>
      <c r="M9" s="4">
        <f t="shared" si="3"/>
        <v>-0.32000000000000739</v>
      </c>
      <c r="N9" s="4">
        <v>7.28</v>
      </c>
      <c r="O9" s="4">
        <v>89.95</v>
      </c>
      <c r="P9" s="4">
        <v>50</v>
      </c>
      <c r="Q9" s="4">
        <v>21.9</v>
      </c>
      <c r="R9" s="4">
        <v>9.27</v>
      </c>
      <c r="S9" s="4">
        <v>15.33</v>
      </c>
      <c r="T9" s="4">
        <v>5.16</v>
      </c>
      <c r="U9" s="4">
        <v>7.27</v>
      </c>
      <c r="V9" s="4">
        <v>3522.66</v>
      </c>
      <c r="W9" s="4">
        <v>1052.27</v>
      </c>
      <c r="X9" s="4">
        <v>1281</v>
      </c>
      <c r="Y9" s="4">
        <v>759.28</v>
      </c>
      <c r="Z9" s="4">
        <v>9.9499999999999993</v>
      </c>
      <c r="AA9" s="4">
        <v>1.6</v>
      </c>
      <c r="AB9" s="4">
        <v>4.4000000000000004</v>
      </c>
      <c r="AC9" s="4">
        <v>64.23</v>
      </c>
      <c r="AD9" s="4">
        <v>680</v>
      </c>
      <c r="AE9" s="4">
        <v>5900</v>
      </c>
      <c r="AF9" s="4">
        <v>83.69</v>
      </c>
      <c r="AG9" s="4">
        <v>0.59</v>
      </c>
      <c r="AH9" s="4">
        <v>13.34</v>
      </c>
      <c r="AI9" s="4">
        <v>69.27</v>
      </c>
      <c r="AJ9" s="4">
        <v>60</v>
      </c>
      <c r="AK9" s="4">
        <v>9</v>
      </c>
      <c r="AL9" s="4">
        <v>9</v>
      </c>
      <c r="AM9" s="4">
        <v>0.45</v>
      </c>
      <c r="AN9" s="4">
        <v>408</v>
      </c>
      <c r="AO9" s="4">
        <v>412.08</v>
      </c>
      <c r="AP9" s="4">
        <v>410698.68</v>
      </c>
      <c r="AQ9" s="4">
        <v>375275.97</v>
      </c>
      <c r="AR9" s="4" t="s">
        <v>77</v>
      </c>
      <c r="AS9" s="5">
        <f t="shared" si="0"/>
        <v>2.0218441780821932</v>
      </c>
    </row>
    <row r="10" spans="1:45" ht="14.25" customHeight="1" x14ac:dyDescent="0.55000000000000004">
      <c r="A10" s="4">
        <v>19.95</v>
      </c>
      <c r="B10" s="4">
        <v>29.21</v>
      </c>
      <c r="C10" s="4">
        <v>5528.63</v>
      </c>
      <c r="D10" s="4">
        <v>7.6</v>
      </c>
      <c r="E10" s="4" t="s">
        <v>1159</v>
      </c>
      <c r="F10" s="4" t="s">
        <v>1160</v>
      </c>
      <c r="G10" s="4" t="s">
        <v>1161</v>
      </c>
      <c r="H10" s="4" t="s">
        <v>1162</v>
      </c>
      <c r="I10" s="4">
        <v>0</v>
      </c>
      <c r="J10" s="4">
        <v>661.69</v>
      </c>
      <c r="K10" s="4">
        <f t="shared" si="1"/>
        <v>60.599999999999994</v>
      </c>
      <c r="L10" s="4">
        <f t="shared" si="2"/>
        <v>62.68</v>
      </c>
      <c r="M10" s="4">
        <f t="shared" si="3"/>
        <v>-2.0800000000000054</v>
      </c>
      <c r="N10" s="4">
        <v>7.22</v>
      </c>
      <c r="O10" s="4">
        <v>89.94</v>
      </c>
      <c r="P10" s="4">
        <v>49</v>
      </c>
      <c r="Q10" s="4">
        <v>20.8</v>
      </c>
      <c r="R10" s="4">
        <v>9.27</v>
      </c>
      <c r="S10" s="4">
        <v>14.25</v>
      </c>
      <c r="T10" s="4">
        <v>5.7</v>
      </c>
      <c r="U10" s="4">
        <v>8.36</v>
      </c>
      <c r="V10" s="4">
        <v>3538.32</v>
      </c>
      <c r="W10" s="4">
        <v>1062.69</v>
      </c>
      <c r="X10" s="4">
        <v>1345.65</v>
      </c>
      <c r="Y10" s="4">
        <v>777.88</v>
      </c>
      <c r="Z10" s="4">
        <v>10.15</v>
      </c>
      <c r="AA10" s="4">
        <v>1.61</v>
      </c>
      <c r="AB10" s="4">
        <v>4.37</v>
      </c>
      <c r="AC10" s="4">
        <v>61.92</v>
      </c>
      <c r="AD10" s="4">
        <v>680</v>
      </c>
      <c r="AE10" s="4">
        <v>5900</v>
      </c>
      <c r="AF10" s="4">
        <v>83.64</v>
      </c>
      <c r="AG10" s="4">
        <v>0.59</v>
      </c>
      <c r="AH10" s="4">
        <v>11.37</v>
      </c>
      <c r="AI10" s="4">
        <v>78.94</v>
      </c>
      <c r="AJ10" s="4">
        <v>60</v>
      </c>
      <c r="AK10" s="4">
        <v>9</v>
      </c>
      <c r="AL10" s="4">
        <v>9</v>
      </c>
      <c r="AM10" s="4">
        <v>0.4</v>
      </c>
      <c r="AN10" s="4">
        <v>408</v>
      </c>
      <c r="AO10" s="4">
        <v>411.58</v>
      </c>
      <c r="AP10" s="4">
        <v>378292.06</v>
      </c>
      <c r="AQ10" s="4">
        <v>347353.91</v>
      </c>
      <c r="AR10" s="4" t="s">
        <v>82</v>
      </c>
      <c r="AS10" s="5">
        <f t="shared" si="0"/>
        <v>1.7658761415525128</v>
      </c>
    </row>
    <row r="11" spans="1:45" ht="14.25" customHeight="1" x14ac:dyDescent="0.55000000000000004">
      <c r="A11" s="4">
        <v>20.45</v>
      </c>
      <c r="B11" s="4">
        <v>29.68</v>
      </c>
      <c r="C11" s="4">
        <v>5507.55</v>
      </c>
      <c r="D11" s="4">
        <v>7.6</v>
      </c>
      <c r="E11" s="4" t="s">
        <v>1163</v>
      </c>
      <c r="F11" s="4" t="s">
        <v>1164</v>
      </c>
      <c r="G11" s="4" t="s">
        <v>1141</v>
      </c>
      <c r="H11" s="4" t="s">
        <v>1165</v>
      </c>
      <c r="I11" s="4">
        <v>0</v>
      </c>
      <c r="J11" s="4">
        <v>717.66</v>
      </c>
      <c r="K11" s="4">
        <f t="shared" si="1"/>
        <v>64.259999999999991</v>
      </c>
      <c r="L11" s="4">
        <f t="shared" si="2"/>
        <v>67.59</v>
      </c>
      <c r="M11" s="4">
        <f t="shared" si="3"/>
        <v>-3.3300000000000125</v>
      </c>
      <c r="N11" s="4">
        <v>7.26</v>
      </c>
      <c r="O11" s="4">
        <v>89.98</v>
      </c>
      <c r="P11" s="4">
        <v>47</v>
      </c>
      <c r="Q11" s="4">
        <v>22.2</v>
      </c>
      <c r="R11" s="4">
        <v>9.23</v>
      </c>
      <c r="S11" s="4">
        <v>15.16</v>
      </c>
      <c r="T11" s="4">
        <v>5.29</v>
      </c>
      <c r="U11" s="4">
        <v>7.67</v>
      </c>
      <c r="V11" s="4">
        <v>3524.83</v>
      </c>
      <c r="W11" s="4">
        <v>1055.1400000000001</v>
      </c>
      <c r="X11" s="4">
        <v>1304.4100000000001</v>
      </c>
      <c r="Y11" s="4">
        <v>765.61</v>
      </c>
      <c r="Z11" s="4">
        <v>6.66</v>
      </c>
      <c r="AA11" s="4">
        <v>1.61</v>
      </c>
      <c r="AB11" s="4">
        <v>4.38</v>
      </c>
      <c r="AC11" s="4">
        <v>63.56</v>
      </c>
      <c r="AD11" s="4">
        <v>680</v>
      </c>
      <c r="AE11" s="4">
        <v>5900</v>
      </c>
      <c r="AF11" s="4">
        <v>83.36</v>
      </c>
      <c r="AG11" s="4">
        <v>0.59</v>
      </c>
      <c r="AH11" s="4">
        <v>12.49</v>
      </c>
      <c r="AI11" s="4">
        <v>48.81</v>
      </c>
      <c r="AJ11" s="4">
        <v>60</v>
      </c>
      <c r="AK11" s="4">
        <v>9</v>
      </c>
      <c r="AL11" s="4">
        <v>9</v>
      </c>
      <c r="AM11" s="4">
        <v>0.64</v>
      </c>
      <c r="AN11" s="4">
        <v>408</v>
      </c>
      <c r="AO11" s="4">
        <v>413.79</v>
      </c>
      <c r="AP11" s="4">
        <v>404655.52</v>
      </c>
      <c r="AQ11" s="4">
        <v>232106.18</v>
      </c>
      <c r="AR11" s="4" t="s">
        <v>1166</v>
      </c>
      <c r="AS11" s="5">
        <f t="shared" si="0"/>
        <v>9.8487066210045668</v>
      </c>
    </row>
    <row r="12" spans="1:45" ht="14.25" customHeight="1" x14ac:dyDescent="0.55000000000000004">
      <c r="A12" s="4">
        <v>19.95</v>
      </c>
      <c r="B12" s="4">
        <v>29.24</v>
      </c>
      <c r="C12" s="4">
        <v>5501.99</v>
      </c>
      <c r="D12" s="4">
        <v>7.6</v>
      </c>
      <c r="E12" s="4" t="s">
        <v>1167</v>
      </c>
      <c r="F12" s="4" t="s">
        <v>1168</v>
      </c>
      <c r="G12" s="4" t="s">
        <v>1169</v>
      </c>
      <c r="H12" s="4" t="s">
        <v>1170</v>
      </c>
      <c r="I12" s="4">
        <v>0</v>
      </c>
      <c r="J12" s="4">
        <v>734.55</v>
      </c>
      <c r="K12" s="4">
        <f t="shared" si="1"/>
        <v>66.010000000000005</v>
      </c>
      <c r="L12" s="4">
        <f t="shared" si="2"/>
        <v>65.240000000000009</v>
      </c>
      <c r="M12" s="4">
        <f t="shared" si="3"/>
        <v>0.76999999999999602</v>
      </c>
      <c r="N12" s="4">
        <v>7.27</v>
      </c>
      <c r="O12" s="4">
        <v>89.99</v>
      </c>
      <c r="P12" s="4">
        <v>65</v>
      </c>
      <c r="Q12" s="4">
        <v>18.399999999999999</v>
      </c>
      <c r="R12" s="4">
        <v>9.2899999999999991</v>
      </c>
      <c r="S12" s="4">
        <v>14.18</v>
      </c>
      <c r="T12" s="4">
        <v>5.76</v>
      </c>
      <c r="U12" s="4">
        <v>7.49</v>
      </c>
      <c r="V12" s="4">
        <v>3521.27</v>
      </c>
      <c r="W12" s="4">
        <v>1053.3399999999999</v>
      </c>
      <c r="X12" s="4">
        <v>1294.8599999999999</v>
      </c>
      <c r="Y12" s="4">
        <v>762.81</v>
      </c>
      <c r="Z12" s="4">
        <v>11.13</v>
      </c>
      <c r="AA12" s="4">
        <v>1.59</v>
      </c>
      <c r="AB12" s="4">
        <v>4.41</v>
      </c>
      <c r="AC12" s="4">
        <v>61.72</v>
      </c>
      <c r="AD12" s="4">
        <v>680</v>
      </c>
      <c r="AE12" s="4">
        <v>5900</v>
      </c>
      <c r="AF12" s="4">
        <v>83.89</v>
      </c>
      <c r="AG12" s="4">
        <v>0.59</v>
      </c>
      <c r="AH12" s="4">
        <v>12.92</v>
      </c>
      <c r="AI12" s="4">
        <v>79.44</v>
      </c>
      <c r="AJ12" s="4">
        <v>60</v>
      </c>
      <c r="AK12" s="4">
        <v>9</v>
      </c>
      <c r="AL12" s="4">
        <v>9</v>
      </c>
      <c r="AM12" s="4">
        <v>0.4</v>
      </c>
      <c r="AN12" s="4">
        <v>408</v>
      </c>
      <c r="AO12" s="4">
        <v>411.56</v>
      </c>
      <c r="AP12" s="4">
        <v>410930.29</v>
      </c>
      <c r="AQ12" s="4">
        <v>380530.72</v>
      </c>
      <c r="AR12" s="4" t="s">
        <v>87</v>
      </c>
      <c r="AS12" s="5">
        <f t="shared" si="0"/>
        <v>1.7351352739726031</v>
      </c>
    </row>
    <row r="13" spans="1:45" ht="14.25" customHeight="1" x14ac:dyDescent="0.55000000000000004">
      <c r="A13" s="4">
        <v>20.68</v>
      </c>
      <c r="B13" s="4">
        <v>29.92</v>
      </c>
      <c r="C13" s="4">
        <v>5492.89</v>
      </c>
      <c r="D13" s="4">
        <v>7.6</v>
      </c>
      <c r="E13" s="4" t="s">
        <v>1171</v>
      </c>
      <c r="F13" s="4" t="s">
        <v>1172</v>
      </c>
      <c r="G13" s="4" t="s">
        <v>1161</v>
      </c>
      <c r="H13" s="4" t="s">
        <v>1173</v>
      </c>
      <c r="I13" s="4">
        <v>0</v>
      </c>
      <c r="J13" s="4">
        <v>705.11</v>
      </c>
      <c r="K13" s="4">
        <f t="shared" si="1"/>
        <v>63.75</v>
      </c>
      <c r="L13" s="4">
        <f t="shared" si="2"/>
        <v>63.17</v>
      </c>
      <c r="M13" s="4">
        <f t="shared" si="3"/>
        <v>0.57999999999999829</v>
      </c>
      <c r="N13" s="4">
        <v>7.25</v>
      </c>
      <c r="O13" s="4">
        <v>90.01</v>
      </c>
      <c r="P13" s="4">
        <v>62</v>
      </c>
      <c r="Q13" s="4">
        <v>20.3</v>
      </c>
      <c r="R13" s="4">
        <v>9.24</v>
      </c>
      <c r="S13" s="4">
        <v>15.54</v>
      </c>
      <c r="T13" s="4">
        <v>5.14</v>
      </c>
      <c r="U13" s="4">
        <v>7.79</v>
      </c>
      <c r="V13" s="4">
        <v>3515.45</v>
      </c>
      <c r="W13" s="4">
        <v>1053.1300000000001</v>
      </c>
      <c r="X13" s="4">
        <v>1308.96</v>
      </c>
      <c r="Y13" s="4">
        <v>765.67</v>
      </c>
      <c r="Z13" s="4">
        <v>11.1</v>
      </c>
      <c r="AA13" s="4">
        <v>1.62</v>
      </c>
      <c r="AB13" s="4">
        <v>4.37</v>
      </c>
      <c r="AC13" s="4">
        <v>64.27</v>
      </c>
      <c r="AD13" s="4">
        <v>680</v>
      </c>
      <c r="AE13" s="4">
        <v>5900</v>
      </c>
      <c r="AF13" s="4">
        <v>83.44</v>
      </c>
      <c r="AG13" s="4">
        <v>0.59</v>
      </c>
      <c r="AH13" s="4">
        <v>12.29</v>
      </c>
      <c r="AI13" s="4">
        <v>82.05</v>
      </c>
      <c r="AJ13" s="4">
        <v>60</v>
      </c>
      <c r="AK13" s="4">
        <v>9</v>
      </c>
      <c r="AL13" s="4">
        <v>9</v>
      </c>
      <c r="AM13" s="4">
        <v>0.38</v>
      </c>
      <c r="AN13" s="4">
        <v>408</v>
      </c>
      <c r="AO13" s="4">
        <v>411.45</v>
      </c>
      <c r="AP13" s="4">
        <v>405875.66</v>
      </c>
      <c r="AQ13" s="4">
        <v>364337.72</v>
      </c>
      <c r="AR13" s="4" t="s">
        <v>91</v>
      </c>
      <c r="AS13" s="5">
        <f t="shared" si="0"/>
        <v>2.37088698630137</v>
      </c>
    </row>
    <row r="14" spans="1:45" ht="14.25" customHeight="1" x14ac:dyDescent="0.55000000000000004">
      <c r="A14" s="4">
        <v>20.72</v>
      </c>
      <c r="B14" s="4">
        <v>29.87</v>
      </c>
      <c r="C14" s="4">
        <v>5516.55</v>
      </c>
      <c r="D14" s="4">
        <v>7.6</v>
      </c>
      <c r="E14" s="4" t="s">
        <v>1174</v>
      </c>
      <c r="F14" s="4" t="s">
        <v>1175</v>
      </c>
      <c r="G14" s="4" t="s">
        <v>1176</v>
      </c>
      <c r="H14" s="4" t="s">
        <v>1177</v>
      </c>
      <c r="I14" s="4">
        <v>0</v>
      </c>
      <c r="J14" s="4">
        <v>620.66</v>
      </c>
      <c r="K14" s="4">
        <f t="shared" si="1"/>
        <v>57.55</v>
      </c>
      <c r="L14" s="4">
        <f t="shared" si="2"/>
        <v>55.290000000000006</v>
      </c>
      <c r="M14" s="4">
        <f t="shared" si="3"/>
        <v>2.2599999999999909</v>
      </c>
      <c r="N14" s="4">
        <v>7.19</v>
      </c>
      <c r="O14" s="4">
        <v>90.08</v>
      </c>
      <c r="P14" s="4">
        <v>84</v>
      </c>
      <c r="Q14" s="4">
        <v>18.399999999999999</v>
      </c>
      <c r="R14" s="4">
        <v>9.15</v>
      </c>
      <c r="S14" s="4">
        <v>16.47</v>
      </c>
      <c r="T14" s="4">
        <v>4.25</v>
      </c>
      <c r="U14" s="4">
        <v>8.89</v>
      </c>
      <c r="V14" s="4">
        <v>3530.59</v>
      </c>
      <c r="W14" s="4">
        <v>1063.01</v>
      </c>
      <c r="X14" s="4">
        <v>1370.92</v>
      </c>
      <c r="Y14" s="4">
        <v>783.3</v>
      </c>
      <c r="Z14" s="4">
        <v>13.53</v>
      </c>
      <c r="AA14" s="4">
        <v>1.64</v>
      </c>
      <c r="AB14" s="4">
        <v>4.32</v>
      </c>
      <c r="AC14" s="4">
        <v>68.290000000000006</v>
      </c>
      <c r="AD14" s="4">
        <v>680</v>
      </c>
      <c r="AE14" s="4">
        <v>5900</v>
      </c>
      <c r="AF14" s="4">
        <v>82.56</v>
      </c>
      <c r="AG14" s="4">
        <v>0.59</v>
      </c>
      <c r="AH14" s="4">
        <v>10.47</v>
      </c>
      <c r="AI14" s="4">
        <v>110.79</v>
      </c>
      <c r="AJ14" s="4">
        <v>60</v>
      </c>
      <c r="AK14" s="4">
        <v>9</v>
      </c>
      <c r="AL14" s="4">
        <v>9</v>
      </c>
      <c r="AM14" s="4">
        <v>0.28000000000000003</v>
      </c>
      <c r="AN14" s="4">
        <v>408</v>
      </c>
      <c r="AO14" s="4">
        <v>410.55</v>
      </c>
      <c r="AP14" s="4">
        <v>401523.33</v>
      </c>
      <c r="AQ14" s="4">
        <v>340154.93</v>
      </c>
      <c r="AR14" s="4" t="s">
        <v>96</v>
      </c>
      <c r="AS14" s="5">
        <f t="shared" si="0"/>
        <v>3.5027625570776268</v>
      </c>
    </row>
    <row r="15" spans="1:45" ht="14.25" customHeight="1" x14ac:dyDescent="0.55000000000000004">
      <c r="A15" s="4">
        <v>20.09</v>
      </c>
      <c r="B15" s="4">
        <v>29.36</v>
      </c>
      <c r="C15" s="4">
        <v>5505.53</v>
      </c>
      <c r="D15" s="4">
        <v>7.6</v>
      </c>
      <c r="E15" s="4" t="s">
        <v>1178</v>
      </c>
      <c r="F15" s="4" t="s">
        <v>1179</v>
      </c>
      <c r="G15" s="4" t="s">
        <v>1180</v>
      </c>
      <c r="H15" s="4" t="s">
        <v>1181</v>
      </c>
      <c r="I15" s="4">
        <v>0</v>
      </c>
      <c r="J15" s="4">
        <v>728.05</v>
      </c>
      <c r="K15" s="4">
        <f t="shared" si="1"/>
        <v>65.010000000000005</v>
      </c>
      <c r="L15" s="4">
        <f t="shared" si="2"/>
        <v>64.209999999999994</v>
      </c>
      <c r="M15" s="4">
        <f t="shared" si="3"/>
        <v>0.80000000000001137</v>
      </c>
      <c r="N15" s="4">
        <v>7.26</v>
      </c>
      <c r="O15" s="4">
        <v>90</v>
      </c>
      <c r="P15" s="4">
        <v>64</v>
      </c>
      <c r="Q15" s="4">
        <v>18.8</v>
      </c>
      <c r="R15" s="4">
        <v>9.2799999999999994</v>
      </c>
      <c r="S15" s="4">
        <v>14.43</v>
      </c>
      <c r="T15" s="4">
        <v>5.66</v>
      </c>
      <c r="U15" s="4">
        <v>7.56</v>
      </c>
      <c r="V15" s="4">
        <v>3523.54</v>
      </c>
      <c r="W15" s="4">
        <v>1054.1300000000001</v>
      </c>
      <c r="X15" s="4">
        <v>1297.6400000000001</v>
      </c>
      <c r="Y15" s="4">
        <v>763.69</v>
      </c>
      <c r="Z15" s="4">
        <v>11.14</v>
      </c>
      <c r="AA15" s="4">
        <v>1.6</v>
      </c>
      <c r="AB15" s="4">
        <v>4.4000000000000004</v>
      </c>
      <c r="AC15" s="4">
        <v>62.11</v>
      </c>
      <c r="AD15" s="4">
        <v>680</v>
      </c>
      <c r="AE15" s="4">
        <v>5900</v>
      </c>
      <c r="AF15" s="4">
        <v>83.74</v>
      </c>
      <c r="AG15" s="4">
        <v>0.59</v>
      </c>
      <c r="AH15" s="4">
        <v>12.76</v>
      </c>
      <c r="AI15" s="4">
        <v>80.72</v>
      </c>
      <c r="AJ15" s="4">
        <v>60</v>
      </c>
      <c r="AK15" s="4">
        <v>9</v>
      </c>
      <c r="AL15" s="4">
        <v>9</v>
      </c>
      <c r="AM15" s="4">
        <v>0.39</v>
      </c>
      <c r="AN15" s="4">
        <v>408</v>
      </c>
      <c r="AO15" s="4">
        <v>411.5</v>
      </c>
      <c r="AP15" s="4">
        <v>408412.65</v>
      </c>
      <c r="AQ15" s="4">
        <v>374504.95</v>
      </c>
      <c r="AR15" s="4" t="s">
        <v>101</v>
      </c>
      <c r="AS15" s="5">
        <f t="shared" si="0"/>
        <v>1.9353710045662107</v>
      </c>
    </row>
    <row r="16" spans="1:45" ht="14.25" customHeight="1" x14ac:dyDescent="0.55000000000000004">
      <c r="A16" s="4">
        <v>20.28</v>
      </c>
      <c r="B16" s="4">
        <v>29.59</v>
      </c>
      <c r="C16" s="4">
        <v>5495.08</v>
      </c>
      <c r="D16" s="4">
        <v>7.61</v>
      </c>
      <c r="E16" s="4" t="s">
        <v>1182</v>
      </c>
      <c r="F16" s="4" t="s">
        <v>1183</v>
      </c>
      <c r="G16" s="4" t="s">
        <v>1184</v>
      </c>
      <c r="H16" s="4" t="s">
        <v>1185</v>
      </c>
      <c r="I16" s="4">
        <v>0</v>
      </c>
      <c r="J16" s="4">
        <v>758.41</v>
      </c>
      <c r="K16" s="4">
        <f t="shared" si="1"/>
        <v>67.3</v>
      </c>
      <c r="L16" s="4">
        <f t="shared" si="2"/>
        <v>66.92</v>
      </c>
      <c r="M16" s="4">
        <f t="shared" si="3"/>
        <v>0.37999999999999545</v>
      </c>
      <c r="N16" s="4">
        <v>7.28</v>
      </c>
      <c r="O16" s="4">
        <v>90</v>
      </c>
      <c r="P16" s="4">
        <v>53</v>
      </c>
      <c r="Q16" s="4">
        <v>21.4</v>
      </c>
      <c r="R16" s="4">
        <v>9.31</v>
      </c>
      <c r="S16" s="4">
        <v>15.32</v>
      </c>
      <c r="T16" s="4">
        <v>4.96</v>
      </c>
      <c r="U16" s="4">
        <v>7.25</v>
      </c>
      <c r="V16" s="4">
        <v>3516.85</v>
      </c>
      <c r="W16" s="4">
        <v>1050.4000000000001</v>
      </c>
      <c r="X16" s="4">
        <v>1277.6300000000001</v>
      </c>
      <c r="Y16" s="4">
        <v>757.67</v>
      </c>
      <c r="Z16" s="4">
        <v>11.06</v>
      </c>
      <c r="AA16" s="4">
        <v>1.6</v>
      </c>
      <c r="AB16" s="4">
        <v>4.41</v>
      </c>
      <c r="AC16" s="4">
        <v>65.23</v>
      </c>
      <c r="AD16" s="4">
        <v>680</v>
      </c>
      <c r="AE16" s="4">
        <v>5900</v>
      </c>
      <c r="AF16" s="4">
        <v>84.05</v>
      </c>
      <c r="AG16" s="4">
        <v>0.59</v>
      </c>
      <c r="AH16" s="4">
        <v>13.46</v>
      </c>
      <c r="AI16" s="4">
        <v>77.459999999999994</v>
      </c>
      <c r="AJ16" s="4">
        <v>60</v>
      </c>
      <c r="AK16" s="4">
        <v>9</v>
      </c>
      <c r="AL16" s="4">
        <v>9</v>
      </c>
      <c r="AM16" s="4">
        <v>0.41</v>
      </c>
      <c r="AN16" s="4">
        <v>408</v>
      </c>
      <c r="AO16" s="4">
        <v>411.65</v>
      </c>
      <c r="AP16" s="4">
        <v>407991.83</v>
      </c>
      <c r="AQ16" s="4">
        <v>397687.78</v>
      </c>
      <c r="AR16" s="4" t="s">
        <v>106</v>
      </c>
      <c r="AS16" s="5">
        <f t="shared" si="0"/>
        <v>0.58813070776255638</v>
      </c>
    </row>
    <row r="17" spans="1:45" ht="14.25" customHeight="1" x14ac:dyDescent="0.55000000000000004">
      <c r="A17" s="4">
        <v>20.18</v>
      </c>
      <c r="B17" s="4">
        <v>29.35</v>
      </c>
      <c r="C17" s="4">
        <v>5496.14</v>
      </c>
      <c r="D17" s="4">
        <v>7.6</v>
      </c>
      <c r="E17" s="4" t="s">
        <v>1186</v>
      </c>
      <c r="F17" s="4" t="s">
        <v>1187</v>
      </c>
      <c r="G17" s="4" t="s">
        <v>1188</v>
      </c>
      <c r="H17" s="4" t="s">
        <v>1189</v>
      </c>
      <c r="I17" s="4">
        <v>0</v>
      </c>
      <c r="J17" s="4">
        <v>686.78</v>
      </c>
      <c r="K17" s="4">
        <f t="shared" si="1"/>
        <v>61.669999999999995</v>
      </c>
      <c r="L17" s="4">
        <f t="shared" si="2"/>
        <v>61.139999999999993</v>
      </c>
      <c r="M17" s="4">
        <f t="shared" si="3"/>
        <v>0.53000000000000114</v>
      </c>
      <c r="N17" s="4">
        <v>7.23</v>
      </c>
      <c r="O17" s="4">
        <v>90.04</v>
      </c>
      <c r="P17" s="4">
        <v>69</v>
      </c>
      <c r="Q17" s="4">
        <v>18.600000000000001</v>
      </c>
      <c r="R17" s="4">
        <v>9.17</v>
      </c>
      <c r="S17" s="4">
        <v>14.85</v>
      </c>
      <c r="T17" s="4">
        <v>5.33</v>
      </c>
      <c r="U17" s="4">
        <v>8</v>
      </c>
      <c r="V17" s="4">
        <v>3517.53</v>
      </c>
      <c r="W17" s="4">
        <v>1054.42</v>
      </c>
      <c r="X17" s="4">
        <v>1318.02</v>
      </c>
      <c r="Y17" s="4">
        <v>768.05</v>
      </c>
      <c r="Z17" s="4">
        <v>10.59</v>
      </c>
      <c r="AA17" s="4">
        <v>1.61</v>
      </c>
      <c r="AB17" s="4">
        <v>4.38</v>
      </c>
      <c r="AC17" s="4">
        <v>63.25</v>
      </c>
      <c r="AD17" s="4">
        <v>680</v>
      </c>
      <c r="AE17" s="4">
        <v>5900</v>
      </c>
      <c r="AF17" s="4">
        <v>82.79</v>
      </c>
      <c r="AG17" s="4">
        <v>0.59</v>
      </c>
      <c r="AH17" s="4">
        <v>11.82</v>
      </c>
      <c r="AI17" s="4">
        <v>80.930000000000007</v>
      </c>
      <c r="AJ17" s="4">
        <v>60</v>
      </c>
      <c r="AK17" s="4">
        <v>9</v>
      </c>
      <c r="AL17" s="4">
        <v>9</v>
      </c>
      <c r="AM17" s="4">
        <v>0.39</v>
      </c>
      <c r="AN17" s="4">
        <v>408</v>
      </c>
      <c r="AO17" s="4">
        <v>411.49</v>
      </c>
      <c r="AP17" s="4">
        <v>402870.59</v>
      </c>
      <c r="AQ17" s="4">
        <v>338863.87</v>
      </c>
      <c r="AR17" s="4" t="s">
        <v>111</v>
      </c>
      <c r="AS17" s="5">
        <f t="shared" si="0"/>
        <v>3.6533515981735176</v>
      </c>
    </row>
    <row r="18" spans="1:45" ht="14.25" customHeight="1" x14ac:dyDescent="0.55000000000000004">
      <c r="A18" s="4">
        <v>20.22</v>
      </c>
      <c r="B18" s="4">
        <v>29.46</v>
      </c>
      <c r="C18" s="4">
        <v>5523.73</v>
      </c>
      <c r="D18" s="4">
        <v>7.6</v>
      </c>
      <c r="E18" s="4" t="s">
        <v>1190</v>
      </c>
      <c r="F18" s="4" t="s">
        <v>1191</v>
      </c>
      <c r="G18" s="4" t="s">
        <v>1192</v>
      </c>
      <c r="H18" s="4" t="s">
        <v>1193</v>
      </c>
      <c r="I18" s="4">
        <v>0</v>
      </c>
      <c r="J18" s="4">
        <v>729</v>
      </c>
      <c r="K18" s="4">
        <f t="shared" si="1"/>
        <v>65.400000000000006</v>
      </c>
      <c r="L18" s="4">
        <f t="shared" si="2"/>
        <v>65.5</v>
      </c>
      <c r="M18" s="4">
        <f t="shared" si="3"/>
        <v>-9.9999999999994316E-2</v>
      </c>
      <c r="N18" s="4">
        <v>7.27</v>
      </c>
      <c r="O18" s="4">
        <v>89.99</v>
      </c>
      <c r="P18" s="4">
        <v>44</v>
      </c>
      <c r="Q18" s="4">
        <v>22.6</v>
      </c>
      <c r="R18" s="4">
        <v>9.25</v>
      </c>
      <c r="S18" s="4">
        <v>15.05</v>
      </c>
      <c r="T18" s="4">
        <v>5.17</v>
      </c>
      <c r="U18" s="4">
        <v>7.58</v>
      </c>
      <c r="V18" s="4">
        <v>3535.19</v>
      </c>
      <c r="W18" s="4">
        <v>1057.93</v>
      </c>
      <c r="X18" s="4">
        <v>1304.02</v>
      </c>
      <c r="Y18" s="4">
        <v>766.92</v>
      </c>
      <c r="Z18" s="4">
        <v>10.98</v>
      </c>
      <c r="AA18" s="4">
        <v>1.6</v>
      </c>
      <c r="AB18" s="4">
        <v>4.3899999999999997</v>
      </c>
      <c r="AC18" s="4">
        <v>64.13</v>
      </c>
      <c r="AD18" s="4">
        <v>680</v>
      </c>
      <c r="AE18" s="4">
        <v>5900</v>
      </c>
      <c r="AF18" s="4">
        <v>83.46</v>
      </c>
      <c r="AG18" s="4">
        <v>0.59</v>
      </c>
      <c r="AH18" s="4">
        <v>12.69</v>
      </c>
      <c r="AI18" s="4">
        <v>79.150000000000006</v>
      </c>
      <c r="AJ18" s="4">
        <v>60</v>
      </c>
      <c r="AK18" s="4">
        <v>9</v>
      </c>
      <c r="AL18" s="4">
        <v>9</v>
      </c>
      <c r="AM18" s="4">
        <v>0.4</v>
      </c>
      <c r="AN18" s="4">
        <v>408</v>
      </c>
      <c r="AO18" s="4">
        <v>411.57</v>
      </c>
      <c r="AP18" s="4">
        <v>400407.88</v>
      </c>
      <c r="AQ18" s="4">
        <v>382251.88</v>
      </c>
      <c r="AR18" s="4" t="s">
        <v>116</v>
      </c>
      <c r="AS18" s="5">
        <f t="shared" si="0"/>
        <v>1.0363013698630137</v>
      </c>
    </row>
    <row r="19" spans="1:45" ht="14.25" customHeight="1" x14ac:dyDescent="0.55000000000000004">
      <c r="A19" s="4">
        <v>19.96</v>
      </c>
      <c r="B19" s="4">
        <v>29.22</v>
      </c>
      <c r="C19" s="4">
        <v>5528.43</v>
      </c>
      <c r="D19" s="4">
        <v>7.6</v>
      </c>
      <c r="E19" s="4" t="s">
        <v>1194</v>
      </c>
      <c r="F19" s="4" t="s">
        <v>1195</v>
      </c>
      <c r="G19" s="4" t="s">
        <v>1196</v>
      </c>
      <c r="H19" s="4" t="s">
        <v>1197</v>
      </c>
      <c r="I19" s="4">
        <v>0</v>
      </c>
      <c r="J19" s="4">
        <v>678.68</v>
      </c>
      <c r="K19" s="4">
        <f t="shared" si="1"/>
        <v>61.88</v>
      </c>
      <c r="L19" s="4">
        <f t="shared" si="2"/>
        <v>65.8</v>
      </c>
      <c r="M19" s="4">
        <f t="shared" si="3"/>
        <v>-3.9199999999999946</v>
      </c>
      <c r="N19" s="4">
        <v>7.23</v>
      </c>
      <c r="O19" s="4">
        <v>90.01</v>
      </c>
      <c r="P19" s="4">
        <v>48</v>
      </c>
      <c r="Q19" s="4">
        <v>21</v>
      </c>
      <c r="R19" s="4">
        <v>9.26</v>
      </c>
      <c r="S19" s="4">
        <v>14.28</v>
      </c>
      <c r="T19" s="4">
        <v>5.68</v>
      </c>
      <c r="U19" s="4">
        <v>8.15</v>
      </c>
      <c r="V19" s="4">
        <v>3538.2</v>
      </c>
      <c r="W19" s="4">
        <v>1061.75</v>
      </c>
      <c r="X19" s="4">
        <v>1335.59</v>
      </c>
      <c r="Y19" s="4">
        <v>775.37</v>
      </c>
      <c r="Z19" s="4">
        <v>7.52</v>
      </c>
      <c r="AA19" s="4">
        <v>1.61</v>
      </c>
      <c r="AB19" s="4">
        <v>4.38</v>
      </c>
      <c r="AC19" s="4">
        <v>62</v>
      </c>
      <c r="AD19" s="4">
        <v>680</v>
      </c>
      <c r="AE19" s="4">
        <v>5900</v>
      </c>
      <c r="AF19" s="4">
        <v>83.62</v>
      </c>
      <c r="AG19" s="4">
        <v>0.59</v>
      </c>
      <c r="AH19" s="4">
        <v>11.7</v>
      </c>
      <c r="AI19" s="4">
        <v>57.3</v>
      </c>
      <c r="AJ19" s="4">
        <v>60</v>
      </c>
      <c r="AK19" s="4">
        <v>9</v>
      </c>
      <c r="AL19" s="4">
        <v>9</v>
      </c>
      <c r="AM19" s="4">
        <v>0.55000000000000004</v>
      </c>
      <c r="AN19" s="4">
        <v>408</v>
      </c>
      <c r="AO19" s="4">
        <v>412.93</v>
      </c>
      <c r="AP19" s="4">
        <v>383312.43</v>
      </c>
      <c r="AQ19" s="4">
        <v>276291.03999999998</v>
      </c>
      <c r="AR19" s="4" t="s">
        <v>121</v>
      </c>
      <c r="AS19" s="5">
        <f t="shared" si="0"/>
        <v>6.1085268264840193</v>
      </c>
    </row>
    <row r="20" spans="1:45" ht="14.25" customHeight="1" x14ac:dyDescent="0.55000000000000004">
      <c r="A20" s="4">
        <v>19.89</v>
      </c>
      <c r="B20" s="4">
        <v>29.17</v>
      </c>
      <c r="C20" s="4">
        <v>5499.76</v>
      </c>
      <c r="D20" s="4">
        <v>7.59</v>
      </c>
      <c r="E20" s="4" t="s">
        <v>1198</v>
      </c>
      <c r="F20" s="4" t="s">
        <v>1199</v>
      </c>
      <c r="G20" s="4" t="s">
        <v>1200</v>
      </c>
      <c r="H20" s="4" t="s">
        <v>1201</v>
      </c>
      <c r="I20" s="4">
        <v>0</v>
      </c>
      <c r="J20" s="4">
        <v>694.13</v>
      </c>
      <c r="K20" s="4">
        <f t="shared" si="1"/>
        <v>62.73</v>
      </c>
      <c r="L20" s="4">
        <f t="shared" si="2"/>
        <v>61.25</v>
      </c>
      <c r="M20" s="4">
        <f t="shared" si="3"/>
        <v>1.4799999999999969</v>
      </c>
      <c r="N20" s="4">
        <v>7.24</v>
      </c>
      <c r="O20" s="4">
        <v>89.97</v>
      </c>
      <c r="P20" s="4">
        <v>66</v>
      </c>
      <c r="Q20" s="4">
        <v>18.5</v>
      </c>
      <c r="R20" s="4">
        <v>9.2799999999999994</v>
      </c>
      <c r="S20" s="4">
        <v>14.4</v>
      </c>
      <c r="T20" s="4">
        <v>5.49</v>
      </c>
      <c r="U20" s="4">
        <v>7.92</v>
      </c>
      <c r="V20" s="4">
        <v>3519.85</v>
      </c>
      <c r="W20" s="4">
        <v>1054.83</v>
      </c>
      <c r="X20" s="4">
        <v>1315.41</v>
      </c>
      <c r="Y20" s="4">
        <v>767.74</v>
      </c>
      <c r="Z20" s="4">
        <v>12.8</v>
      </c>
      <c r="AA20" s="4">
        <v>1.6</v>
      </c>
      <c r="AB20" s="4">
        <v>4.4000000000000004</v>
      </c>
      <c r="AC20" s="4">
        <v>62.81</v>
      </c>
      <c r="AD20" s="4">
        <v>680</v>
      </c>
      <c r="AE20" s="4">
        <v>5900</v>
      </c>
      <c r="AF20" s="4">
        <v>83.74</v>
      </c>
      <c r="AG20" s="4">
        <v>0.59</v>
      </c>
      <c r="AH20" s="4">
        <v>12.1</v>
      </c>
      <c r="AI20" s="4">
        <v>96.18</v>
      </c>
      <c r="AJ20" s="4">
        <v>60</v>
      </c>
      <c r="AK20" s="4">
        <v>9</v>
      </c>
      <c r="AL20" s="4">
        <v>9</v>
      </c>
      <c r="AM20" s="4">
        <v>0.33</v>
      </c>
      <c r="AN20" s="4">
        <v>408</v>
      </c>
      <c r="AO20" s="4">
        <v>410.94</v>
      </c>
      <c r="AP20" s="4">
        <v>405712.57</v>
      </c>
      <c r="AQ20" s="4">
        <v>382766.33</v>
      </c>
      <c r="AR20" s="4" t="s">
        <v>126</v>
      </c>
      <c r="AS20" s="5">
        <f t="shared" si="0"/>
        <v>1.3097168949771685</v>
      </c>
    </row>
    <row r="21" spans="1:45" ht="14.25" customHeight="1" x14ac:dyDescent="0.55000000000000004">
      <c r="A21" s="4">
        <v>20.059999999999999</v>
      </c>
      <c r="B21" s="4">
        <v>29.3</v>
      </c>
      <c r="C21" s="4">
        <v>5527.82</v>
      </c>
      <c r="D21" s="4">
        <v>7.6</v>
      </c>
      <c r="E21" s="4" t="s">
        <v>1202</v>
      </c>
      <c r="F21" s="4" t="s">
        <v>1203</v>
      </c>
      <c r="G21" s="4" t="s">
        <v>1204</v>
      </c>
      <c r="H21" s="4" t="s">
        <v>1205</v>
      </c>
      <c r="I21" s="4">
        <v>0</v>
      </c>
      <c r="J21" s="4">
        <v>717.3</v>
      </c>
      <c r="K21" s="4">
        <f t="shared" si="1"/>
        <v>64.92</v>
      </c>
      <c r="L21" s="4">
        <f t="shared" si="2"/>
        <v>66.75</v>
      </c>
      <c r="M21" s="4">
        <f t="shared" si="3"/>
        <v>-1.8299999999999983</v>
      </c>
      <c r="N21" s="4">
        <v>7.26</v>
      </c>
      <c r="O21" s="4">
        <v>90.03</v>
      </c>
      <c r="P21" s="4">
        <v>45</v>
      </c>
      <c r="Q21" s="4">
        <v>22.2</v>
      </c>
      <c r="R21" s="4">
        <v>9.25</v>
      </c>
      <c r="S21" s="4">
        <v>14.86</v>
      </c>
      <c r="T21" s="4">
        <v>5.19</v>
      </c>
      <c r="U21" s="4">
        <v>7.71</v>
      </c>
      <c r="V21" s="4">
        <v>3537.8</v>
      </c>
      <c r="W21" s="4">
        <v>1059.3699999999999</v>
      </c>
      <c r="X21" s="4">
        <v>1311.79</v>
      </c>
      <c r="Y21" s="4">
        <v>769.24</v>
      </c>
      <c r="Z21" s="4">
        <v>9.24</v>
      </c>
      <c r="AA21" s="4">
        <v>1.6</v>
      </c>
      <c r="AB21" s="4">
        <v>4.3899999999999997</v>
      </c>
      <c r="AC21" s="4">
        <v>64.040000000000006</v>
      </c>
      <c r="AD21" s="4">
        <v>680</v>
      </c>
      <c r="AE21" s="4">
        <v>5900</v>
      </c>
      <c r="AF21" s="4">
        <v>83.48</v>
      </c>
      <c r="AG21" s="4">
        <v>0.59</v>
      </c>
      <c r="AH21" s="4">
        <v>12.45</v>
      </c>
      <c r="AI21" s="4">
        <v>67.069999999999993</v>
      </c>
      <c r="AJ21" s="4">
        <v>60</v>
      </c>
      <c r="AK21" s="4">
        <v>9</v>
      </c>
      <c r="AL21" s="4">
        <v>9</v>
      </c>
      <c r="AM21" s="4">
        <v>0.47</v>
      </c>
      <c r="AN21" s="4">
        <v>408</v>
      </c>
      <c r="AO21" s="4">
        <v>412.22</v>
      </c>
      <c r="AP21" s="4">
        <v>395399.37</v>
      </c>
      <c r="AQ21" s="4">
        <v>345170.89</v>
      </c>
      <c r="AR21" s="4" t="s">
        <v>131</v>
      </c>
      <c r="AS21" s="5">
        <f t="shared" si="0"/>
        <v>2.8669223744292225</v>
      </c>
    </row>
    <row r="22" spans="1:45" ht="14.25" customHeight="1" x14ac:dyDescent="0.55000000000000004">
      <c r="A22" s="4">
        <v>19.829999999999998</v>
      </c>
      <c r="B22" s="4">
        <v>29.1</v>
      </c>
      <c r="C22" s="4">
        <v>5496.86</v>
      </c>
      <c r="D22" s="4">
        <v>7.6</v>
      </c>
      <c r="E22" s="4" t="s">
        <v>1206</v>
      </c>
      <c r="F22" s="4" t="s">
        <v>1207</v>
      </c>
      <c r="G22" s="4" t="s">
        <v>1208</v>
      </c>
      <c r="H22" s="4" t="s">
        <v>1209</v>
      </c>
      <c r="I22" s="4">
        <v>0</v>
      </c>
      <c r="J22" s="4">
        <v>728.3</v>
      </c>
      <c r="K22" s="4">
        <f t="shared" si="1"/>
        <v>65.12</v>
      </c>
      <c r="L22" s="4">
        <f t="shared" si="2"/>
        <v>64.58</v>
      </c>
      <c r="M22" s="4">
        <f t="shared" si="3"/>
        <v>0.54000000000000625</v>
      </c>
      <c r="N22" s="4">
        <v>7.26</v>
      </c>
      <c r="O22" s="4">
        <v>90.01</v>
      </c>
      <c r="P22" s="4">
        <v>66</v>
      </c>
      <c r="Q22" s="4">
        <v>18.100000000000001</v>
      </c>
      <c r="R22" s="4">
        <v>9.27</v>
      </c>
      <c r="S22" s="4">
        <v>14.03</v>
      </c>
      <c r="T22" s="4">
        <v>5.8</v>
      </c>
      <c r="U22" s="4">
        <v>7.55</v>
      </c>
      <c r="V22" s="4">
        <v>3517.99</v>
      </c>
      <c r="W22" s="4">
        <v>1052.3</v>
      </c>
      <c r="X22" s="4">
        <v>1294.3</v>
      </c>
      <c r="Y22" s="4">
        <v>762.08</v>
      </c>
      <c r="Z22" s="4">
        <v>10.59</v>
      </c>
      <c r="AA22" s="4">
        <v>1.59</v>
      </c>
      <c r="AB22" s="4">
        <v>4.42</v>
      </c>
      <c r="AC22" s="4">
        <v>61.5</v>
      </c>
      <c r="AD22" s="4">
        <v>680</v>
      </c>
      <c r="AE22" s="4">
        <v>5900</v>
      </c>
      <c r="AF22" s="4">
        <v>83.65</v>
      </c>
      <c r="AG22" s="4">
        <v>0.59</v>
      </c>
      <c r="AH22" s="4">
        <v>12.78</v>
      </c>
      <c r="AI22" s="4">
        <v>76.62</v>
      </c>
      <c r="AJ22" s="4">
        <v>60</v>
      </c>
      <c r="AK22" s="4">
        <v>9</v>
      </c>
      <c r="AL22" s="4">
        <v>9</v>
      </c>
      <c r="AM22" s="4">
        <v>0.41</v>
      </c>
      <c r="AN22" s="4">
        <v>408</v>
      </c>
      <c r="AO22" s="4">
        <v>411.69</v>
      </c>
      <c r="AP22" s="4">
        <v>410032.02</v>
      </c>
      <c r="AQ22" s="4">
        <v>364634.68</v>
      </c>
      <c r="AR22" s="4" t="s">
        <v>135</v>
      </c>
      <c r="AS22" s="5">
        <f t="shared" si="0"/>
        <v>2.5911723744292252</v>
      </c>
    </row>
    <row r="23" spans="1:45" ht="14.25" customHeight="1" x14ac:dyDescent="0.55000000000000004">
      <c r="A23" s="4">
        <v>20.21</v>
      </c>
      <c r="B23" s="4">
        <v>29.46</v>
      </c>
      <c r="C23" s="4">
        <v>5520.47</v>
      </c>
      <c r="D23" s="4">
        <v>7.6</v>
      </c>
      <c r="E23" s="4" t="s">
        <v>1210</v>
      </c>
      <c r="F23" s="4" t="s">
        <v>1211</v>
      </c>
      <c r="G23" s="4" t="s">
        <v>1212</v>
      </c>
      <c r="H23" s="4" t="s">
        <v>1213</v>
      </c>
      <c r="I23" s="4">
        <v>0</v>
      </c>
      <c r="J23" s="4">
        <v>757.45</v>
      </c>
      <c r="K23" s="4">
        <f t="shared" si="1"/>
        <v>68.12</v>
      </c>
      <c r="L23" s="4">
        <f t="shared" si="2"/>
        <v>69.22</v>
      </c>
      <c r="M23" s="4">
        <f t="shared" si="3"/>
        <v>-1.0999999999999943</v>
      </c>
      <c r="N23" s="4">
        <v>7.28</v>
      </c>
      <c r="O23" s="4">
        <v>89.94</v>
      </c>
      <c r="P23" s="4">
        <v>44</v>
      </c>
      <c r="Q23" s="4">
        <v>22.9</v>
      </c>
      <c r="R23" s="4">
        <v>9.25</v>
      </c>
      <c r="S23" s="4">
        <v>15.3</v>
      </c>
      <c r="T23" s="4">
        <v>4.91</v>
      </c>
      <c r="U23" s="4">
        <v>7.29</v>
      </c>
      <c r="V23" s="4">
        <v>3533.1</v>
      </c>
      <c r="W23" s="4">
        <v>1055.6300000000001</v>
      </c>
      <c r="X23" s="4">
        <v>1286.44</v>
      </c>
      <c r="Y23" s="4">
        <v>762.07</v>
      </c>
      <c r="Z23" s="4">
        <v>9.35</v>
      </c>
      <c r="AA23" s="4">
        <v>1.6</v>
      </c>
      <c r="AB23" s="4">
        <v>4.4000000000000004</v>
      </c>
      <c r="AC23" s="4">
        <v>65.33</v>
      </c>
      <c r="AD23" s="4">
        <v>680</v>
      </c>
      <c r="AE23" s="4">
        <v>5900</v>
      </c>
      <c r="AF23" s="4">
        <v>83.52</v>
      </c>
      <c r="AG23" s="4">
        <v>0.59</v>
      </c>
      <c r="AH23" s="4">
        <v>13.28</v>
      </c>
      <c r="AI23" s="4">
        <v>64.680000000000007</v>
      </c>
      <c r="AJ23" s="4">
        <v>60</v>
      </c>
      <c r="AK23" s="4">
        <v>9</v>
      </c>
      <c r="AL23" s="4">
        <v>9</v>
      </c>
      <c r="AM23" s="4">
        <v>0.49</v>
      </c>
      <c r="AN23" s="4">
        <v>408</v>
      </c>
      <c r="AO23" s="4">
        <v>412.37</v>
      </c>
      <c r="AP23" s="4">
        <v>408417.13</v>
      </c>
      <c r="AQ23" s="4">
        <v>364457.95</v>
      </c>
      <c r="AR23" s="4" t="s">
        <v>140</v>
      </c>
      <c r="AS23" s="5">
        <f t="shared" si="0"/>
        <v>2.5090856164383557</v>
      </c>
    </row>
    <row r="24" spans="1:45" ht="14.25" customHeight="1" x14ac:dyDescent="0.55000000000000004">
      <c r="A24" s="4">
        <v>20.57</v>
      </c>
      <c r="B24" s="4">
        <v>29.79</v>
      </c>
      <c r="C24" s="4">
        <v>5500.33</v>
      </c>
      <c r="D24" s="4">
        <v>7.6</v>
      </c>
      <c r="E24" s="4" t="s">
        <v>1214</v>
      </c>
      <c r="F24" s="4" t="s">
        <v>1215</v>
      </c>
      <c r="G24" s="4" t="s">
        <v>1216</v>
      </c>
      <c r="H24" s="4" t="s">
        <v>1217</v>
      </c>
      <c r="I24" s="4">
        <v>0</v>
      </c>
      <c r="J24" s="4">
        <v>683.81</v>
      </c>
      <c r="K24" s="4">
        <f t="shared" si="1"/>
        <v>62.06</v>
      </c>
      <c r="L24" s="4">
        <f t="shared" si="2"/>
        <v>60.72</v>
      </c>
      <c r="M24" s="4">
        <f t="shared" si="3"/>
        <v>1.3400000000000034</v>
      </c>
      <c r="N24" s="4">
        <v>7.24</v>
      </c>
      <c r="O24" s="4">
        <v>89.95</v>
      </c>
      <c r="P24" s="4">
        <v>86</v>
      </c>
      <c r="Q24" s="4">
        <v>17.100000000000001</v>
      </c>
      <c r="R24" s="4">
        <v>9.2200000000000006</v>
      </c>
      <c r="S24" s="4">
        <v>15.45</v>
      </c>
      <c r="T24" s="4">
        <v>5.12</v>
      </c>
      <c r="U24" s="4">
        <v>8.0399999999999991</v>
      </c>
      <c r="V24" s="4">
        <v>3520.21</v>
      </c>
      <c r="W24" s="4">
        <v>1056.02</v>
      </c>
      <c r="X24" s="4">
        <v>1325.39</v>
      </c>
      <c r="Y24" s="4">
        <v>770.55</v>
      </c>
      <c r="Z24" s="4">
        <v>11.75</v>
      </c>
      <c r="AA24" s="4">
        <v>1.62</v>
      </c>
      <c r="AB24" s="4">
        <v>4.3600000000000003</v>
      </c>
      <c r="AC24" s="4">
        <v>64.3</v>
      </c>
      <c r="AD24" s="4">
        <v>680</v>
      </c>
      <c r="AE24" s="4">
        <v>5900</v>
      </c>
      <c r="AF24" s="4">
        <v>83.26</v>
      </c>
      <c r="AG24" s="4">
        <v>0.59</v>
      </c>
      <c r="AH24" s="4">
        <v>11.82</v>
      </c>
      <c r="AI24" s="4">
        <v>89.25</v>
      </c>
      <c r="AJ24" s="4">
        <v>60</v>
      </c>
      <c r="AK24" s="4">
        <v>9</v>
      </c>
      <c r="AL24" s="4">
        <v>9</v>
      </c>
      <c r="AM24" s="4">
        <v>0.35</v>
      </c>
      <c r="AN24" s="4">
        <v>408</v>
      </c>
      <c r="AO24" s="4">
        <v>411.17</v>
      </c>
      <c r="AP24" s="4">
        <v>406234.01</v>
      </c>
      <c r="AQ24" s="4">
        <v>355521.84</v>
      </c>
      <c r="AR24" s="4" t="s">
        <v>145</v>
      </c>
      <c r="AS24" s="5">
        <f t="shared" si="0"/>
        <v>2.8945302511415516</v>
      </c>
    </row>
    <row r="25" spans="1:45" ht="14.25" customHeight="1" x14ac:dyDescent="0.55000000000000004">
      <c r="A25" s="4">
        <v>20.440000000000001</v>
      </c>
      <c r="B25" s="4">
        <v>29.65</v>
      </c>
      <c r="C25" s="4">
        <v>5499</v>
      </c>
      <c r="D25" s="4">
        <v>7.6</v>
      </c>
      <c r="E25" s="4" t="s">
        <v>1218</v>
      </c>
      <c r="F25" s="4" t="s">
        <v>1219</v>
      </c>
      <c r="G25" s="4" t="s">
        <v>1220</v>
      </c>
      <c r="H25" s="4" t="s">
        <v>1221</v>
      </c>
      <c r="I25" s="4">
        <v>0</v>
      </c>
      <c r="J25" s="4">
        <v>733.58</v>
      </c>
      <c r="K25" s="4">
        <f t="shared" si="1"/>
        <v>65.66</v>
      </c>
      <c r="L25" s="4">
        <f t="shared" si="2"/>
        <v>66.28</v>
      </c>
      <c r="M25" s="4">
        <f t="shared" si="3"/>
        <v>-0.62000000000000455</v>
      </c>
      <c r="N25" s="4">
        <v>7.27</v>
      </c>
      <c r="O25" s="4">
        <v>90.08</v>
      </c>
      <c r="P25" s="4">
        <v>46</v>
      </c>
      <c r="Q25" s="4">
        <v>22.2</v>
      </c>
      <c r="R25" s="4">
        <v>9.2100000000000009</v>
      </c>
      <c r="S25" s="4">
        <v>15.01</v>
      </c>
      <c r="T25" s="4">
        <v>5.43</v>
      </c>
      <c r="U25" s="4">
        <v>7.5</v>
      </c>
      <c r="V25" s="4">
        <v>3519.36</v>
      </c>
      <c r="W25" s="4">
        <v>1052.6600000000001</v>
      </c>
      <c r="X25" s="4">
        <v>1293.52</v>
      </c>
      <c r="Y25" s="4">
        <v>762.16</v>
      </c>
      <c r="Z25" s="4">
        <v>9.41</v>
      </c>
      <c r="AA25" s="4">
        <v>1.6</v>
      </c>
      <c r="AB25" s="4">
        <v>4.3899999999999997</v>
      </c>
      <c r="AC25" s="4">
        <v>62.93</v>
      </c>
      <c r="AD25" s="4">
        <v>680</v>
      </c>
      <c r="AE25" s="4">
        <v>5900</v>
      </c>
      <c r="AF25" s="4">
        <v>83.15</v>
      </c>
      <c r="AG25" s="4">
        <v>0.59</v>
      </c>
      <c r="AH25" s="4">
        <v>12.8</v>
      </c>
      <c r="AI25" s="4">
        <v>67.540000000000006</v>
      </c>
      <c r="AJ25" s="4">
        <v>60</v>
      </c>
      <c r="AK25" s="4">
        <v>9</v>
      </c>
      <c r="AL25" s="4">
        <v>9</v>
      </c>
      <c r="AM25" s="4">
        <v>0.47</v>
      </c>
      <c r="AN25" s="4">
        <v>408</v>
      </c>
      <c r="AO25" s="4">
        <v>412.19</v>
      </c>
      <c r="AP25" s="4">
        <v>406476.87</v>
      </c>
      <c r="AQ25" s="4">
        <v>344544</v>
      </c>
      <c r="AR25" s="4" t="s">
        <v>149</v>
      </c>
      <c r="AS25" s="5">
        <f t="shared" si="0"/>
        <v>3.5349811643835616</v>
      </c>
    </row>
    <row r="26" spans="1:45" ht="14.25" customHeight="1" x14ac:dyDescent="0.55000000000000004">
      <c r="A26" s="4">
        <v>19.850000000000001</v>
      </c>
      <c r="B26" s="4">
        <v>29.13</v>
      </c>
      <c r="C26" s="4">
        <v>5488.75</v>
      </c>
      <c r="D26" s="4">
        <v>7.6</v>
      </c>
      <c r="E26" s="4" t="s">
        <v>1222</v>
      </c>
      <c r="F26" s="4" t="s">
        <v>1223</v>
      </c>
      <c r="G26" s="4" t="s">
        <v>1161</v>
      </c>
      <c r="H26" s="4" t="s">
        <v>1224</v>
      </c>
      <c r="I26" s="4">
        <v>0</v>
      </c>
      <c r="J26" s="4">
        <v>677.52</v>
      </c>
      <c r="K26" s="4">
        <f t="shared" si="1"/>
        <v>61.64</v>
      </c>
      <c r="L26" s="4">
        <f t="shared" si="2"/>
        <v>60.68</v>
      </c>
      <c r="M26" s="4">
        <f t="shared" si="3"/>
        <v>0.96000000000000085</v>
      </c>
      <c r="N26" s="4">
        <v>7.23</v>
      </c>
      <c r="O26" s="4">
        <v>90.06</v>
      </c>
      <c r="P26" s="4">
        <v>68</v>
      </c>
      <c r="Q26" s="4">
        <v>17.8</v>
      </c>
      <c r="R26" s="4">
        <v>9.2799999999999994</v>
      </c>
      <c r="S26" s="4">
        <v>13.99</v>
      </c>
      <c r="T26" s="4">
        <v>5.86</v>
      </c>
      <c r="U26" s="4">
        <v>8.1</v>
      </c>
      <c r="V26" s="4">
        <v>3512.8</v>
      </c>
      <c r="W26" s="4">
        <v>1054.04</v>
      </c>
      <c r="X26" s="4">
        <v>1325.6</v>
      </c>
      <c r="Y26" s="4">
        <v>769.63</v>
      </c>
      <c r="Z26" s="4">
        <v>11.17</v>
      </c>
      <c r="AA26" s="4">
        <v>1.61</v>
      </c>
      <c r="AB26" s="4">
        <v>4.3899999999999997</v>
      </c>
      <c r="AC26" s="4">
        <v>61.32</v>
      </c>
      <c r="AD26" s="4">
        <v>680</v>
      </c>
      <c r="AE26" s="4">
        <v>5900</v>
      </c>
      <c r="AF26" s="4">
        <v>83.8</v>
      </c>
      <c r="AG26" s="4">
        <v>0.59</v>
      </c>
      <c r="AH26" s="4">
        <v>11.8</v>
      </c>
      <c r="AI26" s="4">
        <v>85.43</v>
      </c>
      <c r="AJ26" s="4">
        <v>60</v>
      </c>
      <c r="AK26" s="4">
        <v>9</v>
      </c>
      <c r="AL26" s="4">
        <v>9</v>
      </c>
      <c r="AM26" s="4">
        <v>0.37</v>
      </c>
      <c r="AN26" s="4">
        <v>408</v>
      </c>
      <c r="AO26" s="4">
        <v>411.31</v>
      </c>
      <c r="AP26" s="4">
        <v>404916.32</v>
      </c>
      <c r="AQ26" s="4">
        <v>344309.41</v>
      </c>
      <c r="AR26" s="4" t="s">
        <v>154</v>
      </c>
      <c r="AS26" s="5">
        <f t="shared" si="0"/>
        <v>3.4592985159817369</v>
      </c>
    </row>
    <row r="27" spans="1:45" ht="14.25" customHeight="1" x14ac:dyDescent="0.55000000000000004">
      <c r="A27" s="4">
        <v>20.21</v>
      </c>
      <c r="B27" s="4">
        <v>29.47</v>
      </c>
      <c r="C27" s="4">
        <v>5506.62</v>
      </c>
      <c r="D27" s="4">
        <v>7.6</v>
      </c>
      <c r="E27" s="4" t="s">
        <v>1225</v>
      </c>
      <c r="F27" s="4" t="s">
        <v>1226</v>
      </c>
      <c r="G27" s="4" t="s">
        <v>1227</v>
      </c>
      <c r="H27" s="4" t="s">
        <v>1228</v>
      </c>
      <c r="I27" s="4">
        <v>0</v>
      </c>
      <c r="J27" s="4">
        <v>728.68</v>
      </c>
      <c r="K27" s="4">
        <f t="shared" si="1"/>
        <v>65.289999999999992</v>
      </c>
      <c r="L27" s="4">
        <f t="shared" si="2"/>
        <v>64.050000000000011</v>
      </c>
      <c r="M27" s="4">
        <f t="shared" si="3"/>
        <v>1.2399999999999807</v>
      </c>
      <c r="N27" s="4">
        <v>7.26</v>
      </c>
      <c r="O27" s="4">
        <v>90.01</v>
      </c>
      <c r="P27" s="4">
        <v>63</v>
      </c>
      <c r="Q27" s="4">
        <v>19.3</v>
      </c>
      <c r="R27" s="4">
        <v>9.26</v>
      </c>
      <c r="S27" s="4">
        <v>14.76</v>
      </c>
      <c r="T27" s="4">
        <v>5.45</v>
      </c>
      <c r="U27" s="4">
        <v>7.56</v>
      </c>
      <c r="V27" s="4">
        <v>3524.24</v>
      </c>
      <c r="W27" s="4">
        <v>1054.1600000000001</v>
      </c>
      <c r="X27" s="4">
        <v>1296.47</v>
      </c>
      <c r="Y27" s="4">
        <v>763.41</v>
      </c>
      <c r="Z27" s="4">
        <v>12.23</v>
      </c>
      <c r="AA27" s="4">
        <v>1.6</v>
      </c>
      <c r="AB27" s="4">
        <v>4.4000000000000004</v>
      </c>
      <c r="AC27" s="4">
        <v>62.95</v>
      </c>
      <c r="AD27" s="4">
        <v>680</v>
      </c>
      <c r="AE27" s="4">
        <v>5900</v>
      </c>
      <c r="AF27" s="4">
        <v>83.6</v>
      </c>
      <c r="AG27" s="4">
        <v>0.59</v>
      </c>
      <c r="AH27" s="4">
        <v>12.75</v>
      </c>
      <c r="AI27" s="4">
        <v>88.28</v>
      </c>
      <c r="AJ27" s="4">
        <v>60</v>
      </c>
      <c r="AK27" s="4">
        <v>9</v>
      </c>
      <c r="AL27" s="4">
        <v>9</v>
      </c>
      <c r="AM27" s="4">
        <v>0.36</v>
      </c>
      <c r="AN27" s="4">
        <v>408</v>
      </c>
      <c r="AO27" s="4">
        <v>411.2</v>
      </c>
      <c r="AP27" s="4">
        <v>409357.17</v>
      </c>
      <c r="AQ27" s="4">
        <v>396932.01</v>
      </c>
      <c r="AR27" s="4" t="s">
        <v>158</v>
      </c>
      <c r="AS27" s="5">
        <f t="shared" si="0"/>
        <v>0.70919863013698481</v>
      </c>
    </row>
    <row r="28" spans="1:45" ht="14.25" customHeight="1" x14ac:dyDescent="0.55000000000000004">
      <c r="A28" s="4">
        <v>20.67</v>
      </c>
      <c r="B28" s="4">
        <v>30</v>
      </c>
      <c r="C28" s="4">
        <v>5474.5</v>
      </c>
      <c r="D28" s="4">
        <v>7.6</v>
      </c>
      <c r="E28" s="4" t="s">
        <v>1229</v>
      </c>
      <c r="F28" s="4" t="s">
        <v>1230</v>
      </c>
      <c r="G28" s="4" t="s">
        <v>1227</v>
      </c>
      <c r="H28" s="4" t="s">
        <v>1231</v>
      </c>
      <c r="I28" s="4">
        <v>0</v>
      </c>
      <c r="J28" s="4">
        <v>665.2</v>
      </c>
      <c r="K28" s="4">
        <f t="shared" si="1"/>
        <v>60.77</v>
      </c>
      <c r="L28" s="4">
        <f t="shared" si="2"/>
        <v>64.53</v>
      </c>
      <c r="M28" s="4">
        <f t="shared" si="3"/>
        <v>-3.759999999999998</v>
      </c>
      <c r="N28" s="4">
        <v>7.22</v>
      </c>
      <c r="O28" s="4">
        <v>90.03</v>
      </c>
      <c r="P28" s="4">
        <v>86</v>
      </c>
      <c r="Q28" s="4">
        <v>16.8</v>
      </c>
      <c r="R28" s="4">
        <v>9.33</v>
      </c>
      <c r="S28" s="4">
        <v>15.15</v>
      </c>
      <c r="T28" s="4">
        <v>5.52</v>
      </c>
      <c r="U28" s="4">
        <v>8.23</v>
      </c>
      <c r="V28" s="4">
        <v>3503.68</v>
      </c>
      <c r="W28" s="4">
        <v>1051.6500000000001</v>
      </c>
      <c r="X28" s="4">
        <v>1327.09</v>
      </c>
      <c r="Y28" s="4">
        <v>768.69</v>
      </c>
      <c r="Z28" s="4">
        <v>6.12</v>
      </c>
      <c r="AA28" s="4">
        <v>1.62</v>
      </c>
      <c r="AB28" s="4">
        <v>4.3600000000000003</v>
      </c>
      <c r="AC28" s="4">
        <v>62.84</v>
      </c>
      <c r="AD28" s="4">
        <v>680</v>
      </c>
      <c r="AE28" s="4">
        <v>5900</v>
      </c>
      <c r="AF28" s="4">
        <v>84.24</v>
      </c>
      <c r="AG28" s="4">
        <v>0.59</v>
      </c>
      <c r="AH28" s="4">
        <v>11.65</v>
      </c>
      <c r="AI28" s="4">
        <v>47.47</v>
      </c>
      <c r="AJ28" s="4">
        <v>60</v>
      </c>
      <c r="AK28" s="4">
        <v>9</v>
      </c>
      <c r="AL28" s="4">
        <v>9</v>
      </c>
      <c r="AM28" s="4">
        <v>0.66</v>
      </c>
      <c r="AN28" s="4">
        <v>408</v>
      </c>
      <c r="AO28" s="4">
        <v>413.96</v>
      </c>
      <c r="AP28" s="4">
        <v>402866.35</v>
      </c>
      <c r="AQ28" s="4">
        <v>181635.35</v>
      </c>
      <c r="AR28" s="4" t="s">
        <v>163</v>
      </c>
      <c r="AS28" s="5">
        <f t="shared" si="0"/>
        <v>12.6273401826484</v>
      </c>
    </row>
    <row r="29" spans="1:45" ht="14.25" customHeight="1" x14ac:dyDescent="0.55000000000000004">
      <c r="A29" s="4">
        <v>22.66</v>
      </c>
      <c r="B29" s="4">
        <v>31.91</v>
      </c>
      <c r="C29" s="4">
        <v>5521.31</v>
      </c>
      <c r="D29" s="4">
        <v>7.6</v>
      </c>
      <c r="E29" s="4" t="s">
        <v>1232</v>
      </c>
      <c r="F29" s="4" t="s">
        <v>1233</v>
      </c>
      <c r="G29" s="4" t="s">
        <v>1137</v>
      </c>
      <c r="H29" s="4" t="s">
        <v>1234</v>
      </c>
      <c r="I29" s="4">
        <v>0</v>
      </c>
      <c r="J29" s="4">
        <v>758.85</v>
      </c>
      <c r="K29" s="4">
        <f t="shared" si="1"/>
        <v>66.790000000000006</v>
      </c>
      <c r="L29" s="4">
        <f t="shared" si="2"/>
        <v>67.7</v>
      </c>
      <c r="M29" s="4">
        <f t="shared" si="3"/>
        <v>-0.90999999999999659</v>
      </c>
      <c r="N29" s="4">
        <v>7.29</v>
      </c>
      <c r="O29" s="4">
        <v>89.84</v>
      </c>
      <c r="P29" s="4">
        <v>70</v>
      </c>
      <c r="Q29" s="4">
        <v>22.6</v>
      </c>
      <c r="R29" s="4">
        <v>9.25</v>
      </c>
      <c r="S29" s="4">
        <v>18.7</v>
      </c>
      <c r="T29" s="4">
        <v>3.95</v>
      </c>
      <c r="U29" s="4">
        <v>7.28</v>
      </c>
      <c r="V29" s="4">
        <v>3533.64</v>
      </c>
      <c r="W29" s="4">
        <v>1055.8800000000001</v>
      </c>
      <c r="X29" s="4">
        <v>1287.04</v>
      </c>
      <c r="Y29" s="4">
        <v>762.36</v>
      </c>
      <c r="Z29" s="4">
        <v>8.8800000000000008</v>
      </c>
      <c r="AA29" s="4">
        <v>1.65</v>
      </c>
      <c r="AB29" s="4">
        <v>4.3099999999999996</v>
      </c>
      <c r="AC29" s="4">
        <v>70.06</v>
      </c>
      <c r="AD29" s="4">
        <v>680</v>
      </c>
      <c r="AE29" s="4">
        <v>5900</v>
      </c>
      <c r="AF29" s="4">
        <v>83.52</v>
      </c>
      <c r="AG29" s="4">
        <v>0.59</v>
      </c>
      <c r="AH29" s="4">
        <v>13.31</v>
      </c>
      <c r="AI29" s="4">
        <v>62.65</v>
      </c>
      <c r="AJ29" s="4">
        <v>60</v>
      </c>
      <c r="AK29" s="4">
        <v>9</v>
      </c>
      <c r="AL29" s="4">
        <v>9</v>
      </c>
      <c r="AM29" s="4">
        <v>0.5</v>
      </c>
      <c r="AN29" s="4">
        <v>408</v>
      </c>
      <c r="AO29" s="4">
        <v>412.51</v>
      </c>
      <c r="AP29" s="4">
        <v>404833.65</v>
      </c>
      <c r="AQ29" s="4">
        <v>336406.42</v>
      </c>
      <c r="AR29" s="4" t="s">
        <v>168</v>
      </c>
      <c r="AS29" s="5">
        <f t="shared" si="0"/>
        <v>3.9056638127853902</v>
      </c>
    </row>
    <row r="30" spans="1:45" ht="14.25" customHeight="1" x14ac:dyDescent="0.55000000000000004">
      <c r="A30" s="4">
        <v>20.57</v>
      </c>
      <c r="B30" s="4">
        <v>29.79</v>
      </c>
      <c r="C30" s="4">
        <v>5465.66</v>
      </c>
      <c r="D30" s="4">
        <v>7.59</v>
      </c>
      <c r="E30" s="4" t="s">
        <v>1235</v>
      </c>
      <c r="F30" s="4" t="s">
        <v>1236</v>
      </c>
      <c r="G30" s="4" t="s">
        <v>1153</v>
      </c>
      <c r="H30" s="4" t="s">
        <v>1237</v>
      </c>
      <c r="I30" s="4">
        <v>0</v>
      </c>
      <c r="J30" s="4">
        <v>619.41</v>
      </c>
      <c r="K30" s="4">
        <f t="shared" si="1"/>
        <v>57.21</v>
      </c>
      <c r="L30" s="4">
        <f t="shared" si="2"/>
        <v>64.460000000000008</v>
      </c>
      <c r="M30" s="4">
        <f t="shared" si="3"/>
        <v>-7.2500000000000071</v>
      </c>
      <c r="N30" s="4">
        <v>7.19</v>
      </c>
      <c r="O30" s="4">
        <v>90.01</v>
      </c>
      <c r="P30" s="4">
        <v>79</v>
      </c>
      <c r="Q30" s="4">
        <v>17</v>
      </c>
      <c r="R30" s="4">
        <v>9.2200000000000006</v>
      </c>
      <c r="S30" s="4">
        <v>14.53</v>
      </c>
      <c r="T30" s="4">
        <v>6.04</v>
      </c>
      <c r="U30" s="4">
        <v>8.82</v>
      </c>
      <c r="V30" s="4">
        <v>3498.02</v>
      </c>
      <c r="W30" s="4">
        <v>1053.67</v>
      </c>
      <c r="X30" s="4">
        <v>1361.93</v>
      </c>
      <c r="Y30" s="4">
        <v>777.18</v>
      </c>
      <c r="Z30" s="4">
        <v>5.77</v>
      </c>
      <c r="AA30" s="4">
        <v>1.62</v>
      </c>
      <c r="AB30" s="4">
        <v>4.3499999999999996</v>
      </c>
      <c r="AC30" s="4">
        <v>60.42</v>
      </c>
      <c r="AD30" s="4">
        <v>680</v>
      </c>
      <c r="AE30" s="4">
        <v>5900</v>
      </c>
      <c r="AF30" s="4">
        <v>83.2</v>
      </c>
      <c r="AG30" s="4">
        <v>0.59</v>
      </c>
      <c r="AH30" s="4">
        <v>10.63</v>
      </c>
      <c r="AI30" s="4">
        <v>47.52</v>
      </c>
      <c r="AJ30" s="4">
        <v>60</v>
      </c>
      <c r="AK30" s="4">
        <v>9</v>
      </c>
      <c r="AL30" s="4">
        <v>9</v>
      </c>
      <c r="AM30" s="4">
        <v>0.66</v>
      </c>
      <c r="AN30" s="4">
        <v>408</v>
      </c>
      <c r="AO30" s="4">
        <v>413.95</v>
      </c>
      <c r="AP30" s="4">
        <v>359675.1</v>
      </c>
      <c r="AQ30" s="4">
        <v>180375.51</v>
      </c>
      <c r="AR30" s="4" t="s">
        <v>173</v>
      </c>
      <c r="AS30" s="5">
        <f t="shared" si="0"/>
        <v>10.233994863013697</v>
      </c>
    </row>
    <row r="31" spans="1:45" ht="14.25" customHeight="1" x14ac:dyDescent="0.55000000000000004">
      <c r="A31" s="4">
        <v>20.43</v>
      </c>
      <c r="B31" s="4">
        <v>29.67</v>
      </c>
      <c r="C31" s="4">
        <v>5539.37</v>
      </c>
      <c r="D31" s="4">
        <v>7.6</v>
      </c>
      <c r="E31" s="4" t="s">
        <v>1238</v>
      </c>
      <c r="F31" s="4" t="s">
        <v>1239</v>
      </c>
      <c r="G31" s="4" t="s">
        <v>1176</v>
      </c>
      <c r="H31" s="4" t="s">
        <v>1240</v>
      </c>
      <c r="I31" s="4">
        <v>0</v>
      </c>
      <c r="J31" s="4">
        <v>658.42</v>
      </c>
      <c r="K31" s="4">
        <f t="shared" si="1"/>
        <v>60.08</v>
      </c>
      <c r="L31" s="4">
        <f t="shared" si="2"/>
        <v>67.45</v>
      </c>
      <c r="M31" s="4">
        <f t="shared" si="3"/>
        <v>-7.3700000000000045</v>
      </c>
      <c r="N31" s="4">
        <v>7.22</v>
      </c>
      <c r="O31" s="4">
        <v>89.92</v>
      </c>
      <c r="P31" s="4">
        <v>81</v>
      </c>
      <c r="Q31" s="4">
        <v>17.8</v>
      </c>
      <c r="R31" s="4">
        <v>9.24</v>
      </c>
      <c r="S31" s="4">
        <v>15.54</v>
      </c>
      <c r="T31" s="4">
        <v>4.8899999999999997</v>
      </c>
      <c r="U31" s="4">
        <v>8.41</v>
      </c>
      <c r="V31" s="4">
        <v>3545.2</v>
      </c>
      <c r="W31" s="4">
        <v>1064.69</v>
      </c>
      <c r="X31" s="4">
        <v>1348.46</v>
      </c>
      <c r="Y31" s="4">
        <v>779.31</v>
      </c>
      <c r="Z31" s="4">
        <v>5.79</v>
      </c>
      <c r="AA31" s="4">
        <v>1.62</v>
      </c>
      <c r="AB31" s="4">
        <v>4.3499999999999996</v>
      </c>
      <c r="AC31" s="4">
        <v>65.38</v>
      </c>
      <c r="AD31" s="4">
        <v>680</v>
      </c>
      <c r="AE31" s="4">
        <v>5900</v>
      </c>
      <c r="AF31" s="4">
        <v>83.4</v>
      </c>
      <c r="AG31" s="4">
        <v>0.59</v>
      </c>
      <c r="AH31" s="4">
        <v>11.25</v>
      </c>
      <c r="AI31" s="4">
        <v>45.42</v>
      </c>
      <c r="AJ31" s="4">
        <v>60</v>
      </c>
      <c r="AK31" s="4">
        <v>9</v>
      </c>
      <c r="AL31" s="4">
        <v>9</v>
      </c>
      <c r="AM31" s="4">
        <v>0.69</v>
      </c>
      <c r="AN31" s="4">
        <v>408</v>
      </c>
      <c r="AO31" s="4">
        <v>414.23</v>
      </c>
      <c r="AP31" s="4">
        <v>368540.94</v>
      </c>
      <c r="AQ31" s="4">
        <v>196201.56</v>
      </c>
      <c r="AR31" s="4" t="s">
        <v>178</v>
      </c>
      <c r="AS31" s="5">
        <f t="shared" si="0"/>
        <v>9.8367226027397265</v>
      </c>
    </row>
    <row r="32" spans="1:45" ht="14.25" customHeight="1" x14ac:dyDescent="0.55000000000000004">
      <c r="A32" s="4">
        <v>21.25</v>
      </c>
      <c r="B32" s="4">
        <v>30.39</v>
      </c>
      <c r="C32" s="4">
        <v>5538.09</v>
      </c>
      <c r="D32" s="4">
        <v>7.6</v>
      </c>
      <c r="E32" s="4" t="s">
        <v>1241</v>
      </c>
      <c r="F32" s="4" t="s">
        <v>1242</v>
      </c>
      <c r="G32" s="4" t="s">
        <v>1161</v>
      </c>
      <c r="H32" s="4" t="s">
        <v>1243</v>
      </c>
      <c r="I32" s="4">
        <v>0</v>
      </c>
      <c r="J32" s="4">
        <v>613.83000000000004</v>
      </c>
      <c r="K32" s="4">
        <f t="shared" si="1"/>
        <v>57.480000000000004</v>
      </c>
      <c r="L32" s="4">
        <f t="shared" si="2"/>
        <v>63.01</v>
      </c>
      <c r="M32" s="4">
        <f t="shared" si="3"/>
        <v>-5.529999999999994</v>
      </c>
      <c r="N32" s="4">
        <v>7.19</v>
      </c>
      <c r="O32" s="4">
        <v>89.98</v>
      </c>
      <c r="P32" s="4">
        <v>76</v>
      </c>
      <c r="Q32" s="4">
        <v>19.899999999999999</v>
      </c>
      <c r="R32" s="4">
        <v>9.14</v>
      </c>
      <c r="S32" s="4">
        <v>16.940000000000001</v>
      </c>
      <c r="T32" s="4">
        <v>4.3099999999999996</v>
      </c>
      <c r="U32" s="4">
        <v>9.02</v>
      </c>
      <c r="V32" s="4">
        <v>3544.38</v>
      </c>
      <c r="W32" s="4">
        <v>1067.96</v>
      </c>
      <c r="X32" s="4">
        <v>1383.73</v>
      </c>
      <c r="Y32" s="4">
        <v>788.4</v>
      </c>
      <c r="Z32" s="4">
        <v>5.93</v>
      </c>
      <c r="AA32" s="4">
        <v>1.65</v>
      </c>
      <c r="AB32" s="4">
        <v>4.3</v>
      </c>
      <c r="AC32" s="4">
        <v>67.94</v>
      </c>
      <c r="AD32" s="4">
        <v>680</v>
      </c>
      <c r="AE32" s="4">
        <v>5900</v>
      </c>
      <c r="AF32" s="4">
        <v>82.53</v>
      </c>
      <c r="AG32" s="4">
        <v>0.59</v>
      </c>
      <c r="AH32" s="4">
        <v>10.29</v>
      </c>
      <c r="AI32" s="4">
        <v>48.61</v>
      </c>
      <c r="AJ32" s="4">
        <v>60</v>
      </c>
      <c r="AK32" s="4">
        <v>9</v>
      </c>
      <c r="AL32" s="4">
        <v>9</v>
      </c>
      <c r="AM32" s="4">
        <v>0.65</v>
      </c>
      <c r="AN32" s="4">
        <v>408</v>
      </c>
      <c r="AO32" s="4">
        <v>413.82</v>
      </c>
      <c r="AP32" s="4">
        <v>378507.85</v>
      </c>
      <c r="AQ32" s="4">
        <v>171940.69</v>
      </c>
      <c r="AR32" s="4" t="s">
        <v>183</v>
      </c>
      <c r="AS32" s="5">
        <f t="shared" si="0"/>
        <v>11.790363013698629</v>
      </c>
    </row>
    <row r="33" spans="1:45" ht="14.25" customHeight="1" x14ac:dyDescent="0.55000000000000004">
      <c r="A33" s="4">
        <v>20.440000000000001</v>
      </c>
      <c r="B33" s="4">
        <v>29.67</v>
      </c>
      <c r="C33" s="4">
        <v>5451.82</v>
      </c>
      <c r="D33" s="4">
        <v>7.6</v>
      </c>
      <c r="E33" s="4" t="s">
        <v>1244</v>
      </c>
      <c r="F33" s="4" t="s">
        <v>1245</v>
      </c>
      <c r="G33" s="4" t="s">
        <v>1200</v>
      </c>
      <c r="H33" s="4" t="s">
        <v>1246</v>
      </c>
      <c r="I33" s="4">
        <v>0</v>
      </c>
      <c r="J33" s="4">
        <v>732.57</v>
      </c>
      <c r="K33" s="4">
        <f t="shared" si="1"/>
        <v>65.039999999999992</v>
      </c>
      <c r="L33" s="4">
        <f t="shared" si="2"/>
        <v>67.14</v>
      </c>
      <c r="M33" s="4">
        <f t="shared" si="3"/>
        <v>-2.1000000000000085</v>
      </c>
      <c r="N33" s="4">
        <v>7.27</v>
      </c>
      <c r="O33" s="4">
        <v>89.93</v>
      </c>
      <c r="P33" s="4">
        <v>82</v>
      </c>
      <c r="Q33" s="4">
        <v>16.7</v>
      </c>
      <c r="R33" s="4">
        <v>9.24</v>
      </c>
      <c r="S33" s="4">
        <v>14.59</v>
      </c>
      <c r="T33" s="4">
        <v>5.84</v>
      </c>
      <c r="U33" s="4">
        <v>7.44</v>
      </c>
      <c r="V33" s="4">
        <v>3489.17</v>
      </c>
      <c r="W33" s="4">
        <v>1043.77</v>
      </c>
      <c r="X33" s="4">
        <v>1283.6199999999999</v>
      </c>
      <c r="Y33" s="4">
        <v>755.97</v>
      </c>
      <c r="Z33" s="4">
        <v>9.69</v>
      </c>
      <c r="AA33" s="4">
        <v>1.6</v>
      </c>
      <c r="AB33" s="4">
        <v>4.41</v>
      </c>
      <c r="AC33" s="4">
        <v>61.25</v>
      </c>
      <c r="AD33" s="4">
        <v>680</v>
      </c>
      <c r="AE33" s="4">
        <v>5900</v>
      </c>
      <c r="AF33" s="4">
        <v>83.4</v>
      </c>
      <c r="AG33" s="4">
        <v>0.59</v>
      </c>
      <c r="AH33" s="4">
        <v>12.95</v>
      </c>
      <c r="AI33" s="4">
        <v>70.180000000000007</v>
      </c>
      <c r="AJ33" s="4">
        <v>60</v>
      </c>
      <c r="AK33" s="4">
        <v>9</v>
      </c>
      <c r="AL33" s="4">
        <v>9</v>
      </c>
      <c r="AM33" s="4">
        <v>0.45</v>
      </c>
      <c r="AN33" s="4">
        <v>408</v>
      </c>
      <c r="AO33" s="4">
        <v>412.03</v>
      </c>
      <c r="AP33" s="4">
        <v>385571.95</v>
      </c>
      <c r="AQ33" s="4">
        <v>368568.98</v>
      </c>
      <c r="AR33" s="4" t="s">
        <v>188</v>
      </c>
      <c r="AS33" s="5">
        <f t="shared" si="0"/>
        <v>0.97048915525114332</v>
      </c>
    </row>
    <row r="34" spans="1:45" ht="14.25" customHeight="1" x14ac:dyDescent="0.55000000000000004">
      <c r="A34" s="4">
        <v>20.28</v>
      </c>
      <c r="B34" s="4">
        <v>29.5</v>
      </c>
      <c r="C34" s="4">
        <v>5460.15</v>
      </c>
      <c r="D34" s="4">
        <v>7.6</v>
      </c>
      <c r="E34" s="4" t="s">
        <v>1247</v>
      </c>
      <c r="F34" s="4" t="s">
        <v>1248</v>
      </c>
      <c r="G34" s="4" t="s">
        <v>1153</v>
      </c>
      <c r="H34" s="4" t="s">
        <v>1249</v>
      </c>
      <c r="I34" s="4">
        <v>0</v>
      </c>
      <c r="J34" s="4">
        <v>635.46</v>
      </c>
      <c r="K34" s="4">
        <f t="shared" si="1"/>
        <v>58.55</v>
      </c>
      <c r="L34" s="4">
        <f t="shared" si="2"/>
        <v>61.48</v>
      </c>
      <c r="M34" s="4">
        <f t="shared" si="3"/>
        <v>-2.9299999999999997</v>
      </c>
      <c r="N34" s="4">
        <v>7.2</v>
      </c>
      <c r="O34" s="4">
        <v>90.06</v>
      </c>
      <c r="P34" s="4">
        <v>78</v>
      </c>
      <c r="Q34" s="4">
        <v>16.899999999999999</v>
      </c>
      <c r="R34" s="4">
        <v>9.2200000000000006</v>
      </c>
      <c r="S34" s="4">
        <v>14.32</v>
      </c>
      <c r="T34" s="4">
        <v>5.96</v>
      </c>
      <c r="U34" s="4">
        <v>8.59</v>
      </c>
      <c r="V34" s="4">
        <v>3494.5</v>
      </c>
      <c r="W34" s="4">
        <v>1051.22</v>
      </c>
      <c r="X34" s="4">
        <v>1346.81</v>
      </c>
      <c r="Y34" s="4">
        <v>772.77</v>
      </c>
      <c r="Z34" s="4">
        <v>9.52</v>
      </c>
      <c r="AA34" s="4">
        <v>1.62</v>
      </c>
      <c r="AB34" s="4">
        <v>4.3600000000000003</v>
      </c>
      <c r="AC34" s="4">
        <v>60.71</v>
      </c>
      <c r="AD34" s="4">
        <v>680</v>
      </c>
      <c r="AE34" s="4">
        <v>5900</v>
      </c>
      <c r="AF34" s="4">
        <v>83.19</v>
      </c>
      <c r="AG34" s="4">
        <v>0.59</v>
      </c>
      <c r="AH34" s="4">
        <v>10.96</v>
      </c>
      <c r="AI34" s="4">
        <v>76.650000000000006</v>
      </c>
      <c r="AJ34" s="4">
        <v>60</v>
      </c>
      <c r="AK34" s="4">
        <v>9</v>
      </c>
      <c r="AL34" s="4">
        <v>9</v>
      </c>
      <c r="AM34" s="4">
        <v>0.41</v>
      </c>
      <c r="AN34" s="4">
        <v>408</v>
      </c>
      <c r="AO34" s="4">
        <v>411.69</v>
      </c>
      <c r="AP34" s="4">
        <v>368798.15</v>
      </c>
      <c r="AQ34" s="4">
        <v>324976.43</v>
      </c>
      <c r="AR34" s="4" t="s">
        <v>192</v>
      </c>
      <c r="AS34" s="5">
        <f t="shared" si="0"/>
        <v>2.5012397260273991</v>
      </c>
    </row>
    <row r="35" spans="1:45" ht="14.25" customHeight="1" x14ac:dyDescent="0.55000000000000004">
      <c r="A35" s="4">
        <v>22.66</v>
      </c>
      <c r="B35" s="4">
        <v>31.81</v>
      </c>
      <c r="C35" s="4">
        <v>5528.59</v>
      </c>
      <c r="D35" s="4">
        <v>7.6</v>
      </c>
      <c r="E35" s="4" t="s">
        <v>1250</v>
      </c>
      <c r="F35" s="4" t="s">
        <v>1251</v>
      </c>
      <c r="G35" s="4" t="s">
        <v>1252</v>
      </c>
      <c r="H35" s="4" t="s">
        <v>1253</v>
      </c>
      <c r="I35" s="4">
        <v>0</v>
      </c>
      <c r="J35" s="4">
        <v>681.46</v>
      </c>
      <c r="K35" s="4">
        <f t="shared" si="1"/>
        <v>61.8</v>
      </c>
      <c r="L35" s="4">
        <f t="shared" si="2"/>
        <v>64.86</v>
      </c>
      <c r="M35" s="4">
        <f t="shared" si="3"/>
        <v>-3.0600000000000023</v>
      </c>
      <c r="N35" s="4">
        <v>7.23</v>
      </c>
      <c r="O35" s="4">
        <v>89.99</v>
      </c>
      <c r="P35" s="4">
        <v>78</v>
      </c>
      <c r="Q35" s="4">
        <v>21.6</v>
      </c>
      <c r="R35" s="4">
        <v>9.15</v>
      </c>
      <c r="S35" s="4">
        <v>18.809999999999999</v>
      </c>
      <c r="T35" s="4">
        <v>3.86</v>
      </c>
      <c r="U35" s="4">
        <v>8.11</v>
      </c>
      <c r="V35" s="4">
        <v>3538.29</v>
      </c>
      <c r="W35" s="4">
        <v>1061.46</v>
      </c>
      <c r="X35" s="4">
        <v>1332.75</v>
      </c>
      <c r="Y35" s="4">
        <v>774.59</v>
      </c>
      <c r="Z35" s="4">
        <v>6.67</v>
      </c>
      <c r="AA35" s="4">
        <v>1.66</v>
      </c>
      <c r="AB35" s="4">
        <v>4.2699999999999996</v>
      </c>
      <c r="AC35" s="4">
        <v>70.34</v>
      </c>
      <c r="AD35" s="4">
        <v>680</v>
      </c>
      <c r="AE35" s="4">
        <v>5900</v>
      </c>
      <c r="AF35" s="4">
        <v>82.56</v>
      </c>
      <c r="AG35" s="4">
        <v>0.59</v>
      </c>
      <c r="AH35" s="4">
        <v>11.61</v>
      </c>
      <c r="AI35" s="4">
        <v>50.86</v>
      </c>
      <c r="AJ35" s="4">
        <v>60</v>
      </c>
      <c r="AK35" s="4">
        <v>9</v>
      </c>
      <c r="AL35" s="4">
        <v>9</v>
      </c>
      <c r="AM35" s="4">
        <v>0.62</v>
      </c>
      <c r="AN35" s="4">
        <v>408</v>
      </c>
      <c r="AO35" s="4">
        <v>413.56</v>
      </c>
      <c r="AP35" s="4">
        <v>401882.62</v>
      </c>
      <c r="AQ35" s="4">
        <v>215797.02</v>
      </c>
      <c r="AR35" s="4" t="s">
        <v>196</v>
      </c>
      <c r="AS35" s="5">
        <f t="shared" si="0"/>
        <v>10.621324200913243</v>
      </c>
    </row>
    <row r="36" spans="1:45" ht="14.25" customHeight="1" x14ac:dyDescent="0.55000000000000004">
      <c r="A36" s="4">
        <v>20.84</v>
      </c>
      <c r="B36" s="4">
        <v>30.05</v>
      </c>
      <c r="C36" s="4">
        <v>5470.25</v>
      </c>
      <c r="D36" s="4">
        <v>7.6</v>
      </c>
      <c r="E36" s="4" t="s">
        <v>1254</v>
      </c>
      <c r="F36" s="4" t="s">
        <v>1255</v>
      </c>
      <c r="G36" s="4" t="s">
        <v>1157</v>
      </c>
      <c r="H36" s="4" t="s">
        <v>1256</v>
      </c>
      <c r="I36" s="4">
        <v>0</v>
      </c>
      <c r="J36" s="4">
        <v>610.67999999999995</v>
      </c>
      <c r="K36" s="4">
        <f t="shared" si="1"/>
        <v>57.179999999999993</v>
      </c>
      <c r="L36" s="4">
        <f t="shared" si="2"/>
        <v>65</v>
      </c>
      <c r="M36" s="4">
        <f t="shared" si="3"/>
        <v>-7.8200000000000074</v>
      </c>
      <c r="N36" s="4">
        <v>7.18</v>
      </c>
      <c r="O36" s="4">
        <v>90.03</v>
      </c>
      <c r="P36" s="4">
        <v>73</v>
      </c>
      <c r="Q36" s="4">
        <v>19.3</v>
      </c>
      <c r="R36" s="4">
        <v>9.2100000000000009</v>
      </c>
      <c r="S36" s="4">
        <v>16</v>
      </c>
      <c r="T36" s="4">
        <v>4.8499999999999996</v>
      </c>
      <c r="U36" s="4">
        <v>8.9600000000000009</v>
      </c>
      <c r="V36" s="4">
        <v>3500.96</v>
      </c>
      <c r="W36" s="4">
        <v>1054.76</v>
      </c>
      <c r="X36" s="4">
        <v>1366.64</v>
      </c>
      <c r="Y36" s="4">
        <v>778.54</v>
      </c>
      <c r="Z36" s="4">
        <v>5.72</v>
      </c>
      <c r="AA36" s="4">
        <v>1.63</v>
      </c>
      <c r="AB36" s="4">
        <v>4.33</v>
      </c>
      <c r="AC36" s="4">
        <v>65.52</v>
      </c>
      <c r="AD36" s="4">
        <v>680</v>
      </c>
      <c r="AE36" s="4">
        <v>5900</v>
      </c>
      <c r="AF36" s="4">
        <v>83.13</v>
      </c>
      <c r="AG36" s="4">
        <v>0.59</v>
      </c>
      <c r="AH36" s="4">
        <v>10.45</v>
      </c>
      <c r="AI36" s="4">
        <v>47.13</v>
      </c>
      <c r="AJ36" s="4">
        <v>60</v>
      </c>
      <c r="AK36" s="4">
        <v>9</v>
      </c>
      <c r="AL36" s="4">
        <v>9</v>
      </c>
      <c r="AM36" s="4">
        <v>0.67</v>
      </c>
      <c r="AN36" s="4">
        <v>408</v>
      </c>
      <c r="AO36" s="4">
        <v>414</v>
      </c>
      <c r="AP36" s="4">
        <v>358822.51</v>
      </c>
      <c r="AQ36" s="4">
        <v>183562.15</v>
      </c>
      <c r="AR36" s="4" t="s">
        <v>1257</v>
      </c>
      <c r="AS36" s="5">
        <f t="shared" si="0"/>
        <v>10.003445205479453</v>
      </c>
    </row>
    <row r="37" spans="1:45" ht="14.25" customHeight="1" x14ac:dyDescent="0.55000000000000004">
      <c r="A37" s="4">
        <v>20.78</v>
      </c>
      <c r="B37" s="4">
        <v>29.95</v>
      </c>
      <c r="C37" s="4">
        <v>5493.99</v>
      </c>
      <c r="D37" s="4">
        <v>7.59</v>
      </c>
      <c r="E37" s="4" t="s">
        <v>1258</v>
      </c>
      <c r="F37" s="4" t="s">
        <v>1259</v>
      </c>
      <c r="G37" s="4" t="s">
        <v>1220</v>
      </c>
      <c r="H37" s="4" t="s">
        <v>1260</v>
      </c>
      <c r="I37" s="4">
        <v>0</v>
      </c>
      <c r="J37" s="4">
        <v>616.86</v>
      </c>
      <c r="K37" s="4">
        <f t="shared" si="1"/>
        <v>57.400000000000006</v>
      </c>
      <c r="L37" s="4">
        <f t="shared" si="2"/>
        <v>59.300000000000004</v>
      </c>
      <c r="M37" s="4">
        <f t="shared" si="3"/>
        <v>-1.8999999999999986</v>
      </c>
      <c r="N37" s="4">
        <v>7.19</v>
      </c>
      <c r="O37" s="4">
        <v>90.07</v>
      </c>
      <c r="P37" s="4">
        <v>87</v>
      </c>
      <c r="Q37" s="4">
        <v>17</v>
      </c>
      <c r="R37" s="4">
        <v>9.16</v>
      </c>
      <c r="S37" s="4">
        <v>15.46</v>
      </c>
      <c r="T37" s="4">
        <v>5.32</v>
      </c>
      <c r="U37" s="4">
        <v>8.91</v>
      </c>
      <c r="V37" s="4">
        <v>3516.16</v>
      </c>
      <c r="W37" s="4">
        <v>1059.1099999999999</v>
      </c>
      <c r="X37" s="4">
        <v>1369.48</v>
      </c>
      <c r="Y37" s="4">
        <v>781.24</v>
      </c>
      <c r="Z37" s="4">
        <v>6.78</v>
      </c>
      <c r="AA37" s="4">
        <v>1.63</v>
      </c>
      <c r="AB37" s="4">
        <v>4.33</v>
      </c>
      <c r="AC37" s="4">
        <v>63.27</v>
      </c>
      <c r="AD37" s="4">
        <v>680</v>
      </c>
      <c r="AE37" s="4">
        <v>5900</v>
      </c>
      <c r="AF37" s="4">
        <v>82.7</v>
      </c>
      <c r="AG37" s="4">
        <v>0.59</v>
      </c>
      <c r="AH37" s="4">
        <v>10.46</v>
      </c>
      <c r="AI37" s="4">
        <v>55.64</v>
      </c>
      <c r="AJ37" s="4">
        <v>60</v>
      </c>
      <c r="AK37" s="4">
        <v>9</v>
      </c>
      <c r="AL37" s="4">
        <v>9</v>
      </c>
      <c r="AM37" s="4">
        <v>0.56000000000000005</v>
      </c>
      <c r="AN37" s="4">
        <v>408</v>
      </c>
      <c r="AO37" s="4">
        <v>413.08</v>
      </c>
      <c r="AP37" s="4">
        <v>402051.74</v>
      </c>
      <c r="AQ37" s="4">
        <v>185782.13</v>
      </c>
      <c r="AR37" s="4" t="s">
        <v>201</v>
      </c>
      <c r="AS37" s="5">
        <f t="shared" si="0"/>
        <v>12.344155821917807</v>
      </c>
    </row>
    <row r="38" spans="1:45" ht="14.25" customHeight="1" x14ac:dyDescent="0.55000000000000004">
      <c r="A38" s="4">
        <v>19.95</v>
      </c>
      <c r="B38" s="4">
        <v>29.24</v>
      </c>
      <c r="C38" s="4">
        <v>5516.57</v>
      </c>
      <c r="D38" s="4">
        <v>7.6</v>
      </c>
      <c r="E38" s="4" t="s">
        <v>1261</v>
      </c>
      <c r="F38" s="4" t="s">
        <v>1262</v>
      </c>
      <c r="G38" s="4" t="s">
        <v>1161</v>
      </c>
      <c r="H38" s="4" t="s">
        <v>1263</v>
      </c>
      <c r="I38" s="4">
        <v>0</v>
      </c>
      <c r="J38" s="4">
        <v>561.64</v>
      </c>
      <c r="K38" s="4">
        <f t="shared" si="1"/>
        <v>53.980000000000004</v>
      </c>
      <c r="L38" s="4">
        <f t="shared" si="2"/>
        <v>58.31</v>
      </c>
      <c r="M38" s="4">
        <f t="shared" si="3"/>
        <v>-4.3299999999999983</v>
      </c>
      <c r="N38" s="4">
        <v>7.16</v>
      </c>
      <c r="O38" s="4">
        <v>90.08</v>
      </c>
      <c r="P38" s="4">
        <v>84</v>
      </c>
      <c r="Q38" s="4">
        <v>16.5</v>
      </c>
      <c r="R38" s="4">
        <v>9.2899999999999991</v>
      </c>
      <c r="S38" s="4">
        <v>14.63</v>
      </c>
      <c r="T38" s="4">
        <v>5.32</v>
      </c>
      <c r="U38" s="4">
        <v>9.82</v>
      </c>
      <c r="V38" s="4">
        <v>3530.61</v>
      </c>
      <c r="W38" s="4">
        <v>1068.55</v>
      </c>
      <c r="X38" s="4">
        <v>1426.43</v>
      </c>
      <c r="Y38" s="4">
        <v>797.83</v>
      </c>
      <c r="Z38" s="4">
        <v>8.33</v>
      </c>
      <c r="AA38" s="4">
        <v>1.64</v>
      </c>
      <c r="AB38" s="4">
        <v>4.32</v>
      </c>
      <c r="AC38" s="4">
        <v>63.6</v>
      </c>
      <c r="AD38" s="4">
        <v>680</v>
      </c>
      <c r="AE38" s="4">
        <v>5900</v>
      </c>
      <c r="AF38" s="4">
        <v>83.87</v>
      </c>
      <c r="AG38" s="4">
        <v>0.59</v>
      </c>
      <c r="AH38" s="4">
        <v>9.51</v>
      </c>
      <c r="AI38" s="4">
        <v>72.739999999999995</v>
      </c>
      <c r="AJ38" s="4">
        <v>60</v>
      </c>
      <c r="AK38" s="4">
        <v>9</v>
      </c>
      <c r="AL38" s="4">
        <v>9</v>
      </c>
      <c r="AM38" s="4">
        <v>0.43</v>
      </c>
      <c r="AN38" s="4">
        <v>408</v>
      </c>
      <c r="AO38" s="4">
        <v>411.89</v>
      </c>
      <c r="AP38" s="4">
        <v>351806.6</v>
      </c>
      <c r="AQ38" s="4">
        <v>268464.75</v>
      </c>
      <c r="AR38" s="4" t="s">
        <v>206</v>
      </c>
      <c r="AS38" s="5">
        <f t="shared" si="0"/>
        <v>4.7569549086757981</v>
      </c>
    </row>
    <row r="39" spans="1:45" ht="14.25" customHeight="1" x14ac:dyDescent="0.55000000000000004">
      <c r="A39" s="4">
        <v>20.98</v>
      </c>
      <c r="B39" s="4">
        <v>30.2</v>
      </c>
      <c r="C39" s="4">
        <v>5486.79</v>
      </c>
      <c r="D39" s="4">
        <v>7.6</v>
      </c>
      <c r="E39" s="4" t="s">
        <v>1264</v>
      </c>
      <c r="F39" s="4" t="s">
        <v>1265</v>
      </c>
      <c r="G39" s="4" t="s">
        <v>1192</v>
      </c>
      <c r="H39" s="4" t="s">
        <v>1266</v>
      </c>
      <c r="I39" s="4">
        <v>0</v>
      </c>
      <c r="J39" s="4">
        <v>607.78</v>
      </c>
      <c r="K39" s="4">
        <f t="shared" si="1"/>
        <v>56.830000000000005</v>
      </c>
      <c r="L39" s="4">
        <f t="shared" si="2"/>
        <v>64.789999999999992</v>
      </c>
      <c r="M39" s="4">
        <f t="shared" si="3"/>
        <v>-7.9599999999999866</v>
      </c>
      <c r="N39" s="4">
        <v>7.19</v>
      </c>
      <c r="O39" s="4">
        <v>90.01</v>
      </c>
      <c r="P39" s="4">
        <v>86</v>
      </c>
      <c r="Q39" s="4">
        <v>16</v>
      </c>
      <c r="R39" s="4">
        <v>9.23</v>
      </c>
      <c r="S39" s="4">
        <v>14.37</v>
      </c>
      <c r="T39" s="4">
        <v>6.6</v>
      </c>
      <c r="U39" s="4">
        <v>9.0299999999999994</v>
      </c>
      <c r="V39" s="4">
        <v>3511.54</v>
      </c>
      <c r="W39" s="4">
        <v>1058.93</v>
      </c>
      <c r="X39" s="4">
        <v>1378.62</v>
      </c>
      <c r="Y39" s="4">
        <v>783.26</v>
      </c>
      <c r="Z39" s="4">
        <v>5.7</v>
      </c>
      <c r="AA39" s="4">
        <v>1.64</v>
      </c>
      <c r="AB39" s="4">
        <v>4.3099999999999996</v>
      </c>
      <c r="AC39" s="4">
        <v>58.28</v>
      </c>
      <c r="AD39" s="4">
        <v>680</v>
      </c>
      <c r="AE39" s="4">
        <v>5900</v>
      </c>
      <c r="AF39" s="4">
        <v>83.28</v>
      </c>
      <c r="AG39" s="4">
        <v>0.59</v>
      </c>
      <c r="AH39" s="4">
        <v>10.37</v>
      </c>
      <c r="AI39" s="4">
        <v>47.28</v>
      </c>
      <c r="AJ39" s="4">
        <v>60</v>
      </c>
      <c r="AK39" s="4">
        <v>9</v>
      </c>
      <c r="AL39" s="4">
        <v>9</v>
      </c>
      <c r="AM39" s="4">
        <v>0.66</v>
      </c>
      <c r="AN39" s="4">
        <v>408</v>
      </c>
      <c r="AO39" s="4">
        <v>413.98</v>
      </c>
      <c r="AP39" s="4">
        <v>353300.4</v>
      </c>
      <c r="AQ39" s="4">
        <v>180079.59</v>
      </c>
      <c r="AR39" s="4" t="s">
        <v>211</v>
      </c>
      <c r="AS39" s="5">
        <f t="shared" si="0"/>
        <v>9.8870325342465772</v>
      </c>
    </row>
    <row r="40" spans="1:45" ht="14.25" customHeight="1" x14ac:dyDescent="0.55000000000000004">
      <c r="A40" s="4">
        <v>22.1</v>
      </c>
      <c r="B40" s="4">
        <v>31.27</v>
      </c>
      <c r="C40" s="4">
        <v>5532.53</v>
      </c>
      <c r="D40" s="4">
        <v>7.6</v>
      </c>
      <c r="E40" s="4" t="s">
        <v>1267</v>
      </c>
      <c r="F40" s="4" t="s">
        <v>1268</v>
      </c>
      <c r="G40" s="4" t="s">
        <v>1220</v>
      </c>
      <c r="H40" s="4" t="s">
        <v>1269</v>
      </c>
      <c r="I40" s="4">
        <v>0</v>
      </c>
      <c r="J40" s="4">
        <v>690.05</v>
      </c>
      <c r="K40" s="4">
        <f t="shared" si="1"/>
        <v>62.330000000000005</v>
      </c>
      <c r="L40" s="4">
        <f t="shared" si="2"/>
        <v>65.25</v>
      </c>
      <c r="M40" s="4">
        <f t="shared" si="3"/>
        <v>-2.9199999999999946</v>
      </c>
      <c r="N40" s="4">
        <v>7.24</v>
      </c>
      <c r="O40" s="4">
        <v>89.95</v>
      </c>
      <c r="P40" s="4">
        <v>74</v>
      </c>
      <c r="Q40" s="4">
        <v>21.5</v>
      </c>
      <c r="R40" s="4">
        <v>9.17</v>
      </c>
      <c r="S40" s="4">
        <v>18.2</v>
      </c>
      <c r="T40" s="4">
        <v>3.9</v>
      </c>
      <c r="U40" s="4">
        <v>8.02</v>
      </c>
      <c r="V40" s="4">
        <v>3540.82</v>
      </c>
      <c r="W40" s="4">
        <v>1061.55</v>
      </c>
      <c r="X40" s="4">
        <v>1327.17</v>
      </c>
      <c r="Y40" s="4">
        <v>773.4</v>
      </c>
      <c r="Z40" s="4">
        <v>7.64</v>
      </c>
      <c r="AA40" s="4">
        <v>1.65</v>
      </c>
      <c r="AB40" s="4">
        <v>4.3</v>
      </c>
      <c r="AC40" s="4">
        <v>70.14</v>
      </c>
      <c r="AD40" s="4">
        <v>680</v>
      </c>
      <c r="AE40" s="4">
        <v>5900</v>
      </c>
      <c r="AF40" s="4">
        <v>82.79</v>
      </c>
      <c r="AG40" s="4">
        <v>0.59</v>
      </c>
      <c r="AH40" s="4">
        <v>11.8</v>
      </c>
      <c r="AI40" s="4">
        <v>57.78</v>
      </c>
      <c r="AJ40" s="4">
        <v>60</v>
      </c>
      <c r="AK40" s="4">
        <v>9</v>
      </c>
      <c r="AL40" s="4">
        <v>9</v>
      </c>
      <c r="AM40" s="4">
        <v>0.54</v>
      </c>
      <c r="AN40" s="4">
        <v>408</v>
      </c>
      <c r="AO40" s="4">
        <v>412.89</v>
      </c>
      <c r="AP40" s="4">
        <v>392513.85</v>
      </c>
      <c r="AQ40" s="4">
        <v>274964.44</v>
      </c>
      <c r="AR40" s="4" t="s">
        <v>216</v>
      </c>
      <c r="AS40" s="5">
        <f t="shared" si="0"/>
        <v>6.7094412100456609</v>
      </c>
    </row>
    <row r="41" spans="1:45" ht="14.25" customHeight="1" x14ac:dyDescent="0.55000000000000004">
      <c r="A41" s="4">
        <v>22.36</v>
      </c>
      <c r="B41" s="4">
        <v>31.54</v>
      </c>
      <c r="C41" s="4">
        <v>5534.5</v>
      </c>
      <c r="D41" s="4">
        <v>7.6</v>
      </c>
      <c r="E41" s="4" t="s">
        <v>1270</v>
      </c>
      <c r="F41" s="4" t="s">
        <v>1271</v>
      </c>
      <c r="G41" s="4" t="s">
        <v>1272</v>
      </c>
      <c r="H41" s="4" t="s">
        <v>1273</v>
      </c>
      <c r="I41" s="4">
        <v>0</v>
      </c>
      <c r="J41" s="4">
        <v>680.63</v>
      </c>
      <c r="K41" s="4">
        <f t="shared" si="1"/>
        <v>62.11</v>
      </c>
      <c r="L41" s="4">
        <f t="shared" si="2"/>
        <v>62</v>
      </c>
      <c r="M41" s="4">
        <f t="shared" si="3"/>
        <v>0.10999999999999943</v>
      </c>
      <c r="N41" s="4">
        <v>7.24</v>
      </c>
      <c r="O41" s="4">
        <v>90.03</v>
      </c>
      <c r="P41" s="4">
        <v>77</v>
      </c>
      <c r="Q41" s="4">
        <v>21.4</v>
      </c>
      <c r="R41" s="4">
        <v>9.17</v>
      </c>
      <c r="S41" s="4">
        <v>18.489999999999998</v>
      </c>
      <c r="T41" s="4">
        <v>3.87</v>
      </c>
      <c r="U41" s="4">
        <v>8.1300000000000008</v>
      </c>
      <c r="V41" s="4">
        <v>3542.08</v>
      </c>
      <c r="W41" s="4">
        <v>1063.08</v>
      </c>
      <c r="X41" s="4">
        <v>1337.87</v>
      </c>
      <c r="Y41" s="4">
        <v>776.57</v>
      </c>
      <c r="Z41" s="4">
        <v>11.02</v>
      </c>
      <c r="AA41" s="4">
        <v>1.66</v>
      </c>
      <c r="AB41" s="4">
        <v>4.28</v>
      </c>
      <c r="AC41" s="4">
        <v>70.31</v>
      </c>
      <c r="AD41" s="4">
        <v>680</v>
      </c>
      <c r="AE41" s="4">
        <v>5900</v>
      </c>
      <c r="AF41" s="4">
        <v>82.81</v>
      </c>
      <c r="AG41" s="4">
        <v>0.59</v>
      </c>
      <c r="AH41" s="4">
        <v>11.61</v>
      </c>
      <c r="AI41" s="4">
        <v>83.61</v>
      </c>
      <c r="AJ41" s="4">
        <v>60</v>
      </c>
      <c r="AK41" s="4">
        <v>9</v>
      </c>
      <c r="AL41" s="4">
        <v>9</v>
      </c>
      <c r="AM41" s="4">
        <v>0.38</v>
      </c>
      <c r="AN41" s="4">
        <v>408</v>
      </c>
      <c r="AO41" s="4">
        <v>411.38</v>
      </c>
      <c r="AP41" s="4">
        <v>397453.02</v>
      </c>
      <c r="AQ41" s="4">
        <v>352238.33</v>
      </c>
      <c r="AR41" s="4" t="s">
        <v>221</v>
      </c>
      <c r="AS41" s="5">
        <f t="shared" si="0"/>
        <v>2.5807471461187217</v>
      </c>
    </row>
    <row r="42" spans="1:45" ht="14.25" customHeight="1" x14ac:dyDescent="0.55000000000000004">
      <c r="A42" s="4">
        <v>20.22</v>
      </c>
      <c r="B42" s="4">
        <v>29.5</v>
      </c>
      <c r="C42" s="4">
        <v>5477.73</v>
      </c>
      <c r="D42" s="4">
        <v>7.6</v>
      </c>
      <c r="E42" s="4" t="s">
        <v>1274</v>
      </c>
      <c r="F42" s="4" t="s">
        <v>1275</v>
      </c>
      <c r="G42" s="4" t="s">
        <v>1276</v>
      </c>
      <c r="H42" s="4" t="s">
        <v>1277</v>
      </c>
      <c r="I42" s="4">
        <v>0</v>
      </c>
      <c r="J42" s="4">
        <v>631.61</v>
      </c>
      <c r="K42" s="4">
        <f t="shared" si="1"/>
        <v>58.45</v>
      </c>
      <c r="L42" s="4">
        <f t="shared" si="2"/>
        <v>59.22</v>
      </c>
      <c r="M42" s="4">
        <f t="shared" si="3"/>
        <v>-0.76999999999999602</v>
      </c>
      <c r="N42" s="4">
        <v>7.2</v>
      </c>
      <c r="O42" s="4">
        <v>90.04</v>
      </c>
      <c r="P42" s="4">
        <v>86</v>
      </c>
      <c r="Q42" s="4">
        <v>16.5</v>
      </c>
      <c r="R42" s="4">
        <v>9.2899999999999991</v>
      </c>
      <c r="S42" s="4">
        <v>14.86</v>
      </c>
      <c r="T42" s="4">
        <v>5.36</v>
      </c>
      <c r="U42" s="4">
        <v>8.67</v>
      </c>
      <c r="V42" s="4">
        <v>3505.74</v>
      </c>
      <c r="W42" s="4">
        <v>1055.1099999999999</v>
      </c>
      <c r="X42" s="4">
        <v>1355.72</v>
      </c>
      <c r="Y42" s="4">
        <v>776.54</v>
      </c>
      <c r="Z42" s="4">
        <v>8.8800000000000008</v>
      </c>
      <c r="AA42" s="4">
        <v>1.62</v>
      </c>
      <c r="AB42" s="4">
        <v>4.3600000000000003</v>
      </c>
      <c r="AC42" s="4">
        <v>63.41</v>
      </c>
      <c r="AD42" s="4">
        <v>680</v>
      </c>
      <c r="AE42" s="4">
        <v>5900</v>
      </c>
      <c r="AF42" s="4">
        <v>83.82</v>
      </c>
      <c r="AG42" s="4">
        <v>0.59</v>
      </c>
      <c r="AH42" s="4">
        <v>10.92</v>
      </c>
      <c r="AI42" s="4">
        <v>71.62</v>
      </c>
      <c r="AJ42" s="4">
        <v>60</v>
      </c>
      <c r="AK42" s="4">
        <v>9</v>
      </c>
      <c r="AL42" s="4">
        <v>9</v>
      </c>
      <c r="AM42" s="4">
        <v>0.44</v>
      </c>
      <c r="AN42" s="4">
        <v>408</v>
      </c>
      <c r="AO42" s="4">
        <v>411.95</v>
      </c>
      <c r="AP42" s="4">
        <v>394940.4</v>
      </c>
      <c r="AQ42" s="4">
        <v>274740.43</v>
      </c>
      <c r="AR42" s="4" t="s">
        <v>226</v>
      </c>
      <c r="AS42" s="5">
        <f t="shared" si="0"/>
        <v>6.8607288812785407</v>
      </c>
    </row>
    <row r="43" spans="1:45" ht="14.25" customHeight="1" x14ac:dyDescent="0.55000000000000004">
      <c r="A43" s="4">
        <v>22.38</v>
      </c>
      <c r="B43" s="4">
        <v>31.65</v>
      </c>
      <c r="C43" s="4">
        <v>5497.59</v>
      </c>
      <c r="D43" s="4">
        <v>7.6</v>
      </c>
      <c r="E43" s="4" t="s">
        <v>1278</v>
      </c>
      <c r="F43" s="4" t="s">
        <v>1279</v>
      </c>
      <c r="G43" s="4" t="s">
        <v>1220</v>
      </c>
      <c r="H43" s="4" t="s">
        <v>1280</v>
      </c>
      <c r="I43" s="4">
        <v>0</v>
      </c>
      <c r="J43" s="4">
        <v>772.02</v>
      </c>
      <c r="K43" s="4">
        <f t="shared" si="1"/>
        <v>69.72999999999999</v>
      </c>
      <c r="L43" s="4">
        <f t="shared" si="2"/>
        <v>71.38</v>
      </c>
      <c r="M43" s="4">
        <f t="shared" si="3"/>
        <v>-1.6500000000000057</v>
      </c>
      <c r="N43" s="4">
        <v>7.29</v>
      </c>
      <c r="O43" s="4">
        <v>90.04</v>
      </c>
      <c r="P43" s="4">
        <v>63</v>
      </c>
      <c r="Q43" s="4">
        <v>23.1</v>
      </c>
      <c r="R43" s="4">
        <v>9.27</v>
      </c>
      <c r="S43" s="4">
        <v>18.21</v>
      </c>
      <c r="T43" s="4">
        <v>4.17</v>
      </c>
      <c r="U43" s="4">
        <v>7.12</v>
      </c>
      <c r="V43" s="4">
        <v>3518.46</v>
      </c>
      <c r="W43" s="4">
        <v>1050.1300000000001</v>
      </c>
      <c r="X43" s="4">
        <v>1270.68</v>
      </c>
      <c r="Y43" s="4">
        <v>756.05</v>
      </c>
      <c r="Z43" s="4">
        <v>8.3000000000000007</v>
      </c>
      <c r="AA43" s="4">
        <v>1.63</v>
      </c>
      <c r="AB43" s="4">
        <v>4.33</v>
      </c>
      <c r="AC43" s="4">
        <v>68.959999999999994</v>
      </c>
      <c r="AD43" s="4">
        <v>680</v>
      </c>
      <c r="AE43" s="4">
        <v>5900</v>
      </c>
      <c r="AF43" s="4">
        <v>83.67</v>
      </c>
      <c r="AG43" s="4">
        <v>0.59</v>
      </c>
      <c r="AH43" s="4">
        <v>13.67</v>
      </c>
      <c r="AI43" s="4">
        <v>56.12</v>
      </c>
      <c r="AJ43" s="4">
        <v>60</v>
      </c>
      <c r="AK43" s="4">
        <v>9</v>
      </c>
      <c r="AL43" s="4">
        <v>9</v>
      </c>
      <c r="AM43" s="4">
        <v>0.56000000000000005</v>
      </c>
      <c r="AN43" s="4">
        <v>408</v>
      </c>
      <c r="AO43" s="4">
        <v>413.04</v>
      </c>
      <c r="AP43" s="4">
        <v>418683.02</v>
      </c>
      <c r="AQ43" s="4">
        <v>339514.03</v>
      </c>
      <c r="AR43" s="4" t="s">
        <v>231</v>
      </c>
      <c r="AS43" s="5">
        <f t="shared" si="0"/>
        <v>4.5187779680365292</v>
      </c>
    </row>
    <row r="44" spans="1:45" ht="14.25" customHeight="1" x14ac:dyDescent="0.55000000000000004">
      <c r="A44" s="4">
        <v>21</v>
      </c>
      <c r="B44" s="4">
        <v>30.2</v>
      </c>
      <c r="C44" s="4">
        <v>5489.42</v>
      </c>
      <c r="D44" s="4">
        <v>7.6</v>
      </c>
      <c r="E44" s="4" t="s">
        <v>1281</v>
      </c>
      <c r="F44" s="4" t="s">
        <v>1282</v>
      </c>
      <c r="G44" s="4" t="s">
        <v>1283</v>
      </c>
      <c r="H44" s="4" t="s">
        <v>1284</v>
      </c>
      <c r="I44" s="4">
        <v>0</v>
      </c>
      <c r="J44" s="4">
        <v>686.17</v>
      </c>
      <c r="K44" s="4">
        <f t="shared" si="1"/>
        <v>61.86</v>
      </c>
      <c r="L44" s="4">
        <f t="shared" si="2"/>
        <v>64.61</v>
      </c>
      <c r="M44" s="4">
        <f t="shared" si="3"/>
        <v>-2.75</v>
      </c>
      <c r="N44" s="4">
        <v>7.23</v>
      </c>
      <c r="O44" s="4">
        <v>89.93</v>
      </c>
      <c r="P44" s="4">
        <v>86</v>
      </c>
      <c r="Q44" s="4">
        <v>17.3</v>
      </c>
      <c r="R44" s="4">
        <v>9.2100000000000009</v>
      </c>
      <c r="S44" s="4">
        <v>15.64</v>
      </c>
      <c r="T44" s="4">
        <v>5.36</v>
      </c>
      <c r="U44" s="4">
        <v>8</v>
      </c>
      <c r="V44" s="4">
        <v>3513.23</v>
      </c>
      <c r="W44" s="4">
        <v>1053.3399999999999</v>
      </c>
      <c r="X44" s="4">
        <v>1318.04</v>
      </c>
      <c r="Y44" s="4">
        <v>767.61</v>
      </c>
      <c r="Z44" s="4">
        <v>6.7</v>
      </c>
      <c r="AA44" s="4">
        <v>1.62</v>
      </c>
      <c r="AB44" s="4">
        <v>4.3600000000000003</v>
      </c>
      <c r="AC44" s="4">
        <v>63.23</v>
      </c>
      <c r="AD44" s="4">
        <v>680</v>
      </c>
      <c r="AE44" s="4">
        <v>5900</v>
      </c>
      <c r="AF44" s="4">
        <v>83.13</v>
      </c>
      <c r="AG44" s="4">
        <v>0.59</v>
      </c>
      <c r="AH44" s="4">
        <v>11.87</v>
      </c>
      <c r="AI44" s="4">
        <v>51.06</v>
      </c>
      <c r="AJ44" s="4">
        <v>60</v>
      </c>
      <c r="AK44" s="4">
        <v>9</v>
      </c>
      <c r="AL44" s="4">
        <v>9</v>
      </c>
      <c r="AM44" s="4">
        <v>0.62</v>
      </c>
      <c r="AN44" s="4">
        <v>408</v>
      </c>
      <c r="AO44" s="4">
        <v>413.54</v>
      </c>
      <c r="AP44" s="4">
        <v>404538.1</v>
      </c>
      <c r="AQ44" s="4">
        <v>216526.5</v>
      </c>
      <c r="AR44" s="4" t="s">
        <v>236</v>
      </c>
      <c r="AS44" s="5">
        <f t="shared" si="0"/>
        <v>10.731255707762555</v>
      </c>
    </row>
    <row r="45" spans="1:45" ht="14.25" customHeight="1" x14ac:dyDescent="0.55000000000000004">
      <c r="A45" s="4">
        <v>20.16</v>
      </c>
      <c r="B45" s="4">
        <v>29.41</v>
      </c>
      <c r="C45" s="4">
        <v>5452.2</v>
      </c>
      <c r="D45" s="4">
        <v>7.6</v>
      </c>
      <c r="E45" s="4" t="s">
        <v>1285</v>
      </c>
      <c r="F45" s="4" t="s">
        <v>1286</v>
      </c>
      <c r="G45" s="4" t="s">
        <v>1176</v>
      </c>
      <c r="H45" s="4" t="s">
        <v>1287</v>
      </c>
      <c r="I45" s="4">
        <v>0</v>
      </c>
      <c r="J45" s="4">
        <v>673.19</v>
      </c>
      <c r="K45" s="4">
        <f t="shared" si="1"/>
        <v>61.349999999999994</v>
      </c>
      <c r="L45" s="4">
        <f t="shared" si="2"/>
        <v>61.349999999999994</v>
      </c>
      <c r="M45" s="4">
        <f t="shared" si="3"/>
        <v>0</v>
      </c>
      <c r="N45" s="4">
        <v>7.22</v>
      </c>
      <c r="O45" s="4">
        <v>90.07</v>
      </c>
      <c r="P45" s="4">
        <v>77</v>
      </c>
      <c r="Q45" s="4">
        <v>17</v>
      </c>
      <c r="R45" s="4">
        <v>9.25</v>
      </c>
      <c r="S45" s="4">
        <v>14.3</v>
      </c>
      <c r="T45" s="4">
        <v>5.86</v>
      </c>
      <c r="U45" s="4">
        <v>8.1</v>
      </c>
      <c r="V45" s="4">
        <v>3489.41</v>
      </c>
      <c r="W45" s="4">
        <v>1046.8699999999999</v>
      </c>
      <c r="X45" s="4">
        <v>1316.49</v>
      </c>
      <c r="Y45" s="4">
        <v>764.24</v>
      </c>
      <c r="Z45" s="4">
        <v>15.82</v>
      </c>
      <c r="AA45" s="4">
        <v>1.6</v>
      </c>
      <c r="AB45" s="4">
        <v>4.3899999999999997</v>
      </c>
      <c r="AC45" s="4">
        <v>61.22</v>
      </c>
      <c r="AD45" s="4">
        <v>680</v>
      </c>
      <c r="AE45" s="4">
        <v>5900</v>
      </c>
      <c r="AF45" s="4">
        <v>83.52</v>
      </c>
      <c r="AG45" s="4">
        <v>0.59</v>
      </c>
      <c r="AH45" s="4">
        <v>11.77</v>
      </c>
      <c r="AI45" s="4">
        <v>121.52</v>
      </c>
      <c r="AJ45" s="4">
        <v>60</v>
      </c>
      <c r="AK45" s="4">
        <v>9</v>
      </c>
      <c r="AL45" s="4">
        <v>9</v>
      </c>
      <c r="AM45" s="4">
        <v>0.26</v>
      </c>
      <c r="AN45" s="4">
        <v>408</v>
      </c>
      <c r="AO45" s="4">
        <v>410.33</v>
      </c>
      <c r="AP45" s="4">
        <v>380134.84</v>
      </c>
      <c r="AQ45" s="4">
        <v>380134.84</v>
      </c>
      <c r="AR45" s="4" t="s">
        <v>241</v>
      </c>
      <c r="AS45" s="5">
        <f t="shared" si="0"/>
        <v>0</v>
      </c>
    </row>
    <row r="46" spans="1:45" ht="14.25" customHeight="1" x14ac:dyDescent="0.55000000000000004">
      <c r="A46" s="4">
        <v>20.32</v>
      </c>
      <c r="B46" s="4">
        <v>29.7</v>
      </c>
      <c r="C46" s="4">
        <v>5498.98</v>
      </c>
      <c r="D46" s="4">
        <v>7.6</v>
      </c>
      <c r="E46" s="4" t="s">
        <v>1288</v>
      </c>
      <c r="F46" s="4" t="s">
        <v>1289</v>
      </c>
      <c r="G46" s="4" t="s">
        <v>1227</v>
      </c>
      <c r="H46" s="4" t="s">
        <v>1290</v>
      </c>
      <c r="I46" s="4">
        <v>0</v>
      </c>
      <c r="J46" s="4">
        <v>624.95000000000005</v>
      </c>
      <c r="K46" s="4">
        <f t="shared" si="1"/>
        <v>58</v>
      </c>
      <c r="L46" s="4">
        <f t="shared" si="2"/>
        <v>62.98</v>
      </c>
      <c r="M46" s="4">
        <f t="shared" si="3"/>
        <v>-4.9799999999999969</v>
      </c>
      <c r="N46" s="4">
        <v>7.19</v>
      </c>
      <c r="O46" s="4">
        <v>89.99</v>
      </c>
      <c r="P46" s="4">
        <v>86</v>
      </c>
      <c r="Q46" s="4">
        <v>16</v>
      </c>
      <c r="R46" s="4">
        <v>9.39</v>
      </c>
      <c r="S46" s="4">
        <v>14.37</v>
      </c>
      <c r="T46" s="4">
        <v>5.95</v>
      </c>
      <c r="U46" s="4">
        <v>8.8000000000000007</v>
      </c>
      <c r="V46" s="4">
        <v>3519.34</v>
      </c>
      <c r="W46" s="4">
        <v>1059.1600000000001</v>
      </c>
      <c r="X46" s="4">
        <v>1362.19</v>
      </c>
      <c r="Y46" s="4">
        <v>779.62</v>
      </c>
      <c r="Z46" s="4">
        <v>8.2899999999999991</v>
      </c>
      <c r="AA46" s="4">
        <v>1.62</v>
      </c>
      <c r="AB46" s="4">
        <v>4.3499999999999996</v>
      </c>
      <c r="AC46" s="4">
        <v>61.22</v>
      </c>
      <c r="AD46" s="4">
        <v>680</v>
      </c>
      <c r="AE46" s="4">
        <v>5900</v>
      </c>
      <c r="AF46" s="4">
        <v>84.72</v>
      </c>
      <c r="AG46" s="4">
        <v>0.59</v>
      </c>
      <c r="AH46" s="4">
        <v>10.86</v>
      </c>
      <c r="AI46" s="4">
        <v>67.34</v>
      </c>
      <c r="AJ46" s="4">
        <v>60</v>
      </c>
      <c r="AK46" s="4">
        <v>9</v>
      </c>
      <c r="AL46" s="4">
        <v>9</v>
      </c>
      <c r="AM46" s="4">
        <v>0.47</v>
      </c>
      <c r="AN46" s="4">
        <v>408</v>
      </c>
      <c r="AO46" s="4">
        <v>412.2</v>
      </c>
      <c r="AP46" s="4">
        <v>357483.49</v>
      </c>
      <c r="AQ46" s="4">
        <v>303633.34000000003</v>
      </c>
      <c r="AR46" s="4" t="s">
        <v>245</v>
      </c>
      <c r="AS46" s="5">
        <f t="shared" si="0"/>
        <v>3.0736386986301349</v>
      </c>
    </row>
    <row r="47" spans="1:45" ht="14.25" customHeight="1" x14ac:dyDescent="0.55000000000000004">
      <c r="A47" s="4">
        <v>22.34</v>
      </c>
      <c r="B47" s="4">
        <v>31.6</v>
      </c>
      <c r="C47" s="4">
        <v>5485.71</v>
      </c>
      <c r="D47" s="4">
        <v>7.6</v>
      </c>
      <c r="E47" s="4" t="s">
        <v>1291</v>
      </c>
      <c r="F47" s="4" t="s">
        <v>1292</v>
      </c>
      <c r="G47" s="4" t="s">
        <v>1293</v>
      </c>
      <c r="H47" s="4" t="s">
        <v>1294</v>
      </c>
      <c r="I47" s="4">
        <v>0</v>
      </c>
      <c r="J47" s="4">
        <v>743.92</v>
      </c>
      <c r="K47" s="4">
        <f t="shared" si="1"/>
        <v>66.52</v>
      </c>
      <c r="L47" s="4">
        <f t="shared" si="2"/>
        <v>70.84</v>
      </c>
      <c r="M47" s="4">
        <f t="shared" si="3"/>
        <v>-4.3200000000000074</v>
      </c>
      <c r="N47" s="4">
        <v>7.28</v>
      </c>
      <c r="O47" s="4">
        <v>90.02</v>
      </c>
      <c r="P47" s="4">
        <v>61</v>
      </c>
      <c r="Q47" s="4">
        <v>23</v>
      </c>
      <c r="R47" s="4">
        <v>9.25</v>
      </c>
      <c r="S47" s="4">
        <v>17.84</v>
      </c>
      <c r="T47" s="4">
        <v>4.5</v>
      </c>
      <c r="U47" s="4">
        <v>7.37</v>
      </c>
      <c r="V47" s="4">
        <v>3510.85</v>
      </c>
      <c r="W47" s="4">
        <v>1050.5</v>
      </c>
      <c r="X47" s="4">
        <v>1291.54</v>
      </c>
      <c r="Y47" s="4">
        <v>761.05</v>
      </c>
      <c r="Z47" s="4">
        <v>6.1</v>
      </c>
      <c r="AA47" s="4">
        <v>1.64</v>
      </c>
      <c r="AB47" s="4">
        <v>4.32</v>
      </c>
      <c r="AC47" s="4">
        <v>67.28</v>
      </c>
      <c r="AD47" s="4">
        <v>680</v>
      </c>
      <c r="AE47" s="4">
        <v>5900</v>
      </c>
      <c r="AF47" s="4">
        <v>83.51</v>
      </c>
      <c r="AG47" s="4">
        <v>0.59</v>
      </c>
      <c r="AH47" s="4">
        <v>13.1</v>
      </c>
      <c r="AI47" s="4">
        <v>43.24</v>
      </c>
      <c r="AJ47" s="4">
        <v>60</v>
      </c>
      <c r="AK47" s="4">
        <v>9</v>
      </c>
      <c r="AL47" s="4">
        <v>9</v>
      </c>
      <c r="AM47" s="4">
        <v>0.73</v>
      </c>
      <c r="AN47" s="4">
        <v>408</v>
      </c>
      <c r="AO47" s="4">
        <v>414.54</v>
      </c>
      <c r="AP47" s="4">
        <v>405408.33</v>
      </c>
      <c r="AQ47" s="4">
        <v>206965.11</v>
      </c>
      <c r="AR47" s="4" t="s">
        <v>250</v>
      </c>
      <c r="AS47" s="5">
        <f t="shared" si="0"/>
        <v>11.326667808219179</v>
      </c>
    </row>
    <row r="48" spans="1:45" ht="14.25" customHeight="1" x14ac:dyDescent="0.55000000000000004">
      <c r="A48" s="4">
        <v>20.16</v>
      </c>
      <c r="B48" s="4">
        <v>29.42</v>
      </c>
      <c r="C48" s="4">
        <v>5528.05</v>
      </c>
      <c r="D48" s="4">
        <v>7.6</v>
      </c>
      <c r="E48" s="4" t="s">
        <v>1295</v>
      </c>
      <c r="F48" s="4" t="s">
        <v>1296</v>
      </c>
      <c r="G48" s="4" t="s">
        <v>1169</v>
      </c>
      <c r="H48" s="4" t="s">
        <v>1297</v>
      </c>
      <c r="I48" s="4">
        <v>0</v>
      </c>
      <c r="J48" s="4">
        <v>556.5</v>
      </c>
      <c r="K48" s="4">
        <f t="shared" si="1"/>
        <v>54.12</v>
      </c>
      <c r="L48" s="4">
        <f t="shared" si="2"/>
        <v>61.019999999999996</v>
      </c>
      <c r="M48" s="4">
        <f t="shared" si="3"/>
        <v>-6.8999999999999986</v>
      </c>
      <c r="N48" s="4">
        <v>7.15</v>
      </c>
      <c r="O48" s="4">
        <v>89.97</v>
      </c>
      <c r="P48" s="4">
        <v>84</v>
      </c>
      <c r="Q48" s="4">
        <v>16.8</v>
      </c>
      <c r="R48" s="4">
        <v>9.25</v>
      </c>
      <c r="S48" s="4">
        <v>14.92</v>
      </c>
      <c r="T48" s="4">
        <v>5.24</v>
      </c>
      <c r="U48" s="4">
        <v>9.93</v>
      </c>
      <c r="V48" s="4">
        <v>3537.95</v>
      </c>
      <c r="W48" s="4">
        <v>1071.07</v>
      </c>
      <c r="X48" s="4">
        <v>1433.05</v>
      </c>
      <c r="Y48" s="4">
        <v>800.35</v>
      </c>
      <c r="Z48" s="4">
        <v>5.77</v>
      </c>
      <c r="AA48" s="4">
        <v>1.65</v>
      </c>
      <c r="AB48" s="4">
        <v>4.3</v>
      </c>
      <c r="AC48" s="4">
        <v>63.83</v>
      </c>
      <c r="AD48" s="4">
        <v>680</v>
      </c>
      <c r="AE48" s="4">
        <v>5900</v>
      </c>
      <c r="AF48" s="4">
        <v>83.52</v>
      </c>
      <c r="AG48" s="4">
        <v>0.59</v>
      </c>
      <c r="AH48" s="4">
        <v>9.35</v>
      </c>
      <c r="AI48" s="4">
        <v>50.2</v>
      </c>
      <c r="AJ48" s="4">
        <v>60</v>
      </c>
      <c r="AK48" s="4">
        <v>9</v>
      </c>
      <c r="AL48" s="4">
        <v>9</v>
      </c>
      <c r="AM48" s="4">
        <v>0.63</v>
      </c>
      <c r="AN48" s="4">
        <v>408</v>
      </c>
      <c r="AO48" s="4">
        <v>413.63</v>
      </c>
      <c r="AP48" s="4">
        <v>358111.33</v>
      </c>
      <c r="AQ48" s="4">
        <v>161527.10999999999</v>
      </c>
      <c r="AR48" s="4" t="s">
        <v>255</v>
      </c>
      <c r="AS48" s="5">
        <f t="shared" si="0"/>
        <v>11.220560502283107</v>
      </c>
    </row>
    <row r="49" spans="1:45" ht="14.25" customHeight="1" x14ac:dyDescent="0.55000000000000004">
      <c r="A49" s="4">
        <v>21.7</v>
      </c>
      <c r="B49" s="4">
        <v>30.89</v>
      </c>
      <c r="C49" s="4">
        <v>5536.4</v>
      </c>
      <c r="D49" s="4">
        <v>7.6</v>
      </c>
      <c r="E49" s="4" t="s">
        <v>1298</v>
      </c>
      <c r="F49" s="4" t="s">
        <v>1299</v>
      </c>
      <c r="G49" s="4" t="s">
        <v>1300</v>
      </c>
      <c r="H49" s="4" t="s">
        <v>1301</v>
      </c>
      <c r="I49" s="4">
        <v>0</v>
      </c>
      <c r="J49" s="4">
        <v>654.87</v>
      </c>
      <c r="K49" s="4">
        <f t="shared" si="1"/>
        <v>60.34</v>
      </c>
      <c r="L49" s="4">
        <f t="shared" si="2"/>
        <v>65.72999999999999</v>
      </c>
      <c r="M49" s="4">
        <f t="shared" si="3"/>
        <v>-5.3899999999999864</v>
      </c>
      <c r="N49" s="4">
        <v>7.21</v>
      </c>
      <c r="O49" s="4">
        <v>89.93</v>
      </c>
      <c r="P49" s="4">
        <v>73</v>
      </c>
      <c r="Q49" s="4">
        <v>21.2</v>
      </c>
      <c r="R49" s="4">
        <v>9.19</v>
      </c>
      <c r="S49" s="4">
        <v>17.79</v>
      </c>
      <c r="T49" s="4">
        <v>3.92</v>
      </c>
      <c r="U49" s="4">
        <v>8.4499999999999993</v>
      </c>
      <c r="V49" s="4">
        <v>3543.29</v>
      </c>
      <c r="W49" s="4">
        <v>1064.33</v>
      </c>
      <c r="X49" s="4">
        <v>1350.01</v>
      </c>
      <c r="Y49" s="4">
        <v>779.46</v>
      </c>
      <c r="Z49" s="4">
        <v>5.97</v>
      </c>
      <c r="AA49" s="4">
        <v>1.65</v>
      </c>
      <c r="AB49" s="4">
        <v>4.3</v>
      </c>
      <c r="AC49" s="4">
        <v>70.11</v>
      </c>
      <c r="AD49" s="4">
        <v>680</v>
      </c>
      <c r="AE49" s="4">
        <v>5900</v>
      </c>
      <c r="AF49" s="4">
        <v>82.92</v>
      </c>
      <c r="AG49" s="4">
        <v>0.59</v>
      </c>
      <c r="AH49" s="4">
        <v>11.12</v>
      </c>
      <c r="AI49" s="4">
        <v>46.6</v>
      </c>
      <c r="AJ49" s="4">
        <v>60</v>
      </c>
      <c r="AK49" s="4">
        <v>9</v>
      </c>
      <c r="AL49" s="4">
        <v>9</v>
      </c>
      <c r="AM49" s="4">
        <v>0.67</v>
      </c>
      <c r="AN49" s="4">
        <v>408</v>
      </c>
      <c r="AO49" s="4">
        <v>414.07</v>
      </c>
      <c r="AP49" s="4">
        <v>388600.87</v>
      </c>
      <c r="AQ49" s="4">
        <v>186563.33</v>
      </c>
      <c r="AR49" s="4" t="s">
        <v>260</v>
      </c>
      <c r="AS49" s="5">
        <f t="shared" si="0"/>
        <v>11.531823059360731</v>
      </c>
    </row>
    <row r="50" spans="1:45" ht="14.25" customHeight="1" x14ac:dyDescent="0.55000000000000004">
      <c r="A50" s="4">
        <v>20.21</v>
      </c>
      <c r="B50" s="4">
        <v>29.4</v>
      </c>
      <c r="C50" s="4">
        <v>5484.67</v>
      </c>
      <c r="D50" s="4">
        <v>7.6</v>
      </c>
      <c r="E50" s="4" t="s">
        <v>1302</v>
      </c>
      <c r="F50" s="4" t="s">
        <v>1303</v>
      </c>
      <c r="G50" s="4" t="s">
        <v>1304</v>
      </c>
      <c r="H50" s="4" t="s">
        <v>1305</v>
      </c>
      <c r="I50" s="4">
        <v>0</v>
      </c>
      <c r="J50" s="4">
        <v>641.52</v>
      </c>
      <c r="K50" s="4">
        <f t="shared" si="1"/>
        <v>58.019999999999996</v>
      </c>
      <c r="L50" s="4">
        <f t="shared" si="2"/>
        <v>57.480000000000004</v>
      </c>
      <c r="M50" s="4">
        <f t="shared" si="3"/>
        <v>0.53999999999999204</v>
      </c>
      <c r="N50" s="4">
        <v>7.21</v>
      </c>
      <c r="O50" s="4">
        <v>90.02</v>
      </c>
      <c r="P50" s="4">
        <v>86</v>
      </c>
      <c r="Q50" s="4">
        <v>16.399999999999999</v>
      </c>
      <c r="R50" s="4">
        <v>9.1999999999999993</v>
      </c>
      <c r="S50" s="4">
        <v>14.76</v>
      </c>
      <c r="T50" s="4">
        <v>5.44</v>
      </c>
      <c r="U50" s="4">
        <v>8.5500000000000007</v>
      </c>
      <c r="V50" s="4">
        <v>3510.19</v>
      </c>
      <c r="W50" s="4">
        <v>1055.69</v>
      </c>
      <c r="X50" s="4">
        <v>1349.7</v>
      </c>
      <c r="Y50" s="4">
        <v>775.51</v>
      </c>
      <c r="Z50" s="4">
        <v>11.61</v>
      </c>
      <c r="AA50" s="4">
        <v>1.62</v>
      </c>
      <c r="AB50" s="4">
        <v>4.3600000000000003</v>
      </c>
      <c r="AC50" s="4">
        <v>62.82</v>
      </c>
      <c r="AD50" s="4">
        <v>680</v>
      </c>
      <c r="AE50" s="4">
        <v>5900</v>
      </c>
      <c r="AF50" s="4">
        <v>83.03</v>
      </c>
      <c r="AG50" s="4">
        <v>0.59</v>
      </c>
      <c r="AH50" s="4">
        <v>11</v>
      </c>
      <c r="AI50" s="4">
        <v>94.28</v>
      </c>
      <c r="AJ50" s="4">
        <v>60</v>
      </c>
      <c r="AK50" s="4">
        <v>9</v>
      </c>
      <c r="AL50" s="4">
        <v>9</v>
      </c>
      <c r="AM50" s="4">
        <v>0.33</v>
      </c>
      <c r="AN50" s="4">
        <v>408</v>
      </c>
      <c r="AO50" s="4">
        <v>411</v>
      </c>
      <c r="AP50" s="4">
        <v>386752.6</v>
      </c>
      <c r="AQ50" s="4">
        <v>332168.34999999998</v>
      </c>
      <c r="AR50" s="4" t="s">
        <v>265</v>
      </c>
      <c r="AS50" s="5">
        <f t="shared" si="0"/>
        <v>3.1155393835616438</v>
      </c>
    </row>
    <row r="51" spans="1:45" ht="14.25" customHeight="1" x14ac:dyDescent="0.55000000000000004">
      <c r="A51" s="4">
        <v>20.54</v>
      </c>
      <c r="B51" s="4">
        <v>29.71</v>
      </c>
      <c r="C51" s="4">
        <v>5469.91</v>
      </c>
      <c r="D51" s="4">
        <v>7.6</v>
      </c>
      <c r="E51" s="4" t="s">
        <v>1306</v>
      </c>
      <c r="F51" s="4" t="s">
        <v>1307</v>
      </c>
      <c r="G51" s="4" t="s">
        <v>1308</v>
      </c>
      <c r="H51" s="4" t="s">
        <v>1309</v>
      </c>
      <c r="I51" s="4">
        <v>0</v>
      </c>
      <c r="J51" s="4">
        <v>633.99</v>
      </c>
      <c r="K51" s="4">
        <f t="shared" si="1"/>
        <v>59.47</v>
      </c>
      <c r="L51" s="4">
        <f t="shared" si="2"/>
        <v>59.399999999999991</v>
      </c>
      <c r="M51" s="4">
        <f t="shared" si="3"/>
        <v>7.000000000000739E-2</v>
      </c>
      <c r="N51" s="4">
        <v>7.2</v>
      </c>
      <c r="O51" s="4">
        <v>89.94</v>
      </c>
      <c r="P51" s="4">
        <v>85</v>
      </c>
      <c r="Q51" s="4">
        <v>16.7</v>
      </c>
      <c r="R51" s="4">
        <v>9.16</v>
      </c>
      <c r="S51" s="4">
        <v>14.94</v>
      </c>
      <c r="T51" s="4">
        <v>5.61</v>
      </c>
      <c r="U51" s="4">
        <v>8.6300000000000008</v>
      </c>
      <c r="V51" s="4">
        <v>3500.74</v>
      </c>
      <c r="W51" s="4">
        <v>1053.4100000000001</v>
      </c>
      <c r="X51" s="4">
        <v>1351.84</v>
      </c>
      <c r="Y51" s="4">
        <v>774.92</v>
      </c>
      <c r="Z51" s="4">
        <v>11.51</v>
      </c>
      <c r="AA51" s="4">
        <v>1.63</v>
      </c>
      <c r="AB51" s="4">
        <v>4.3499999999999996</v>
      </c>
      <c r="AC51" s="4">
        <v>62.05</v>
      </c>
      <c r="AD51" s="4">
        <v>680</v>
      </c>
      <c r="AE51" s="4">
        <v>5900</v>
      </c>
      <c r="AF51" s="4">
        <v>82.72</v>
      </c>
      <c r="AG51" s="4">
        <v>0.59</v>
      </c>
      <c r="AH51" s="4">
        <v>10.84</v>
      </c>
      <c r="AI51" s="4">
        <v>91.23</v>
      </c>
      <c r="AJ51" s="4">
        <v>60</v>
      </c>
      <c r="AK51" s="4">
        <v>9</v>
      </c>
      <c r="AL51" s="4">
        <v>9</v>
      </c>
      <c r="AM51" s="4">
        <v>0.34</v>
      </c>
      <c r="AN51" s="4">
        <v>408</v>
      </c>
      <c r="AO51" s="4">
        <v>411.1</v>
      </c>
      <c r="AP51" s="4">
        <v>394234.39</v>
      </c>
      <c r="AQ51" s="4">
        <v>343125.68</v>
      </c>
      <c r="AR51" s="4" t="s">
        <v>270</v>
      </c>
      <c r="AS51" s="5">
        <f t="shared" si="0"/>
        <v>2.9171638127853892</v>
      </c>
    </row>
    <row r="52" spans="1:45" ht="14.25" customHeight="1" x14ac:dyDescent="0.55000000000000004">
      <c r="A52" s="4">
        <v>20.93</v>
      </c>
      <c r="B52" s="4">
        <v>30.15</v>
      </c>
      <c r="C52" s="4">
        <v>5478.4</v>
      </c>
      <c r="D52" s="4">
        <v>7.6</v>
      </c>
      <c r="E52" s="4" t="s">
        <v>1310</v>
      </c>
      <c r="F52" s="4" t="s">
        <v>1311</v>
      </c>
      <c r="G52" s="4" t="s">
        <v>1272</v>
      </c>
      <c r="H52" s="4" t="s">
        <v>1312</v>
      </c>
      <c r="I52" s="4">
        <v>0</v>
      </c>
      <c r="J52" s="4">
        <v>604.03</v>
      </c>
      <c r="K52" s="4">
        <f t="shared" si="1"/>
        <v>56.95</v>
      </c>
      <c r="L52" s="4">
        <f t="shared" si="2"/>
        <v>64.95</v>
      </c>
      <c r="M52" s="4">
        <f t="shared" si="3"/>
        <v>-8</v>
      </c>
      <c r="N52" s="4">
        <v>7.19</v>
      </c>
      <c r="O52" s="4">
        <v>90</v>
      </c>
      <c r="P52" s="4">
        <v>79</v>
      </c>
      <c r="Q52" s="4">
        <v>17.100000000000001</v>
      </c>
      <c r="R52" s="4">
        <v>9.2200000000000006</v>
      </c>
      <c r="S52" s="4">
        <v>14.63</v>
      </c>
      <c r="T52" s="4">
        <v>6.3</v>
      </c>
      <c r="U52" s="4">
        <v>9.07</v>
      </c>
      <c r="V52" s="4">
        <v>3506.18</v>
      </c>
      <c r="W52" s="4">
        <v>1057.8599999999999</v>
      </c>
      <c r="X52" s="4">
        <v>1381.39</v>
      </c>
      <c r="Y52" s="4">
        <v>783.43</v>
      </c>
      <c r="Z52" s="4">
        <v>5.7</v>
      </c>
      <c r="AA52" s="4">
        <v>1.65</v>
      </c>
      <c r="AB52" s="4">
        <v>4.3099999999999996</v>
      </c>
      <c r="AC52" s="4">
        <v>59.42</v>
      </c>
      <c r="AD52" s="4">
        <v>680</v>
      </c>
      <c r="AE52" s="4">
        <v>5900</v>
      </c>
      <c r="AF52" s="4">
        <v>83.26</v>
      </c>
      <c r="AG52" s="4">
        <v>0.59</v>
      </c>
      <c r="AH52" s="4">
        <v>10.32</v>
      </c>
      <c r="AI52" s="4">
        <v>47.16</v>
      </c>
      <c r="AJ52" s="4">
        <v>60</v>
      </c>
      <c r="AK52" s="4">
        <v>9</v>
      </c>
      <c r="AL52" s="4">
        <v>9</v>
      </c>
      <c r="AM52" s="4">
        <v>0.67</v>
      </c>
      <c r="AN52" s="4">
        <v>408</v>
      </c>
      <c r="AO52" s="4">
        <v>413.99</v>
      </c>
      <c r="AP52" s="4">
        <v>354375.71</v>
      </c>
      <c r="AQ52" s="4">
        <v>179003.08</v>
      </c>
      <c r="AR52" s="4" t="s">
        <v>1313</v>
      </c>
      <c r="AS52" s="5">
        <f t="shared" si="0"/>
        <v>10.009853310502285</v>
      </c>
    </row>
    <row r="53" spans="1:45" ht="14.25" customHeight="1" x14ac:dyDescent="0.55000000000000004">
      <c r="A53" s="4">
        <v>20.74</v>
      </c>
      <c r="B53" s="4">
        <v>29.97</v>
      </c>
      <c r="C53" s="4">
        <v>5537.6</v>
      </c>
      <c r="D53" s="4">
        <v>7.6</v>
      </c>
      <c r="E53" s="4" t="s">
        <v>1314</v>
      </c>
      <c r="F53" s="4" t="s">
        <v>1315</v>
      </c>
      <c r="G53" s="4" t="s">
        <v>1316</v>
      </c>
      <c r="H53" s="4" t="s">
        <v>1317</v>
      </c>
      <c r="I53" s="4">
        <v>0</v>
      </c>
      <c r="J53" s="4">
        <v>587</v>
      </c>
      <c r="K53" s="4">
        <f t="shared" si="1"/>
        <v>55.68</v>
      </c>
      <c r="L53" s="4">
        <f t="shared" si="2"/>
        <v>61.550000000000004</v>
      </c>
      <c r="M53" s="4">
        <f t="shared" si="3"/>
        <v>-5.8700000000000045</v>
      </c>
      <c r="N53" s="4">
        <v>7.18</v>
      </c>
      <c r="O53" s="4">
        <v>90.05</v>
      </c>
      <c r="P53" s="4">
        <v>78</v>
      </c>
      <c r="Q53" s="4">
        <v>18.899999999999999</v>
      </c>
      <c r="R53" s="4">
        <v>9.23</v>
      </c>
      <c r="S53" s="4">
        <v>16.23</v>
      </c>
      <c r="T53" s="4">
        <v>4.51</v>
      </c>
      <c r="U53" s="4">
        <v>9.43</v>
      </c>
      <c r="V53" s="4">
        <v>3544.06</v>
      </c>
      <c r="W53" s="4">
        <v>1070.67</v>
      </c>
      <c r="X53" s="4">
        <v>1410.75</v>
      </c>
      <c r="Y53" s="4">
        <v>795.59</v>
      </c>
      <c r="Z53" s="4">
        <v>5.88</v>
      </c>
      <c r="AA53" s="4">
        <v>1.66</v>
      </c>
      <c r="AB53" s="4">
        <v>4.29</v>
      </c>
      <c r="AC53" s="4">
        <v>67.19</v>
      </c>
      <c r="AD53" s="4">
        <v>680</v>
      </c>
      <c r="AE53" s="4">
        <v>5900</v>
      </c>
      <c r="AF53" s="4">
        <v>83.32</v>
      </c>
      <c r="AG53" s="4">
        <v>0.59</v>
      </c>
      <c r="AH53" s="4">
        <v>9.8800000000000008</v>
      </c>
      <c r="AI53" s="4">
        <v>49.76</v>
      </c>
      <c r="AJ53" s="4">
        <v>60</v>
      </c>
      <c r="AK53" s="4">
        <v>9</v>
      </c>
      <c r="AL53" s="4">
        <v>9</v>
      </c>
      <c r="AM53" s="4">
        <v>0.63</v>
      </c>
      <c r="AN53" s="4">
        <v>408</v>
      </c>
      <c r="AO53" s="4">
        <v>413.68</v>
      </c>
      <c r="AP53" s="4">
        <v>368337.6</v>
      </c>
      <c r="AQ53" s="4">
        <v>162850.01</v>
      </c>
      <c r="AR53" s="4" t="s">
        <v>275</v>
      </c>
      <c r="AS53" s="5">
        <f t="shared" si="0"/>
        <v>11.728743721461186</v>
      </c>
    </row>
    <row r="54" spans="1:45" ht="14.25" customHeight="1" x14ac:dyDescent="0.55000000000000004">
      <c r="A54" s="4">
        <v>22.33</v>
      </c>
      <c r="B54" s="4">
        <v>31.52</v>
      </c>
      <c r="C54" s="4">
        <v>5488.39</v>
      </c>
      <c r="D54" s="4">
        <v>7.6</v>
      </c>
      <c r="E54" s="4" t="s">
        <v>1318</v>
      </c>
      <c r="F54" s="4" t="s">
        <v>1319</v>
      </c>
      <c r="G54" s="4" t="s">
        <v>1320</v>
      </c>
      <c r="H54" s="4" t="s">
        <v>1321</v>
      </c>
      <c r="I54" s="4">
        <v>0</v>
      </c>
      <c r="J54" s="4">
        <v>711.71</v>
      </c>
      <c r="K54" s="4">
        <f t="shared" si="1"/>
        <v>63.949999999999996</v>
      </c>
      <c r="L54" s="4">
        <f t="shared" si="2"/>
        <v>64.039999999999992</v>
      </c>
      <c r="M54" s="4">
        <f t="shared" si="3"/>
        <v>-8.9999999999996305E-2</v>
      </c>
      <c r="N54" s="4">
        <v>7.25</v>
      </c>
      <c r="O54" s="4">
        <v>90.05</v>
      </c>
      <c r="P54" s="4">
        <v>63</v>
      </c>
      <c r="Q54" s="4">
        <v>22.9</v>
      </c>
      <c r="R54" s="4">
        <v>9.19</v>
      </c>
      <c r="S54" s="4">
        <v>18.03</v>
      </c>
      <c r="T54" s="4">
        <v>4.3</v>
      </c>
      <c r="U54" s="4">
        <v>7.71</v>
      </c>
      <c r="V54" s="4">
        <v>3512.57</v>
      </c>
      <c r="W54" s="4">
        <v>1051.1099999999999</v>
      </c>
      <c r="X54" s="4">
        <v>1298.3</v>
      </c>
      <c r="Y54" s="4">
        <v>762.22</v>
      </c>
      <c r="Z54" s="4">
        <v>10.49</v>
      </c>
      <c r="AA54" s="4">
        <v>1.64</v>
      </c>
      <c r="AB54" s="4">
        <v>4.32</v>
      </c>
      <c r="AC54" s="4">
        <v>68.12</v>
      </c>
      <c r="AD54" s="4">
        <v>680</v>
      </c>
      <c r="AE54" s="4">
        <v>5900</v>
      </c>
      <c r="AF54" s="4">
        <v>82.95</v>
      </c>
      <c r="AG54" s="4">
        <v>0.59</v>
      </c>
      <c r="AH54" s="4">
        <v>12.36</v>
      </c>
      <c r="AI54" s="4">
        <v>77.27</v>
      </c>
      <c r="AJ54" s="4">
        <v>60</v>
      </c>
      <c r="AK54" s="4">
        <v>9</v>
      </c>
      <c r="AL54" s="4">
        <v>9</v>
      </c>
      <c r="AM54" s="4">
        <v>0.41</v>
      </c>
      <c r="AN54" s="4">
        <v>408</v>
      </c>
      <c r="AO54" s="4">
        <v>411.66</v>
      </c>
      <c r="AP54" s="4">
        <v>404625.46</v>
      </c>
      <c r="AQ54" s="4">
        <v>362597.96</v>
      </c>
      <c r="AR54" s="4" t="s">
        <v>280</v>
      </c>
      <c r="AS54" s="5">
        <f t="shared" si="0"/>
        <v>2.3988299086757991</v>
      </c>
    </row>
    <row r="55" spans="1:45" ht="14.25" customHeight="1" x14ac:dyDescent="0.55000000000000004">
      <c r="A55" s="4">
        <v>21.89</v>
      </c>
      <c r="B55" s="4">
        <v>30.98</v>
      </c>
      <c r="C55" s="4">
        <v>5468.69</v>
      </c>
      <c r="D55" s="4">
        <v>7.59</v>
      </c>
      <c r="E55" s="4" t="s">
        <v>1322</v>
      </c>
      <c r="F55" s="4" t="s">
        <v>1323</v>
      </c>
      <c r="G55" s="4" t="s">
        <v>1324</v>
      </c>
      <c r="H55" s="4" t="s">
        <v>1325</v>
      </c>
      <c r="I55" s="4">
        <v>0</v>
      </c>
      <c r="J55" s="4">
        <v>388.07</v>
      </c>
      <c r="K55" s="4">
        <f t="shared" si="1"/>
        <v>58.18</v>
      </c>
      <c r="L55" s="4">
        <f t="shared" si="2"/>
        <v>64.930000000000007</v>
      </c>
      <c r="M55" s="4">
        <f t="shared" si="3"/>
        <v>-6.7500000000000071</v>
      </c>
      <c r="N55" s="4">
        <v>6.94</v>
      </c>
      <c r="O55" s="4">
        <v>89.96</v>
      </c>
      <c r="P55" s="4">
        <v>89</v>
      </c>
      <c r="Q55" s="4">
        <v>20.2</v>
      </c>
      <c r="R55" s="4">
        <v>9.09</v>
      </c>
      <c r="S55" s="4">
        <v>18.84</v>
      </c>
      <c r="T55" s="4">
        <v>3.05</v>
      </c>
      <c r="U55" s="4">
        <v>14.09</v>
      </c>
      <c r="V55" s="4">
        <v>3499.96</v>
      </c>
      <c r="W55" s="4">
        <v>1063.1600000000001</v>
      </c>
      <c r="X55" s="4">
        <v>1513.63</v>
      </c>
      <c r="Y55" s="4">
        <v>807.63</v>
      </c>
      <c r="Z55" s="4">
        <v>5.83</v>
      </c>
      <c r="AA55" s="4">
        <v>1.7</v>
      </c>
      <c r="AB55" s="4">
        <v>4.2</v>
      </c>
      <c r="AC55" s="4">
        <v>74.89</v>
      </c>
      <c r="AD55" s="4">
        <v>680</v>
      </c>
      <c r="AE55" s="4">
        <v>5900</v>
      </c>
      <c r="AF55" s="4">
        <v>82.09</v>
      </c>
      <c r="AG55" s="4">
        <v>0.59</v>
      </c>
      <c r="AH55" s="4">
        <v>6.27</v>
      </c>
      <c r="AI55" s="4">
        <v>47.18</v>
      </c>
      <c r="AJ55" s="4">
        <v>60</v>
      </c>
      <c r="AK55" s="4">
        <v>9</v>
      </c>
      <c r="AL55" s="4">
        <v>9</v>
      </c>
      <c r="AM55" s="4">
        <v>0.67</v>
      </c>
      <c r="AN55" s="4">
        <v>408</v>
      </c>
      <c r="AO55" s="4">
        <v>413.99</v>
      </c>
      <c r="AP55" s="4">
        <v>482551.94</v>
      </c>
      <c r="AQ55" s="4">
        <v>191949.55</v>
      </c>
      <c r="AR55" s="4" t="s">
        <v>1326</v>
      </c>
      <c r="AS55" s="5">
        <f t="shared" si="0"/>
        <v>16.586894406392695</v>
      </c>
    </row>
    <row r="56" spans="1:45" ht="14.25" customHeight="1" x14ac:dyDescent="0.55000000000000004">
      <c r="A56" s="4">
        <v>21.98</v>
      </c>
      <c r="B56" s="4">
        <v>31.09</v>
      </c>
      <c r="C56" s="4">
        <v>5502.64</v>
      </c>
      <c r="D56" s="4">
        <v>7.6</v>
      </c>
      <c r="E56" s="4" t="s">
        <v>1327</v>
      </c>
      <c r="F56" s="4" t="s">
        <v>1328</v>
      </c>
      <c r="G56" s="4" t="s">
        <v>1329</v>
      </c>
      <c r="H56" s="4" t="s">
        <v>1330</v>
      </c>
      <c r="I56" s="4">
        <v>0</v>
      </c>
      <c r="J56" s="4">
        <v>526.21</v>
      </c>
      <c r="K56" s="4">
        <f t="shared" si="1"/>
        <v>52.4</v>
      </c>
      <c r="L56" s="4">
        <f t="shared" si="2"/>
        <v>50.82</v>
      </c>
      <c r="M56" s="4">
        <f t="shared" si="3"/>
        <v>1.5799999999999983</v>
      </c>
      <c r="N56" s="4">
        <v>7.11</v>
      </c>
      <c r="O56" s="4">
        <v>89.96</v>
      </c>
      <c r="P56" s="4">
        <v>89</v>
      </c>
      <c r="Q56" s="4">
        <v>19.899999999999999</v>
      </c>
      <c r="R56" s="4">
        <v>9.11</v>
      </c>
      <c r="S56" s="4">
        <v>18.55</v>
      </c>
      <c r="T56" s="4">
        <v>3.44</v>
      </c>
      <c r="U56" s="4">
        <v>10.46</v>
      </c>
      <c r="V56" s="4">
        <v>3521.69</v>
      </c>
      <c r="W56" s="4">
        <v>1066.8499999999999</v>
      </c>
      <c r="X56" s="4">
        <v>1440.91</v>
      </c>
      <c r="Y56" s="4">
        <v>799.31</v>
      </c>
      <c r="Z56" s="4">
        <v>12.89</v>
      </c>
      <c r="AA56" s="4">
        <v>1.68</v>
      </c>
      <c r="AB56" s="4">
        <v>4.2300000000000004</v>
      </c>
      <c r="AC56" s="4">
        <v>72.599999999999994</v>
      </c>
      <c r="AD56" s="4">
        <v>680</v>
      </c>
      <c r="AE56" s="4">
        <v>5900</v>
      </c>
      <c r="AF56" s="4">
        <v>82.21</v>
      </c>
      <c r="AG56" s="4">
        <v>0.59</v>
      </c>
      <c r="AH56" s="4">
        <v>8.69</v>
      </c>
      <c r="AI56" s="4">
        <v>115.93</v>
      </c>
      <c r="AJ56" s="4">
        <v>60</v>
      </c>
      <c r="AK56" s="4">
        <v>9</v>
      </c>
      <c r="AL56" s="4">
        <v>9</v>
      </c>
      <c r="AM56" s="4">
        <v>0.27</v>
      </c>
      <c r="AN56" s="4">
        <v>408</v>
      </c>
      <c r="AO56" s="4">
        <v>410.44</v>
      </c>
      <c r="AP56" s="4">
        <v>394007.76</v>
      </c>
      <c r="AQ56" s="4">
        <v>298520.14</v>
      </c>
      <c r="AR56" s="4" t="s">
        <v>285</v>
      </c>
      <c r="AS56" s="5">
        <f t="shared" si="0"/>
        <v>5.4502066210045657</v>
      </c>
    </row>
    <row r="57" spans="1:45" ht="14.25" customHeight="1" x14ac:dyDescent="0.55000000000000004">
      <c r="A57" s="4">
        <v>22.23</v>
      </c>
      <c r="B57" s="4">
        <v>31.31</v>
      </c>
      <c r="C57" s="4">
        <v>5495.65</v>
      </c>
      <c r="D57" s="4">
        <v>7.6</v>
      </c>
      <c r="E57" s="4" t="s">
        <v>1331</v>
      </c>
      <c r="F57" s="4" t="s">
        <v>1332</v>
      </c>
      <c r="G57" s="4" t="s">
        <v>1333</v>
      </c>
      <c r="H57" s="4" t="s">
        <v>1334</v>
      </c>
      <c r="I57" s="4">
        <v>0</v>
      </c>
      <c r="J57" s="4">
        <v>705.3</v>
      </c>
      <c r="K57" s="4">
        <f t="shared" si="1"/>
        <v>62.58</v>
      </c>
      <c r="L57" s="4">
        <f t="shared" si="2"/>
        <v>67.179999999999993</v>
      </c>
      <c r="M57" s="4">
        <f t="shared" si="3"/>
        <v>-4.5999999999999943</v>
      </c>
      <c r="N57" s="4">
        <v>7.24</v>
      </c>
      <c r="O57" s="4">
        <v>89.98</v>
      </c>
      <c r="P57" s="4">
        <v>83</v>
      </c>
      <c r="Q57" s="4">
        <v>20.8</v>
      </c>
      <c r="R57" s="4">
        <v>9.09</v>
      </c>
      <c r="S57" s="4">
        <v>18.68</v>
      </c>
      <c r="T57" s="4">
        <v>3.55</v>
      </c>
      <c r="U57" s="4">
        <v>7.79</v>
      </c>
      <c r="V57" s="4">
        <v>3517.22</v>
      </c>
      <c r="W57" s="4">
        <v>1052.55</v>
      </c>
      <c r="X57" s="4">
        <v>1301.58</v>
      </c>
      <c r="Y57" s="4">
        <v>763.48</v>
      </c>
      <c r="Z57" s="4">
        <v>6.05</v>
      </c>
      <c r="AA57" s="4">
        <v>1.64</v>
      </c>
      <c r="AB57" s="4">
        <v>4.32</v>
      </c>
      <c r="AC57" s="4">
        <v>71.900000000000006</v>
      </c>
      <c r="AD57" s="4">
        <v>680</v>
      </c>
      <c r="AE57" s="4">
        <v>5900</v>
      </c>
      <c r="AF57" s="4">
        <v>82.02</v>
      </c>
      <c r="AG57" s="4">
        <v>0.59</v>
      </c>
      <c r="AH57" s="4">
        <v>12.08</v>
      </c>
      <c r="AI57" s="4">
        <v>45.6</v>
      </c>
      <c r="AJ57" s="4">
        <v>60</v>
      </c>
      <c r="AK57" s="4">
        <v>9</v>
      </c>
      <c r="AL57" s="4">
        <v>9</v>
      </c>
      <c r="AM57" s="4">
        <v>0.69</v>
      </c>
      <c r="AN57" s="4">
        <v>408</v>
      </c>
      <c r="AO57" s="4">
        <v>414.2</v>
      </c>
      <c r="AP57" s="4">
        <v>397844.82</v>
      </c>
      <c r="AQ57" s="4">
        <v>200943.03</v>
      </c>
      <c r="AR57" s="4" t="s">
        <v>289</v>
      </c>
      <c r="AS57" s="5">
        <f t="shared" si="0"/>
        <v>11.238686643835617</v>
      </c>
    </row>
    <row r="58" spans="1:45" ht="14.25" customHeight="1" x14ac:dyDescent="0.55000000000000004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f t="shared" si="1"/>
        <v>0</v>
      </c>
      <c r="L58" s="4">
        <f t="shared" si="2"/>
        <v>0</v>
      </c>
      <c r="M58" s="4">
        <f t="shared" si="3"/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5">
        <f t="shared" si="0"/>
        <v>0</v>
      </c>
    </row>
    <row r="59" spans="1:45" ht="14.25" customHeight="1" x14ac:dyDescent="0.55000000000000004">
      <c r="A59" s="4">
        <v>21.71</v>
      </c>
      <c r="B59" s="4">
        <v>30.85</v>
      </c>
      <c r="C59" s="4">
        <v>5481.31</v>
      </c>
      <c r="D59" s="4">
        <v>7.6</v>
      </c>
      <c r="E59" s="4" t="s">
        <v>1335</v>
      </c>
      <c r="F59" s="4" t="s">
        <v>1336</v>
      </c>
      <c r="G59" s="4" t="s">
        <v>1337</v>
      </c>
      <c r="H59" s="4" t="s">
        <v>1338</v>
      </c>
      <c r="I59" s="4">
        <v>0</v>
      </c>
      <c r="J59" s="4">
        <v>322.58</v>
      </c>
      <c r="K59" s="4">
        <f t="shared" si="1"/>
        <v>55.31</v>
      </c>
      <c r="L59" s="4">
        <f t="shared" si="2"/>
        <v>61.120000000000005</v>
      </c>
      <c r="M59" s="4">
        <f t="shared" si="3"/>
        <v>-5.8100000000000023</v>
      </c>
      <c r="N59" s="4">
        <v>6.9</v>
      </c>
      <c r="O59" s="4">
        <v>89.72</v>
      </c>
      <c r="P59" s="4">
        <v>94</v>
      </c>
      <c r="Q59" s="4">
        <v>19.5</v>
      </c>
      <c r="R59" s="4">
        <v>9.1300000000000008</v>
      </c>
      <c r="S59" s="4">
        <v>18.77</v>
      </c>
      <c r="T59" s="4">
        <v>2.95</v>
      </c>
      <c r="U59" s="4">
        <v>16.989999999999998</v>
      </c>
      <c r="V59" s="4">
        <v>3508.04</v>
      </c>
      <c r="W59" s="4">
        <v>1077.29</v>
      </c>
      <c r="X59" s="4">
        <v>1649.02</v>
      </c>
      <c r="Y59" s="4">
        <v>841.76</v>
      </c>
      <c r="Z59" s="4">
        <v>5.88</v>
      </c>
      <c r="AA59" s="4">
        <v>1.75</v>
      </c>
      <c r="AB59" s="4">
        <v>4.1100000000000003</v>
      </c>
      <c r="AC59" s="4">
        <v>75.61</v>
      </c>
      <c r="AD59" s="4">
        <v>680</v>
      </c>
      <c r="AE59" s="4">
        <v>5900</v>
      </c>
      <c r="AF59" s="4">
        <v>82.45</v>
      </c>
      <c r="AG59" s="4">
        <v>0.59</v>
      </c>
      <c r="AH59" s="4">
        <v>5.16</v>
      </c>
      <c r="AI59" s="4">
        <v>50.11</v>
      </c>
      <c r="AJ59" s="4">
        <v>60</v>
      </c>
      <c r="AK59" s="4">
        <v>9</v>
      </c>
      <c r="AL59" s="4">
        <v>9</v>
      </c>
      <c r="AM59" s="4">
        <v>0.63</v>
      </c>
      <c r="AN59" s="4">
        <v>408</v>
      </c>
      <c r="AO59" s="4">
        <v>413.64</v>
      </c>
      <c r="AP59" s="4">
        <v>482647.36</v>
      </c>
      <c r="AQ59" s="4">
        <v>168957</v>
      </c>
      <c r="AR59" s="4" t="s">
        <v>298</v>
      </c>
      <c r="AS59" s="5">
        <f t="shared" si="0"/>
        <v>17.90470091324201</v>
      </c>
    </row>
    <row r="60" spans="1:45" ht="14.25" customHeight="1" x14ac:dyDescent="0.55000000000000004">
      <c r="A60" s="4">
        <v>22.03</v>
      </c>
      <c r="B60" s="4">
        <v>31.17</v>
      </c>
      <c r="C60" s="4">
        <v>5504.76</v>
      </c>
      <c r="D60" s="4">
        <v>7.6</v>
      </c>
      <c r="E60" s="4" t="s">
        <v>1339</v>
      </c>
      <c r="F60" s="4" t="s">
        <v>1340</v>
      </c>
      <c r="G60" s="4" t="s">
        <v>1341</v>
      </c>
      <c r="H60" s="4" t="s">
        <v>1342</v>
      </c>
      <c r="I60" s="4">
        <v>0</v>
      </c>
      <c r="J60" s="4">
        <v>685.81</v>
      </c>
      <c r="K60" s="4">
        <f t="shared" si="1"/>
        <v>60.849999999999994</v>
      </c>
      <c r="L60" s="4">
        <f t="shared" si="2"/>
        <v>60.64</v>
      </c>
      <c r="M60" s="4">
        <f t="shared" si="3"/>
        <v>0.20999999999999375</v>
      </c>
      <c r="N60" s="4">
        <v>7.22</v>
      </c>
      <c r="O60" s="4">
        <v>89.85</v>
      </c>
      <c r="P60" s="4">
        <v>84</v>
      </c>
      <c r="Q60" s="4">
        <v>20.7</v>
      </c>
      <c r="R60" s="4">
        <v>9.14</v>
      </c>
      <c r="S60" s="4">
        <v>18.71</v>
      </c>
      <c r="T60" s="4">
        <v>3.32</v>
      </c>
      <c r="U60" s="4">
        <v>8.0299999999999994</v>
      </c>
      <c r="V60" s="4">
        <v>3523.05</v>
      </c>
      <c r="W60" s="4">
        <v>1055.07</v>
      </c>
      <c r="X60" s="4">
        <v>1313</v>
      </c>
      <c r="Y60" s="4">
        <v>766.94</v>
      </c>
      <c r="Z60" s="4">
        <v>11.04</v>
      </c>
      <c r="AA60" s="4">
        <v>1.64</v>
      </c>
      <c r="AB60" s="4">
        <v>4.32</v>
      </c>
      <c r="AC60" s="4">
        <v>73.34</v>
      </c>
      <c r="AD60" s="4">
        <v>680</v>
      </c>
      <c r="AE60" s="4">
        <v>5900</v>
      </c>
      <c r="AF60" s="4">
        <v>82.49</v>
      </c>
      <c r="AG60" s="4">
        <v>0.59</v>
      </c>
      <c r="AH60" s="4">
        <v>11.74</v>
      </c>
      <c r="AI60" s="4">
        <v>85.49</v>
      </c>
      <c r="AJ60" s="4">
        <v>60</v>
      </c>
      <c r="AK60" s="4">
        <v>9</v>
      </c>
      <c r="AL60" s="4">
        <v>9</v>
      </c>
      <c r="AM60" s="4">
        <v>0.37</v>
      </c>
      <c r="AN60" s="4">
        <v>408</v>
      </c>
      <c r="AO60" s="4">
        <v>411.31</v>
      </c>
      <c r="AP60" s="4">
        <v>396139.28</v>
      </c>
      <c r="AQ60" s="4">
        <v>354245.22</v>
      </c>
      <c r="AR60" s="4" t="s">
        <v>303</v>
      </c>
      <c r="AS60" s="5">
        <f t="shared" si="0"/>
        <v>2.3912134703196379</v>
      </c>
    </row>
    <row r="61" spans="1:45" ht="14.25" customHeight="1" x14ac:dyDescent="0.55000000000000004">
      <c r="A61" s="4">
        <v>21.32</v>
      </c>
      <c r="B61" s="4">
        <v>30.5</v>
      </c>
      <c r="C61" s="4">
        <v>5472.67</v>
      </c>
      <c r="D61" s="4">
        <v>7.59</v>
      </c>
      <c r="E61" s="4" t="s">
        <v>1343</v>
      </c>
      <c r="F61" s="4" t="s">
        <v>1344</v>
      </c>
      <c r="G61" s="4" t="s">
        <v>1345</v>
      </c>
      <c r="H61" s="4" t="s">
        <v>1346</v>
      </c>
      <c r="I61" s="4">
        <v>0</v>
      </c>
      <c r="J61" s="4">
        <v>333.42</v>
      </c>
      <c r="K61" s="4">
        <f t="shared" si="1"/>
        <v>55.47</v>
      </c>
      <c r="L61" s="4">
        <f t="shared" si="2"/>
        <v>63.179999999999993</v>
      </c>
      <c r="M61" s="4">
        <f t="shared" si="3"/>
        <v>-7.7099999999999937</v>
      </c>
      <c r="N61" s="4">
        <v>6.89</v>
      </c>
      <c r="O61" s="4">
        <v>89.95</v>
      </c>
      <c r="P61" s="4">
        <v>97</v>
      </c>
      <c r="Q61" s="4">
        <v>17.7</v>
      </c>
      <c r="R61" s="4">
        <v>9.17</v>
      </c>
      <c r="S61" s="4">
        <v>17.34</v>
      </c>
      <c r="T61" s="4">
        <v>3.99</v>
      </c>
      <c r="U61" s="4">
        <v>16.41</v>
      </c>
      <c r="V61" s="4">
        <v>3502.51</v>
      </c>
      <c r="W61" s="4">
        <v>1071.5899999999999</v>
      </c>
      <c r="X61" s="4">
        <v>1608.29</v>
      </c>
      <c r="Y61" s="4">
        <v>830.14</v>
      </c>
      <c r="Z61" s="4">
        <v>5.71</v>
      </c>
      <c r="AA61" s="4">
        <v>1.71</v>
      </c>
      <c r="AB61" s="4">
        <v>4.16</v>
      </c>
      <c r="AC61" s="4">
        <v>69.709999999999994</v>
      </c>
      <c r="AD61" s="4">
        <v>680</v>
      </c>
      <c r="AE61" s="4">
        <v>5900</v>
      </c>
      <c r="AF61" s="4">
        <v>82.82</v>
      </c>
      <c r="AG61" s="4">
        <v>0.59</v>
      </c>
      <c r="AH61" s="4">
        <v>5.37</v>
      </c>
      <c r="AI61" s="4">
        <v>48.48</v>
      </c>
      <c r="AJ61" s="4">
        <v>60</v>
      </c>
      <c r="AK61" s="4">
        <v>9</v>
      </c>
      <c r="AL61" s="4">
        <v>9</v>
      </c>
      <c r="AM61" s="4">
        <v>0.65</v>
      </c>
      <c r="AN61" s="4">
        <v>408</v>
      </c>
      <c r="AO61" s="4">
        <v>413.83</v>
      </c>
      <c r="AP61" s="4">
        <v>467546.43</v>
      </c>
      <c r="AQ61" s="4">
        <v>184284.13</v>
      </c>
      <c r="AR61" s="4" t="s">
        <v>1347</v>
      </c>
      <c r="AS61" s="5">
        <f t="shared" si="0"/>
        <v>16.167939497716894</v>
      </c>
    </row>
    <row r="62" spans="1:45" ht="14.25" customHeight="1" x14ac:dyDescent="0.55000000000000004">
      <c r="A62" s="4">
        <v>22.34</v>
      </c>
      <c r="B62" s="4">
        <v>31.49</v>
      </c>
      <c r="C62" s="4">
        <v>5491.35</v>
      </c>
      <c r="D62" s="4">
        <v>7.6</v>
      </c>
      <c r="E62" s="4" t="s">
        <v>1348</v>
      </c>
      <c r="F62" s="4" t="s">
        <v>1349</v>
      </c>
      <c r="G62" s="4" t="s">
        <v>1350</v>
      </c>
      <c r="H62" s="4" t="s">
        <v>1351</v>
      </c>
      <c r="I62" s="4">
        <v>0</v>
      </c>
      <c r="J62" s="4">
        <v>717.97</v>
      </c>
      <c r="K62" s="4">
        <f t="shared" si="1"/>
        <v>63.830000000000005</v>
      </c>
      <c r="L62" s="4">
        <f t="shared" si="2"/>
        <v>66.38</v>
      </c>
      <c r="M62" s="4">
        <f t="shared" si="3"/>
        <v>-2.5499999999999901</v>
      </c>
      <c r="N62" s="4">
        <v>7.25</v>
      </c>
      <c r="O62" s="4">
        <v>89.97</v>
      </c>
      <c r="P62" s="4">
        <v>77</v>
      </c>
      <c r="Q62" s="4">
        <v>21.2</v>
      </c>
      <c r="R62" s="4">
        <v>9.15</v>
      </c>
      <c r="S62" s="4">
        <v>18.3</v>
      </c>
      <c r="T62" s="4">
        <v>4.05</v>
      </c>
      <c r="U62" s="4">
        <v>7.65</v>
      </c>
      <c r="V62" s="4">
        <v>3514.46</v>
      </c>
      <c r="W62" s="4">
        <v>1051.0899999999999</v>
      </c>
      <c r="X62" s="4">
        <v>1293.6400000000001</v>
      </c>
      <c r="Y62" s="4">
        <v>761.15</v>
      </c>
      <c r="Z62" s="4">
        <v>7.69</v>
      </c>
      <c r="AA62" s="4">
        <v>1.64</v>
      </c>
      <c r="AB62" s="4">
        <v>4.32</v>
      </c>
      <c r="AC62" s="4">
        <v>69.33</v>
      </c>
      <c r="AD62" s="4">
        <v>680</v>
      </c>
      <c r="AE62" s="4">
        <v>5900</v>
      </c>
      <c r="AF62" s="4">
        <v>82.55</v>
      </c>
      <c r="AG62" s="4">
        <v>0.59</v>
      </c>
      <c r="AH62" s="4">
        <v>12.42</v>
      </c>
      <c r="AI62" s="4">
        <v>56.8</v>
      </c>
      <c r="AJ62" s="4">
        <v>60</v>
      </c>
      <c r="AK62" s="4">
        <v>9</v>
      </c>
      <c r="AL62" s="4">
        <v>9</v>
      </c>
      <c r="AM62" s="4">
        <v>0.55000000000000004</v>
      </c>
      <c r="AN62" s="4">
        <v>408</v>
      </c>
      <c r="AO62" s="4">
        <v>412.98</v>
      </c>
      <c r="AP62" s="4">
        <v>400161.21</v>
      </c>
      <c r="AQ62" s="4">
        <v>288262.77</v>
      </c>
      <c r="AR62" s="4" t="s">
        <v>307</v>
      </c>
      <c r="AS62" s="5">
        <f t="shared" si="0"/>
        <v>6.3868972602739724</v>
      </c>
    </row>
    <row r="63" spans="1:45" ht="14.25" customHeight="1" x14ac:dyDescent="0.55000000000000004">
      <c r="A63" s="4">
        <v>22.34</v>
      </c>
      <c r="B63" s="4">
        <v>31.61</v>
      </c>
      <c r="C63" s="4">
        <v>5490.96</v>
      </c>
      <c r="D63" s="4">
        <v>7.6</v>
      </c>
      <c r="E63" s="4" t="s">
        <v>1352</v>
      </c>
      <c r="F63" s="4" t="s">
        <v>1353</v>
      </c>
      <c r="G63" s="4" t="s">
        <v>1141</v>
      </c>
      <c r="H63" s="4" t="s">
        <v>1354</v>
      </c>
      <c r="I63" s="4">
        <v>0</v>
      </c>
      <c r="J63" s="4">
        <v>703.46</v>
      </c>
      <c r="K63" s="4">
        <f t="shared" si="1"/>
        <v>63.39</v>
      </c>
      <c r="L63" s="4">
        <f t="shared" si="2"/>
        <v>67.58</v>
      </c>
      <c r="M63" s="4">
        <f t="shared" si="3"/>
        <v>-4.1899999999999977</v>
      </c>
      <c r="N63" s="4">
        <v>7.25</v>
      </c>
      <c r="O63" s="4">
        <v>89.95</v>
      </c>
      <c r="P63" s="4">
        <v>61</v>
      </c>
      <c r="Q63" s="4">
        <v>23</v>
      </c>
      <c r="R63" s="4">
        <v>9.27</v>
      </c>
      <c r="S63" s="4">
        <v>17.84</v>
      </c>
      <c r="T63" s="4">
        <v>4.49</v>
      </c>
      <c r="U63" s="4">
        <v>7.81</v>
      </c>
      <c r="V63" s="4">
        <v>3514.22</v>
      </c>
      <c r="W63" s="4">
        <v>1052.68</v>
      </c>
      <c r="X63" s="4">
        <v>1308.23</v>
      </c>
      <c r="Y63" s="4">
        <v>765.25</v>
      </c>
      <c r="Z63" s="4">
        <v>6.1</v>
      </c>
      <c r="AA63" s="4">
        <v>1.64</v>
      </c>
      <c r="AB63" s="4">
        <v>4.3099999999999996</v>
      </c>
      <c r="AC63" s="4">
        <v>67.37</v>
      </c>
      <c r="AD63" s="4">
        <v>680</v>
      </c>
      <c r="AE63" s="4">
        <v>5900</v>
      </c>
      <c r="AF63" s="4">
        <v>83.72</v>
      </c>
      <c r="AG63" s="4">
        <v>0.59</v>
      </c>
      <c r="AH63" s="4">
        <v>12.3</v>
      </c>
      <c r="AI63" s="4">
        <v>45.32</v>
      </c>
      <c r="AJ63" s="4">
        <v>60</v>
      </c>
      <c r="AK63" s="4">
        <v>9</v>
      </c>
      <c r="AL63" s="4">
        <v>9</v>
      </c>
      <c r="AM63" s="4">
        <v>0.69</v>
      </c>
      <c r="AN63" s="4">
        <v>408</v>
      </c>
      <c r="AO63" s="4">
        <v>414.24</v>
      </c>
      <c r="AP63" s="4">
        <v>403905.38</v>
      </c>
      <c r="AQ63" s="4">
        <v>196313.24</v>
      </c>
      <c r="AR63" s="4" t="s">
        <v>312</v>
      </c>
      <c r="AS63" s="5">
        <f t="shared" si="0"/>
        <v>11.848866438356165</v>
      </c>
    </row>
    <row r="64" spans="1:45" ht="14.25" customHeight="1" x14ac:dyDescent="0.55000000000000004">
      <c r="A64" s="4">
        <v>22.3</v>
      </c>
      <c r="B64" s="4">
        <v>31.49</v>
      </c>
      <c r="C64" s="4">
        <v>5492.31</v>
      </c>
      <c r="D64" s="4">
        <v>7.6</v>
      </c>
      <c r="E64" s="4" t="s">
        <v>1355</v>
      </c>
      <c r="F64" s="4" t="s">
        <v>1356</v>
      </c>
      <c r="G64" s="4" t="s">
        <v>1357</v>
      </c>
      <c r="H64" s="4" t="s">
        <v>1358</v>
      </c>
      <c r="I64" s="4">
        <v>0</v>
      </c>
      <c r="J64" s="4">
        <v>702.81</v>
      </c>
      <c r="K64" s="4">
        <f t="shared" si="1"/>
        <v>62.150000000000006</v>
      </c>
      <c r="L64" s="4">
        <f t="shared" si="2"/>
        <v>62.95</v>
      </c>
      <c r="M64" s="4">
        <f t="shared" si="3"/>
        <v>-0.79999999999999716</v>
      </c>
      <c r="N64" s="4">
        <v>7.24</v>
      </c>
      <c r="O64" s="4">
        <v>90</v>
      </c>
      <c r="P64" s="4">
        <v>66</v>
      </c>
      <c r="Q64" s="4">
        <v>22.6</v>
      </c>
      <c r="R64" s="4">
        <v>9.19</v>
      </c>
      <c r="S64" s="4">
        <v>18.16</v>
      </c>
      <c r="T64" s="4">
        <v>4.13</v>
      </c>
      <c r="U64" s="4">
        <v>7.81</v>
      </c>
      <c r="V64" s="4">
        <v>3515.08</v>
      </c>
      <c r="W64" s="4">
        <v>1052.76</v>
      </c>
      <c r="X64" s="4">
        <v>1307.3599999999999</v>
      </c>
      <c r="Y64" s="4">
        <v>765.03</v>
      </c>
      <c r="Z64" s="4">
        <v>9.3800000000000008</v>
      </c>
      <c r="AA64" s="4">
        <v>1.65</v>
      </c>
      <c r="AB64" s="4">
        <v>4.3099999999999996</v>
      </c>
      <c r="AC64" s="4">
        <v>68.98</v>
      </c>
      <c r="AD64" s="4">
        <v>680</v>
      </c>
      <c r="AE64" s="4">
        <v>5900</v>
      </c>
      <c r="AF64" s="4">
        <v>82.95</v>
      </c>
      <c r="AG64" s="4">
        <v>0.59</v>
      </c>
      <c r="AH64" s="4">
        <v>12.17</v>
      </c>
      <c r="AI64" s="4">
        <v>71.11</v>
      </c>
      <c r="AJ64" s="4">
        <v>60</v>
      </c>
      <c r="AK64" s="4">
        <v>9</v>
      </c>
      <c r="AL64" s="4">
        <v>9</v>
      </c>
      <c r="AM64" s="4">
        <v>0.44</v>
      </c>
      <c r="AN64" s="4">
        <v>408</v>
      </c>
      <c r="AO64" s="4">
        <v>411.98</v>
      </c>
      <c r="AP64" s="4">
        <v>394559.57</v>
      </c>
      <c r="AQ64" s="4">
        <v>324185.26</v>
      </c>
      <c r="AR64" s="4" t="s">
        <v>317</v>
      </c>
      <c r="AS64" s="5">
        <f t="shared" si="0"/>
        <v>4.0167985159817352</v>
      </c>
    </row>
    <row r="65" spans="1:45" ht="14.25" customHeight="1" x14ac:dyDescent="0.55000000000000004">
      <c r="A65" s="4">
        <v>22.29</v>
      </c>
      <c r="B65" s="4">
        <v>31.35</v>
      </c>
      <c r="C65" s="4">
        <v>5476.92</v>
      </c>
      <c r="D65" s="4">
        <v>7.6</v>
      </c>
      <c r="E65" s="4" t="s">
        <v>1359</v>
      </c>
      <c r="F65" s="4" t="s">
        <v>1360</v>
      </c>
      <c r="G65" s="4" t="s">
        <v>1361</v>
      </c>
      <c r="H65" s="4" t="s">
        <v>1362</v>
      </c>
      <c r="I65" s="4">
        <v>0</v>
      </c>
      <c r="J65" s="4">
        <v>650.79</v>
      </c>
      <c r="K65" s="4">
        <f t="shared" si="1"/>
        <v>59.52</v>
      </c>
      <c r="L65" s="4">
        <f t="shared" si="2"/>
        <v>63.800000000000004</v>
      </c>
      <c r="M65" s="4">
        <f t="shared" si="3"/>
        <v>-4.2800000000000011</v>
      </c>
      <c r="N65" s="4">
        <v>7.21</v>
      </c>
      <c r="O65" s="4">
        <v>90.04</v>
      </c>
      <c r="P65" s="4">
        <v>84</v>
      </c>
      <c r="Q65" s="4">
        <v>20.9</v>
      </c>
      <c r="R65" s="4">
        <v>9.06</v>
      </c>
      <c r="S65" s="4">
        <v>18.899999999999999</v>
      </c>
      <c r="T65" s="4">
        <v>3.39</v>
      </c>
      <c r="U65" s="4">
        <v>8.42</v>
      </c>
      <c r="V65" s="4">
        <v>3505.23</v>
      </c>
      <c r="W65" s="4">
        <v>1052.69</v>
      </c>
      <c r="X65" s="4">
        <v>1334.88</v>
      </c>
      <c r="Y65" s="4">
        <v>770.7</v>
      </c>
      <c r="Z65" s="4">
        <v>6.06</v>
      </c>
      <c r="AA65" s="4">
        <v>1.66</v>
      </c>
      <c r="AB65" s="4">
        <v>4.29</v>
      </c>
      <c r="AC65" s="4">
        <v>72.78</v>
      </c>
      <c r="AD65" s="4">
        <v>680</v>
      </c>
      <c r="AE65" s="4">
        <v>5900</v>
      </c>
      <c r="AF65" s="4">
        <v>81.790000000000006</v>
      </c>
      <c r="AG65" s="4">
        <v>0.59</v>
      </c>
      <c r="AH65" s="4">
        <v>11.03</v>
      </c>
      <c r="AI65" s="4">
        <v>48.02</v>
      </c>
      <c r="AJ65" s="4">
        <v>60</v>
      </c>
      <c r="AK65" s="4">
        <v>9</v>
      </c>
      <c r="AL65" s="4">
        <v>9</v>
      </c>
      <c r="AM65" s="4">
        <v>0.65</v>
      </c>
      <c r="AN65" s="4">
        <v>408</v>
      </c>
      <c r="AO65" s="4">
        <v>413.89</v>
      </c>
      <c r="AP65" s="4">
        <v>395331.07</v>
      </c>
      <c r="AQ65" s="4">
        <v>180184.76</v>
      </c>
      <c r="AR65" s="4" t="s">
        <v>322</v>
      </c>
      <c r="AS65" s="5">
        <f t="shared" si="0"/>
        <v>12.280040525114154</v>
      </c>
    </row>
    <row r="66" spans="1:45" ht="14.25" customHeight="1" x14ac:dyDescent="0.55000000000000004">
      <c r="A66" s="4">
        <v>22.08</v>
      </c>
      <c r="B66" s="4">
        <v>31.13</v>
      </c>
      <c r="C66" s="4">
        <v>5451.56</v>
      </c>
      <c r="D66" s="4">
        <v>7.62</v>
      </c>
      <c r="E66" s="4" t="s">
        <v>1363</v>
      </c>
      <c r="F66" s="4" t="s">
        <v>1364</v>
      </c>
      <c r="G66" s="4" t="s">
        <v>1365</v>
      </c>
      <c r="H66" s="4" t="s">
        <v>1366</v>
      </c>
      <c r="I66" s="4">
        <v>0</v>
      </c>
      <c r="J66" s="4">
        <v>262.95</v>
      </c>
      <c r="K66" s="4">
        <f t="shared" si="1"/>
        <v>52.76</v>
      </c>
      <c r="L66" s="4">
        <f t="shared" si="2"/>
        <v>59.27</v>
      </c>
      <c r="M66" s="4">
        <f t="shared" si="3"/>
        <v>-6.5100000000000051</v>
      </c>
      <c r="N66" s="4">
        <v>6.85</v>
      </c>
      <c r="O66" s="4">
        <v>90.13</v>
      </c>
      <c r="P66" s="4">
        <v>91</v>
      </c>
      <c r="Q66" s="4">
        <v>19.600000000000001</v>
      </c>
      <c r="R66" s="4">
        <v>9.0500000000000007</v>
      </c>
      <c r="S66" s="4">
        <v>18.5</v>
      </c>
      <c r="T66" s="4">
        <v>3.58</v>
      </c>
      <c r="U66" s="4">
        <v>20.73</v>
      </c>
      <c r="V66" s="4">
        <v>3489</v>
      </c>
      <c r="W66" s="4">
        <v>1085.01</v>
      </c>
      <c r="X66" s="4">
        <v>1801.44</v>
      </c>
      <c r="Y66" s="4">
        <v>875.54</v>
      </c>
      <c r="Z66" s="4">
        <v>5.79</v>
      </c>
      <c r="AA66" s="4">
        <v>1.81</v>
      </c>
      <c r="AB66" s="4">
        <v>4</v>
      </c>
      <c r="AC66" s="4">
        <v>71.64</v>
      </c>
      <c r="AD66" s="4">
        <v>680</v>
      </c>
      <c r="AE66" s="4">
        <v>5900</v>
      </c>
      <c r="AF66" s="4">
        <v>81.7</v>
      </c>
      <c r="AG66" s="4">
        <v>0.59</v>
      </c>
      <c r="AH66" s="4">
        <v>4.1399999999999997</v>
      </c>
      <c r="AI66" s="4">
        <v>51.68</v>
      </c>
      <c r="AJ66" s="4">
        <v>60</v>
      </c>
      <c r="AK66" s="4">
        <v>9</v>
      </c>
      <c r="AL66" s="4">
        <v>9</v>
      </c>
      <c r="AM66" s="4">
        <v>0.61</v>
      </c>
      <c r="AN66" s="4">
        <v>408</v>
      </c>
      <c r="AO66" s="4">
        <v>413.47</v>
      </c>
      <c r="AP66" s="4">
        <v>471153.24</v>
      </c>
      <c r="AQ66" s="4">
        <v>160062.62</v>
      </c>
      <c r="AR66" s="4" t="s">
        <v>327</v>
      </c>
      <c r="AS66" s="5">
        <f t="shared" si="0"/>
        <v>17.756313926940638</v>
      </c>
    </row>
    <row r="67" spans="1:45" ht="14.25" customHeight="1" x14ac:dyDescent="0.55000000000000004">
      <c r="A67" s="4">
        <v>22.33</v>
      </c>
      <c r="B67" s="4">
        <v>31.59</v>
      </c>
      <c r="C67" s="4">
        <v>5486.02</v>
      </c>
      <c r="D67" s="4">
        <v>7.6</v>
      </c>
      <c r="E67" s="4" t="s">
        <v>1367</v>
      </c>
      <c r="F67" s="4" t="s">
        <v>1368</v>
      </c>
      <c r="G67" s="4" t="s">
        <v>1192</v>
      </c>
      <c r="H67" s="4" t="s">
        <v>1369</v>
      </c>
      <c r="I67" s="4">
        <v>0</v>
      </c>
      <c r="J67" s="4">
        <v>692.8</v>
      </c>
      <c r="K67" s="4">
        <f t="shared" ref="K67:K130" si="4">IF(E67=0,0,
VALUE(MID(E67,2,FIND(",",E67)-2))+
VALUE(MID(F67,2,FIND(",",F67)-2))+
VALUE(MID(G67,2,FIND(",",G67)-2))
)</f>
        <v>63.26</v>
      </c>
      <c r="L67" s="4">
        <f t="shared" ref="L67:L130" si="5">IF(E67=0,0,
VALUE(MID(E67,FIND(",",E67)+1,FIND("]",E67)-FIND(",",E67)-1))+
VALUE(MID(F67,FIND(",",F67)+1,FIND("]",F67)-FIND(",",F67)-1))+
VALUE(MID(G67,FIND(",",G67)+1,FIND("]",G67)-FIND(",",G67)-1))
)</f>
        <v>67.25</v>
      </c>
      <c r="M67" s="4">
        <f t="shared" ref="M67:M130" si="6">(K67-L67)</f>
        <v>-3.990000000000002</v>
      </c>
      <c r="N67" s="4">
        <v>7.24</v>
      </c>
      <c r="O67" s="4">
        <v>90.1</v>
      </c>
      <c r="P67" s="4">
        <v>62</v>
      </c>
      <c r="Q67" s="4">
        <v>23.3</v>
      </c>
      <c r="R67" s="4">
        <v>9.26</v>
      </c>
      <c r="S67" s="4">
        <v>18.25</v>
      </c>
      <c r="T67" s="4">
        <v>4.08</v>
      </c>
      <c r="U67" s="4">
        <v>7.92</v>
      </c>
      <c r="V67" s="4">
        <v>3511.05</v>
      </c>
      <c r="W67" s="4">
        <v>1052.51</v>
      </c>
      <c r="X67" s="4">
        <v>1314.68</v>
      </c>
      <c r="Y67" s="4">
        <v>766.58</v>
      </c>
      <c r="Z67" s="4">
        <v>6.11</v>
      </c>
      <c r="AA67" s="4">
        <v>1.65</v>
      </c>
      <c r="AB67" s="4">
        <v>4.3099999999999996</v>
      </c>
      <c r="AC67" s="4">
        <v>69.430000000000007</v>
      </c>
      <c r="AD67" s="4">
        <v>680</v>
      </c>
      <c r="AE67" s="4">
        <v>5900</v>
      </c>
      <c r="AF67" s="4">
        <v>83.56</v>
      </c>
      <c r="AG67" s="4">
        <v>0.59</v>
      </c>
      <c r="AH67" s="4">
        <v>12.08</v>
      </c>
      <c r="AI67" s="4">
        <v>45.55</v>
      </c>
      <c r="AJ67" s="4">
        <v>60</v>
      </c>
      <c r="AK67" s="4">
        <v>9</v>
      </c>
      <c r="AL67" s="4">
        <v>9</v>
      </c>
      <c r="AM67" s="4">
        <v>0.69</v>
      </c>
      <c r="AN67" s="4">
        <v>408</v>
      </c>
      <c r="AO67" s="4">
        <v>414.21</v>
      </c>
      <c r="AP67" s="4">
        <v>407930.09</v>
      </c>
      <c r="AQ67" s="4">
        <v>192361.5</v>
      </c>
      <c r="AR67" s="4" t="s">
        <v>331</v>
      </c>
      <c r="AS67" s="5">
        <f t="shared" si="0"/>
        <v>12.304143264840183</v>
      </c>
    </row>
    <row r="68" spans="1:45" ht="14.25" customHeight="1" x14ac:dyDescent="0.55000000000000004">
      <c r="A68" s="4">
        <v>22.19</v>
      </c>
      <c r="B68" s="4">
        <v>31.25</v>
      </c>
      <c r="C68" s="4">
        <v>5512.16</v>
      </c>
      <c r="D68" s="4">
        <v>7.6</v>
      </c>
      <c r="E68" s="4" t="s">
        <v>1370</v>
      </c>
      <c r="F68" s="4" t="s">
        <v>1371</v>
      </c>
      <c r="G68" s="4" t="s">
        <v>690</v>
      </c>
      <c r="H68" s="4" t="s">
        <v>1372</v>
      </c>
      <c r="I68" s="4">
        <v>0</v>
      </c>
      <c r="J68" s="4">
        <v>630.76</v>
      </c>
      <c r="K68" s="4">
        <f t="shared" si="4"/>
        <v>57.379999999999995</v>
      </c>
      <c r="L68" s="4">
        <f t="shared" si="5"/>
        <v>60.94</v>
      </c>
      <c r="M68" s="4">
        <f t="shared" si="6"/>
        <v>-3.5600000000000023</v>
      </c>
      <c r="N68" s="4">
        <v>7.19</v>
      </c>
      <c r="O68" s="4">
        <v>89.91</v>
      </c>
      <c r="P68" s="4">
        <v>84</v>
      </c>
      <c r="Q68" s="4">
        <v>20.5</v>
      </c>
      <c r="R68" s="4">
        <v>9.06</v>
      </c>
      <c r="S68" s="4">
        <v>18.510000000000002</v>
      </c>
      <c r="T68" s="4">
        <v>3.68</v>
      </c>
      <c r="U68" s="4">
        <v>8.74</v>
      </c>
      <c r="V68" s="4">
        <v>3527.78</v>
      </c>
      <c r="W68" s="4">
        <v>1060.25</v>
      </c>
      <c r="X68" s="4">
        <v>1353.6</v>
      </c>
      <c r="Y68" s="4">
        <v>777.97</v>
      </c>
      <c r="Z68" s="4">
        <v>6.12</v>
      </c>
      <c r="AA68" s="4">
        <v>1.65</v>
      </c>
      <c r="AB68" s="4">
        <v>4.29</v>
      </c>
      <c r="AC68" s="4">
        <v>71.14</v>
      </c>
      <c r="AD68" s="4">
        <v>680</v>
      </c>
      <c r="AE68" s="4">
        <v>5900</v>
      </c>
      <c r="AF68" s="4">
        <v>81.790000000000006</v>
      </c>
      <c r="AG68" s="4">
        <v>0.59</v>
      </c>
      <c r="AH68" s="4">
        <v>10.57</v>
      </c>
      <c r="AI68" s="4">
        <v>50.26</v>
      </c>
      <c r="AJ68" s="4">
        <v>60</v>
      </c>
      <c r="AK68" s="4">
        <v>9</v>
      </c>
      <c r="AL68" s="4">
        <v>9</v>
      </c>
      <c r="AM68" s="4">
        <v>0.63</v>
      </c>
      <c r="AN68" s="4">
        <v>408</v>
      </c>
      <c r="AO68" s="4">
        <v>413.63</v>
      </c>
      <c r="AP68" s="4">
        <v>394111.11</v>
      </c>
      <c r="AQ68" s="4">
        <v>170236.89</v>
      </c>
      <c r="AR68" s="4" t="s">
        <v>335</v>
      </c>
      <c r="AS68" s="5">
        <f t="shared" si="0"/>
        <v>12.778208904109588</v>
      </c>
    </row>
    <row r="69" spans="1:45" ht="14.25" customHeight="1" x14ac:dyDescent="0.55000000000000004">
      <c r="A69" s="4">
        <v>22.09</v>
      </c>
      <c r="B69" s="4">
        <v>31.17</v>
      </c>
      <c r="C69" s="4">
        <v>5502.13</v>
      </c>
      <c r="D69" s="4">
        <v>7.6</v>
      </c>
      <c r="E69" s="4" t="s">
        <v>1373</v>
      </c>
      <c r="F69" s="4" t="s">
        <v>1374</v>
      </c>
      <c r="G69" s="4" t="s">
        <v>1375</v>
      </c>
      <c r="H69" s="4" t="s">
        <v>1376</v>
      </c>
      <c r="I69" s="4">
        <v>0</v>
      </c>
      <c r="J69" s="4">
        <v>576.36</v>
      </c>
      <c r="K69" s="4">
        <f t="shared" si="4"/>
        <v>54.070000000000007</v>
      </c>
      <c r="L69" s="4">
        <f t="shared" si="5"/>
        <v>57.2</v>
      </c>
      <c r="M69" s="4">
        <f t="shared" si="6"/>
        <v>-3.1299999999999955</v>
      </c>
      <c r="N69" s="4">
        <v>7.15</v>
      </c>
      <c r="O69" s="4">
        <v>90.23</v>
      </c>
      <c r="P69" s="4">
        <v>89</v>
      </c>
      <c r="Q69" s="4">
        <v>19.399999999999999</v>
      </c>
      <c r="R69" s="4">
        <v>9.08</v>
      </c>
      <c r="S69" s="4">
        <v>18.059999999999999</v>
      </c>
      <c r="T69" s="4">
        <v>4.03</v>
      </c>
      <c r="U69" s="4">
        <v>9.5500000000000007</v>
      </c>
      <c r="V69" s="4">
        <v>3521.36</v>
      </c>
      <c r="W69" s="4">
        <v>1062.8</v>
      </c>
      <c r="X69" s="4">
        <v>1397.17</v>
      </c>
      <c r="Y69" s="4">
        <v>788.44</v>
      </c>
      <c r="Z69" s="4">
        <v>6.14</v>
      </c>
      <c r="AA69" s="4">
        <v>1.67</v>
      </c>
      <c r="AB69" s="4">
        <v>4.26</v>
      </c>
      <c r="AC69" s="4">
        <v>69.239999999999995</v>
      </c>
      <c r="AD69" s="4">
        <v>680</v>
      </c>
      <c r="AE69" s="4">
        <v>5900</v>
      </c>
      <c r="AF69" s="4">
        <v>81.95</v>
      </c>
      <c r="AG69" s="4">
        <v>0.59</v>
      </c>
      <c r="AH69" s="4">
        <v>9.59</v>
      </c>
      <c r="AI69" s="4">
        <v>53.55</v>
      </c>
      <c r="AJ69" s="4">
        <v>60</v>
      </c>
      <c r="AK69" s="4">
        <v>9</v>
      </c>
      <c r="AL69" s="4">
        <v>9</v>
      </c>
      <c r="AM69" s="4">
        <v>0.59</v>
      </c>
      <c r="AN69" s="4">
        <v>408</v>
      </c>
      <c r="AO69" s="4">
        <v>413.28</v>
      </c>
      <c r="AP69" s="4">
        <v>388396.51</v>
      </c>
      <c r="AQ69" s="4">
        <v>150414.79</v>
      </c>
      <c r="AR69" s="4" t="s">
        <v>340</v>
      </c>
      <c r="AS69" s="5">
        <f t="shared" si="0"/>
        <v>13.583431506849315</v>
      </c>
    </row>
    <row r="70" spans="1:45" ht="14.25" customHeight="1" x14ac:dyDescent="0.55000000000000004">
      <c r="A70" s="4">
        <v>21.89</v>
      </c>
      <c r="B70" s="4">
        <v>31</v>
      </c>
      <c r="C70" s="4">
        <v>5473.76</v>
      </c>
      <c r="D70" s="4">
        <v>7.6</v>
      </c>
      <c r="E70" s="4" t="s">
        <v>1377</v>
      </c>
      <c r="F70" s="4" t="s">
        <v>1378</v>
      </c>
      <c r="G70" s="4" t="s">
        <v>1379</v>
      </c>
      <c r="H70" s="4" t="s">
        <v>1380</v>
      </c>
      <c r="I70" s="4">
        <v>0</v>
      </c>
      <c r="J70" s="4">
        <v>345.92</v>
      </c>
      <c r="K70" s="4">
        <f t="shared" si="4"/>
        <v>56.78</v>
      </c>
      <c r="L70" s="4">
        <f t="shared" si="5"/>
        <v>64.73</v>
      </c>
      <c r="M70" s="4">
        <f t="shared" si="6"/>
        <v>-7.9500000000000028</v>
      </c>
      <c r="N70" s="4">
        <v>6.92</v>
      </c>
      <c r="O70" s="4">
        <v>90.01</v>
      </c>
      <c r="P70" s="4">
        <v>92</v>
      </c>
      <c r="Q70" s="4">
        <v>19.100000000000001</v>
      </c>
      <c r="R70" s="4">
        <v>9.1</v>
      </c>
      <c r="S70" s="4">
        <v>18.13</v>
      </c>
      <c r="T70" s="4">
        <v>3.76</v>
      </c>
      <c r="U70" s="4">
        <v>15.82</v>
      </c>
      <c r="V70" s="4">
        <v>3503.21</v>
      </c>
      <c r="W70" s="4">
        <v>1072.31</v>
      </c>
      <c r="X70" s="4">
        <v>1602.56</v>
      </c>
      <c r="Y70" s="4">
        <v>830.43</v>
      </c>
      <c r="Z70" s="4">
        <v>5.7</v>
      </c>
      <c r="AA70" s="4">
        <v>1.73</v>
      </c>
      <c r="AB70" s="4">
        <v>4.13</v>
      </c>
      <c r="AC70" s="4">
        <v>70.75</v>
      </c>
      <c r="AD70" s="4">
        <v>680</v>
      </c>
      <c r="AE70" s="4">
        <v>5900</v>
      </c>
      <c r="AF70" s="4">
        <v>82.19</v>
      </c>
      <c r="AG70" s="4">
        <v>0.59</v>
      </c>
      <c r="AH70" s="4">
        <v>5.54</v>
      </c>
      <c r="AI70" s="4">
        <v>47.32</v>
      </c>
      <c r="AJ70" s="4">
        <v>60</v>
      </c>
      <c r="AK70" s="4">
        <v>9</v>
      </c>
      <c r="AL70" s="4">
        <v>9</v>
      </c>
      <c r="AM70" s="4">
        <v>0.66</v>
      </c>
      <c r="AN70" s="4">
        <v>408</v>
      </c>
      <c r="AO70" s="4">
        <v>413.97</v>
      </c>
      <c r="AP70" s="4">
        <v>469317.51</v>
      </c>
      <c r="AQ70" s="4">
        <v>184684.01</v>
      </c>
      <c r="AR70" s="4" t="s">
        <v>345</v>
      </c>
      <c r="AS70" s="5">
        <f t="shared" si="0"/>
        <v>16.246204337899542</v>
      </c>
    </row>
    <row r="71" spans="1:45" ht="14.25" customHeight="1" x14ac:dyDescent="0.55000000000000004">
      <c r="A71" s="4">
        <v>21.11</v>
      </c>
      <c r="B71" s="4">
        <v>30.26</v>
      </c>
      <c r="C71" s="4">
        <v>5471.34</v>
      </c>
      <c r="D71" s="4">
        <v>7.61</v>
      </c>
      <c r="E71" s="4" t="s">
        <v>1381</v>
      </c>
      <c r="F71" s="4" t="s">
        <v>1382</v>
      </c>
      <c r="G71" s="4" t="s">
        <v>1383</v>
      </c>
      <c r="H71" s="4" t="s">
        <v>1384</v>
      </c>
      <c r="I71" s="4">
        <v>0</v>
      </c>
      <c r="J71" s="4">
        <v>353.18</v>
      </c>
      <c r="K71" s="4">
        <f t="shared" si="4"/>
        <v>54.71</v>
      </c>
      <c r="L71" s="4">
        <f t="shared" si="5"/>
        <v>62.300000000000004</v>
      </c>
      <c r="M71" s="4">
        <f t="shared" si="6"/>
        <v>-7.5900000000000034</v>
      </c>
      <c r="N71" s="4">
        <v>6.93</v>
      </c>
      <c r="O71" s="4">
        <v>89.99</v>
      </c>
      <c r="P71" s="4">
        <v>97</v>
      </c>
      <c r="Q71" s="4">
        <v>17.3</v>
      </c>
      <c r="R71" s="4">
        <v>9.15</v>
      </c>
      <c r="S71" s="4">
        <v>16.940000000000001</v>
      </c>
      <c r="T71" s="4">
        <v>4.18</v>
      </c>
      <c r="U71" s="4">
        <v>15.49</v>
      </c>
      <c r="V71" s="4">
        <v>3501.66</v>
      </c>
      <c r="W71" s="4">
        <v>1071.3699999999999</v>
      </c>
      <c r="X71" s="4">
        <v>1593.12</v>
      </c>
      <c r="Y71" s="4">
        <v>828.4</v>
      </c>
      <c r="Z71" s="4">
        <v>5.71</v>
      </c>
      <c r="AA71" s="4">
        <v>1.72</v>
      </c>
      <c r="AB71" s="4">
        <v>4.16</v>
      </c>
      <c r="AC71" s="4">
        <v>68.66</v>
      </c>
      <c r="AD71" s="4">
        <v>680</v>
      </c>
      <c r="AE71" s="4">
        <v>5900</v>
      </c>
      <c r="AF71" s="4">
        <v>82.58</v>
      </c>
      <c r="AG71" s="4">
        <v>0.59</v>
      </c>
      <c r="AH71" s="4">
        <v>5.7</v>
      </c>
      <c r="AI71" s="4">
        <v>49.17</v>
      </c>
      <c r="AJ71" s="4">
        <v>60</v>
      </c>
      <c r="AK71" s="4">
        <v>9</v>
      </c>
      <c r="AL71" s="4">
        <v>9</v>
      </c>
      <c r="AM71" s="4">
        <v>0.64</v>
      </c>
      <c r="AN71" s="4">
        <v>408</v>
      </c>
      <c r="AO71" s="4">
        <v>413.75</v>
      </c>
      <c r="AP71" s="4">
        <v>449433.59999999998</v>
      </c>
      <c r="AQ71" s="4">
        <v>176814.41</v>
      </c>
      <c r="AR71" s="4" t="s">
        <v>1385</v>
      </c>
      <c r="AS71" s="5">
        <f t="shared" si="0"/>
        <v>15.560456050228307</v>
      </c>
    </row>
    <row r="72" spans="1:45" ht="14.25" customHeight="1" x14ac:dyDescent="0.55000000000000004">
      <c r="A72" s="4">
        <v>22.27</v>
      </c>
      <c r="B72" s="4">
        <v>31.33</v>
      </c>
      <c r="C72" s="4">
        <v>5473.76</v>
      </c>
      <c r="D72" s="4">
        <v>7.6</v>
      </c>
      <c r="E72" s="4" t="s">
        <v>1386</v>
      </c>
      <c r="F72" s="4" t="s">
        <v>1387</v>
      </c>
      <c r="G72" s="4" t="s">
        <v>1388</v>
      </c>
      <c r="H72" s="4" t="s">
        <v>1389</v>
      </c>
      <c r="I72" s="4">
        <v>0</v>
      </c>
      <c r="J72" s="4">
        <v>423.64</v>
      </c>
      <c r="K72" s="4">
        <f t="shared" si="4"/>
        <v>60.63</v>
      </c>
      <c r="L72" s="4">
        <f t="shared" si="5"/>
        <v>65.53</v>
      </c>
      <c r="M72" s="4">
        <f t="shared" si="6"/>
        <v>-4.8999999999999986</v>
      </c>
      <c r="N72" s="4">
        <v>6.98</v>
      </c>
      <c r="O72" s="4">
        <v>90.26</v>
      </c>
      <c r="P72" s="4">
        <v>83</v>
      </c>
      <c r="Q72" s="4">
        <v>20.6</v>
      </c>
      <c r="R72" s="4">
        <v>9.06</v>
      </c>
      <c r="S72" s="4">
        <v>18.48</v>
      </c>
      <c r="T72" s="4">
        <v>3.79</v>
      </c>
      <c r="U72" s="4">
        <v>12.92</v>
      </c>
      <c r="V72" s="4">
        <v>3503.21</v>
      </c>
      <c r="W72" s="4">
        <v>1062.25</v>
      </c>
      <c r="X72" s="4">
        <v>1481.89</v>
      </c>
      <c r="Y72" s="4">
        <v>801.89</v>
      </c>
      <c r="Z72" s="4">
        <v>6.01</v>
      </c>
      <c r="AA72" s="4">
        <v>1.7</v>
      </c>
      <c r="AB72" s="4">
        <v>4.2</v>
      </c>
      <c r="AC72" s="4">
        <v>70.510000000000005</v>
      </c>
      <c r="AD72" s="4">
        <v>680</v>
      </c>
      <c r="AE72" s="4">
        <v>5900</v>
      </c>
      <c r="AF72" s="4">
        <v>81.8</v>
      </c>
      <c r="AG72" s="4">
        <v>0.59</v>
      </c>
      <c r="AH72" s="4">
        <v>6.86</v>
      </c>
      <c r="AI72" s="4">
        <v>46.75</v>
      </c>
      <c r="AJ72" s="4">
        <v>60</v>
      </c>
      <c r="AK72" s="4">
        <v>9</v>
      </c>
      <c r="AL72" s="4">
        <v>9</v>
      </c>
      <c r="AM72" s="4">
        <v>0.67</v>
      </c>
      <c r="AN72" s="4">
        <v>408</v>
      </c>
      <c r="AO72" s="4">
        <v>414.05</v>
      </c>
      <c r="AP72" s="4">
        <v>503040.77</v>
      </c>
      <c r="AQ72" s="4">
        <v>187129.04</v>
      </c>
      <c r="AR72" s="4" t="s">
        <v>350</v>
      </c>
      <c r="AS72" s="5">
        <f t="shared" si="0"/>
        <v>18.031491438356163</v>
      </c>
    </row>
    <row r="73" spans="1:45" ht="14.25" customHeight="1" x14ac:dyDescent="0.55000000000000004">
      <c r="A73" s="4">
        <v>21.97</v>
      </c>
      <c r="B73" s="4">
        <v>31.05</v>
      </c>
      <c r="C73" s="4">
        <v>5468.28</v>
      </c>
      <c r="D73" s="4">
        <v>7.59</v>
      </c>
      <c r="E73" s="4" t="s">
        <v>1390</v>
      </c>
      <c r="F73" s="4" t="s">
        <v>1391</v>
      </c>
      <c r="G73" s="4" t="s">
        <v>1392</v>
      </c>
      <c r="H73" s="4" t="s">
        <v>1393</v>
      </c>
      <c r="I73" s="4">
        <v>0</v>
      </c>
      <c r="J73" s="4">
        <v>304.35000000000002</v>
      </c>
      <c r="K73" s="4">
        <f t="shared" si="4"/>
        <v>54.120000000000005</v>
      </c>
      <c r="L73" s="4">
        <f t="shared" si="5"/>
        <v>61.599999999999994</v>
      </c>
      <c r="M73" s="4">
        <f t="shared" si="6"/>
        <v>-7.4799999999999898</v>
      </c>
      <c r="N73" s="4">
        <v>6.87</v>
      </c>
      <c r="O73" s="4">
        <v>90.03</v>
      </c>
      <c r="P73" s="4">
        <v>95</v>
      </c>
      <c r="Q73" s="4">
        <v>18.600000000000001</v>
      </c>
      <c r="R73" s="4">
        <v>9.07</v>
      </c>
      <c r="S73" s="4">
        <v>17.989999999999998</v>
      </c>
      <c r="T73" s="4">
        <v>3.98</v>
      </c>
      <c r="U73" s="4">
        <v>17.97</v>
      </c>
      <c r="V73" s="4">
        <v>3499.7</v>
      </c>
      <c r="W73" s="4">
        <v>1076.02</v>
      </c>
      <c r="X73" s="4">
        <v>1671.14</v>
      </c>
      <c r="Y73" s="4">
        <v>844.56</v>
      </c>
      <c r="Z73" s="4">
        <v>5.71</v>
      </c>
      <c r="AA73" s="4">
        <v>1.74</v>
      </c>
      <c r="AB73" s="4">
        <v>4.0999999999999996</v>
      </c>
      <c r="AC73" s="4">
        <v>69.510000000000005</v>
      </c>
      <c r="AD73" s="4">
        <v>680</v>
      </c>
      <c r="AE73" s="4">
        <v>5900</v>
      </c>
      <c r="AF73" s="4">
        <v>81.91</v>
      </c>
      <c r="AG73" s="4">
        <v>0.59</v>
      </c>
      <c r="AH73" s="4">
        <v>4.83</v>
      </c>
      <c r="AI73" s="4">
        <v>49.73</v>
      </c>
      <c r="AJ73" s="4">
        <v>60</v>
      </c>
      <c r="AK73" s="4">
        <v>9</v>
      </c>
      <c r="AL73" s="4">
        <v>9</v>
      </c>
      <c r="AM73" s="4">
        <v>0.63</v>
      </c>
      <c r="AN73" s="4">
        <v>408</v>
      </c>
      <c r="AO73" s="4">
        <v>413.69</v>
      </c>
      <c r="AP73" s="4">
        <v>466297.43</v>
      </c>
      <c r="AQ73" s="4">
        <v>176690.37</v>
      </c>
      <c r="AR73" s="4" t="s">
        <v>355</v>
      </c>
      <c r="AS73" s="5">
        <f t="shared" si="0"/>
        <v>16.530083333333334</v>
      </c>
    </row>
    <row r="74" spans="1:45" ht="14.25" customHeight="1" x14ac:dyDescent="0.55000000000000004">
      <c r="A74" s="4">
        <v>21.96</v>
      </c>
      <c r="B74" s="4">
        <v>31.1</v>
      </c>
      <c r="C74" s="4">
        <v>5468.71</v>
      </c>
      <c r="D74" s="4">
        <v>7.61</v>
      </c>
      <c r="E74" s="4" t="s">
        <v>1394</v>
      </c>
      <c r="F74" s="4" t="s">
        <v>1395</v>
      </c>
      <c r="G74" s="4" t="s">
        <v>1396</v>
      </c>
      <c r="H74" s="4" t="s">
        <v>1397</v>
      </c>
      <c r="I74" s="4">
        <v>0</v>
      </c>
      <c r="J74" s="4">
        <v>339.04</v>
      </c>
      <c r="K74" s="4">
        <f t="shared" si="4"/>
        <v>55.27</v>
      </c>
      <c r="L74" s="4">
        <f t="shared" si="5"/>
        <v>62.96</v>
      </c>
      <c r="M74" s="4">
        <f t="shared" si="6"/>
        <v>-7.6899999999999977</v>
      </c>
      <c r="N74" s="4">
        <v>6.89</v>
      </c>
      <c r="O74" s="4">
        <v>89.95</v>
      </c>
      <c r="P74" s="4">
        <v>90</v>
      </c>
      <c r="Q74" s="4">
        <v>19.399999999999999</v>
      </c>
      <c r="R74" s="4">
        <v>9.14</v>
      </c>
      <c r="S74" s="4">
        <v>18.18</v>
      </c>
      <c r="T74" s="4">
        <v>3.78</v>
      </c>
      <c r="U74" s="4">
        <v>16.13</v>
      </c>
      <c r="V74" s="4">
        <v>3499.97</v>
      </c>
      <c r="W74" s="4">
        <v>1068.3800000000001</v>
      </c>
      <c r="X74" s="4">
        <v>1584.95</v>
      </c>
      <c r="Y74" s="4">
        <v>823.38</v>
      </c>
      <c r="Z74" s="4">
        <v>5.71</v>
      </c>
      <c r="AA74" s="4">
        <v>1.74</v>
      </c>
      <c r="AB74" s="4">
        <v>4.1399999999999997</v>
      </c>
      <c r="AC74" s="4">
        <v>70.73</v>
      </c>
      <c r="AD74" s="4">
        <v>680</v>
      </c>
      <c r="AE74" s="4">
        <v>5900</v>
      </c>
      <c r="AF74" s="4">
        <v>82.47</v>
      </c>
      <c r="AG74" s="4">
        <v>0.59</v>
      </c>
      <c r="AH74" s="4">
        <v>5.45</v>
      </c>
      <c r="AI74" s="4">
        <v>48.65</v>
      </c>
      <c r="AJ74" s="4">
        <v>60</v>
      </c>
      <c r="AK74" s="4">
        <v>9</v>
      </c>
      <c r="AL74" s="4">
        <v>9</v>
      </c>
      <c r="AM74" s="4">
        <v>0.65</v>
      </c>
      <c r="AN74" s="4">
        <v>408</v>
      </c>
      <c r="AO74" s="4">
        <v>413.81</v>
      </c>
      <c r="AP74" s="4">
        <v>466804.61</v>
      </c>
      <c r="AQ74" s="4">
        <v>187391.04</v>
      </c>
      <c r="AR74" s="4" t="s">
        <v>1398</v>
      </c>
      <c r="AS74" s="5">
        <f t="shared" si="0"/>
        <v>15.948263127853878</v>
      </c>
    </row>
    <row r="75" spans="1:45" ht="14.25" customHeight="1" x14ac:dyDescent="0.55000000000000004">
      <c r="A75" s="4">
        <v>21.73</v>
      </c>
      <c r="B75" s="4">
        <v>30.86</v>
      </c>
      <c r="C75" s="4">
        <v>5464.02</v>
      </c>
      <c r="D75" s="4">
        <v>7.61</v>
      </c>
      <c r="E75" s="4" t="s">
        <v>1399</v>
      </c>
      <c r="F75" s="4" t="s">
        <v>1400</v>
      </c>
      <c r="G75" s="4" t="s">
        <v>1401</v>
      </c>
      <c r="H75" s="4" t="s">
        <v>1402</v>
      </c>
      <c r="I75" s="4">
        <v>0</v>
      </c>
      <c r="J75" s="4">
        <v>284.94</v>
      </c>
      <c r="K75" s="4">
        <f t="shared" si="4"/>
        <v>53.54</v>
      </c>
      <c r="L75" s="4">
        <f t="shared" si="5"/>
        <v>60.9</v>
      </c>
      <c r="M75" s="4">
        <f t="shared" si="6"/>
        <v>-7.3599999999999994</v>
      </c>
      <c r="N75" s="4">
        <v>6.86</v>
      </c>
      <c r="O75" s="4">
        <v>90.01</v>
      </c>
      <c r="P75" s="4">
        <v>96</v>
      </c>
      <c r="Q75" s="4">
        <v>18.100000000000001</v>
      </c>
      <c r="R75" s="4">
        <v>9.14</v>
      </c>
      <c r="S75" s="4">
        <v>17.62</v>
      </c>
      <c r="T75" s="4">
        <v>4.1100000000000003</v>
      </c>
      <c r="U75" s="4">
        <v>19.18</v>
      </c>
      <c r="V75" s="4">
        <v>3496.97</v>
      </c>
      <c r="W75" s="4">
        <v>1080.78</v>
      </c>
      <c r="X75" s="4">
        <v>1730.54</v>
      </c>
      <c r="Y75" s="4">
        <v>859.1</v>
      </c>
      <c r="Z75" s="4">
        <v>5.71</v>
      </c>
      <c r="AA75" s="4">
        <v>1.77</v>
      </c>
      <c r="AB75" s="4">
        <v>4.0599999999999996</v>
      </c>
      <c r="AC75" s="4">
        <v>68.97</v>
      </c>
      <c r="AD75" s="4">
        <v>680</v>
      </c>
      <c r="AE75" s="4">
        <v>5900</v>
      </c>
      <c r="AF75" s="4">
        <v>82.48</v>
      </c>
      <c r="AG75" s="4">
        <v>0.59</v>
      </c>
      <c r="AH75" s="4">
        <v>4.54</v>
      </c>
      <c r="AI75" s="4">
        <v>50.29</v>
      </c>
      <c r="AJ75" s="4">
        <v>60</v>
      </c>
      <c r="AK75" s="4">
        <v>9</v>
      </c>
      <c r="AL75" s="4">
        <v>9</v>
      </c>
      <c r="AM75" s="4">
        <v>0.62</v>
      </c>
      <c r="AN75" s="4">
        <v>408</v>
      </c>
      <c r="AO75" s="4">
        <v>413.62</v>
      </c>
      <c r="AP75" s="4">
        <v>465877.27</v>
      </c>
      <c r="AQ75" s="4">
        <v>170226.55</v>
      </c>
      <c r="AR75" s="4" t="s">
        <v>1403</v>
      </c>
      <c r="AS75" s="5">
        <f t="shared" si="0"/>
        <v>16.875041095890413</v>
      </c>
    </row>
    <row r="76" spans="1:45" ht="14.25" customHeight="1" x14ac:dyDescent="0.55000000000000004">
      <c r="A76" s="4">
        <v>22.19</v>
      </c>
      <c r="B76" s="4">
        <v>31.21</v>
      </c>
      <c r="C76" s="4">
        <v>5453.04</v>
      </c>
      <c r="D76" s="4">
        <v>7.6</v>
      </c>
      <c r="E76" s="4" t="s">
        <v>1404</v>
      </c>
      <c r="F76" s="4" t="s">
        <v>1405</v>
      </c>
      <c r="G76" s="4" t="s">
        <v>1406</v>
      </c>
      <c r="H76" s="4" t="s">
        <v>1407</v>
      </c>
      <c r="I76" s="4">
        <v>0</v>
      </c>
      <c r="J76" s="4">
        <v>297.58</v>
      </c>
      <c r="K76" s="4">
        <f t="shared" si="4"/>
        <v>53.2</v>
      </c>
      <c r="L76" s="4">
        <f t="shared" si="5"/>
        <v>57.47</v>
      </c>
      <c r="M76" s="4">
        <f t="shared" si="6"/>
        <v>-4.269999999999996</v>
      </c>
      <c r="N76" s="4">
        <v>6.86</v>
      </c>
      <c r="O76" s="4">
        <v>90.09</v>
      </c>
      <c r="P76" s="4">
        <v>88</v>
      </c>
      <c r="Q76" s="4">
        <v>20.100000000000001</v>
      </c>
      <c r="R76" s="4">
        <v>9.02</v>
      </c>
      <c r="S76" s="4">
        <v>18.62</v>
      </c>
      <c r="T76" s="4">
        <v>3.57</v>
      </c>
      <c r="U76" s="4">
        <v>18.32</v>
      </c>
      <c r="V76" s="4">
        <v>3489.95</v>
      </c>
      <c r="W76" s="4">
        <v>1071.78</v>
      </c>
      <c r="X76" s="4">
        <v>1664.07</v>
      </c>
      <c r="Y76" s="4">
        <v>840.01</v>
      </c>
      <c r="Z76" s="4">
        <v>6.02</v>
      </c>
      <c r="AA76" s="4">
        <v>1.75</v>
      </c>
      <c r="AB76" s="4">
        <v>4.09</v>
      </c>
      <c r="AC76" s="4">
        <v>71.66</v>
      </c>
      <c r="AD76" s="4">
        <v>680</v>
      </c>
      <c r="AE76" s="4">
        <v>5900</v>
      </c>
      <c r="AF76" s="4">
        <v>81.45</v>
      </c>
      <c r="AG76" s="4">
        <v>0.59</v>
      </c>
      <c r="AH76" s="4">
        <v>4.7</v>
      </c>
      <c r="AI76" s="4">
        <v>53.31</v>
      </c>
      <c r="AJ76" s="4">
        <v>60</v>
      </c>
      <c r="AK76" s="4">
        <v>9</v>
      </c>
      <c r="AL76" s="4">
        <v>9</v>
      </c>
      <c r="AM76" s="4">
        <v>0.59</v>
      </c>
      <c r="AN76" s="4">
        <v>408</v>
      </c>
      <c r="AO76" s="4">
        <v>413.3</v>
      </c>
      <c r="AP76" s="4">
        <v>491014.62</v>
      </c>
      <c r="AQ76" s="4">
        <v>162201.25</v>
      </c>
      <c r="AR76" s="4" t="s">
        <v>360</v>
      </c>
      <c r="AS76" s="5">
        <f t="shared" si="0"/>
        <v>18.767886415525115</v>
      </c>
    </row>
    <row r="77" spans="1:45" ht="14.25" customHeight="1" x14ac:dyDescent="0.55000000000000004">
      <c r="A77" s="4">
        <v>22.05</v>
      </c>
      <c r="B77" s="4">
        <v>31.15</v>
      </c>
      <c r="C77" s="4">
        <v>5458.09</v>
      </c>
      <c r="D77" s="4">
        <v>7.58</v>
      </c>
      <c r="E77" s="4" t="s">
        <v>1408</v>
      </c>
      <c r="F77" s="4" t="s">
        <v>1409</v>
      </c>
      <c r="G77" s="4" t="s">
        <v>1410</v>
      </c>
      <c r="H77" s="4" t="s">
        <v>1411</v>
      </c>
      <c r="I77" s="4">
        <v>0</v>
      </c>
      <c r="J77" s="4">
        <v>279.25</v>
      </c>
      <c r="K77" s="4">
        <f t="shared" si="4"/>
        <v>53.059999999999995</v>
      </c>
      <c r="L77" s="4">
        <f t="shared" si="5"/>
        <v>60.300000000000004</v>
      </c>
      <c r="M77" s="4">
        <f t="shared" si="6"/>
        <v>-7.2400000000000091</v>
      </c>
      <c r="N77" s="4">
        <v>6.85</v>
      </c>
      <c r="O77" s="4">
        <v>89.95</v>
      </c>
      <c r="P77" s="4">
        <v>90</v>
      </c>
      <c r="Q77" s="4">
        <v>19.600000000000001</v>
      </c>
      <c r="R77" s="4">
        <v>9.1</v>
      </c>
      <c r="S77" s="4">
        <v>18.38</v>
      </c>
      <c r="T77" s="4">
        <v>3.68</v>
      </c>
      <c r="U77" s="4">
        <v>19.55</v>
      </c>
      <c r="V77" s="4">
        <v>3493.18</v>
      </c>
      <c r="W77" s="4">
        <v>1079.8399999999999</v>
      </c>
      <c r="X77" s="4">
        <v>1736.77</v>
      </c>
      <c r="Y77" s="4">
        <v>859.4</v>
      </c>
      <c r="Z77" s="4">
        <v>5.72</v>
      </c>
      <c r="AA77" s="4">
        <v>1.75</v>
      </c>
      <c r="AB77" s="4">
        <v>4.07</v>
      </c>
      <c r="AC77" s="4">
        <v>71.2</v>
      </c>
      <c r="AD77" s="4">
        <v>680</v>
      </c>
      <c r="AE77" s="4">
        <v>5900</v>
      </c>
      <c r="AF77" s="4">
        <v>82.11</v>
      </c>
      <c r="AG77" s="4">
        <v>0.59</v>
      </c>
      <c r="AH77" s="4">
        <v>4.43</v>
      </c>
      <c r="AI77" s="4">
        <v>50.8</v>
      </c>
      <c r="AJ77" s="4">
        <v>60</v>
      </c>
      <c r="AK77" s="4">
        <v>9</v>
      </c>
      <c r="AL77" s="4">
        <v>9</v>
      </c>
      <c r="AM77" s="4">
        <v>0.62</v>
      </c>
      <c r="AN77" s="4">
        <v>408</v>
      </c>
      <c r="AO77" s="4">
        <v>413.57</v>
      </c>
      <c r="AP77" s="4">
        <v>465621.83</v>
      </c>
      <c r="AQ77" s="4">
        <v>169703.19</v>
      </c>
      <c r="AR77" s="4" t="s">
        <v>365</v>
      </c>
      <c r="AS77" s="5">
        <f t="shared" si="0"/>
        <v>16.890333333333334</v>
      </c>
    </row>
    <row r="78" spans="1:45" ht="14.25" customHeight="1" x14ac:dyDescent="0.55000000000000004">
      <c r="A78" s="4">
        <v>22.37</v>
      </c>
      <c r="B78" s="4">
        <v>31.59</v>
      </c>
      <c r="C78" s="4">
        <v>5496.87</v>
      </c>
      <c r="D78" s="4">
        <v>7.6</v>
      </c>
      <c r="E78" s="4" t="s">
        <v>1412</v>
      </c>
      <c r="F78" s="4" t="s">
        <v>1413</v>
      </c>
      <c r="G78" s="4" t="s">
        <v>1414</v>
      </c>
      <c r="H78" s="4" t="s">
        <v>1415</v>
      </c>
      <c r="I78" s="4">
        <v>0</v>
      </c>
      <c r="J78" s="4">
        <v>748.35</v>
      </c>
      <c r="K78" s="4">
        <f t="shared" si="4"/>
        <v>65.66</v>
      </c>
      <c r="L78" s="4">
        <f t="shared" si="5"/>
        <v>66.56</v>
      </c>
      <c r="M78" s="4">
        <f t="shared" si="6"/>
        <v>-0.90000000000000568</v>
      </c>
      <c r="N78" s="4">
        <v>7.27</v>
      </c>
      <c r="O78" s="4">
        <v>89.96</v>
      </c>
      <c r="P78" s="4">
        <v>62</v>
      </c>
      <c r="Q78" s="4">
        <v>22.9</v>
      </c>
      <c r="R78" s="4">
        <v>9.2200000000000006</v>
      </c>
      <c r="S78" s="4">
        <v>17.89</v>
      </c>
      <c r="T78" s="4">
        <v>4.4800000000000004</v>
      </c>
      <c r="U78" s="4">
        <v>7.35</v>
      </c>
      <c r="V78" s="4">
        <v>3517.99</v>
      </c>
      <c r="W78" s="4">
        <v>1051</v>
      </c>
      <c r="X78" s="4">
        <v>1281.56</v>
      </c>
      <c r="Y78" s="4">
        <v>758.71</v>
      </c>
      <c r="Z78" s="4">
        <v>9.3699999999999992</v>
      </c>
      <c r="AA78" s="4">
        <v>1.64</v>
      </c>
      <c r="AB78" s="4">
        <v>4.33</v>
      </c>
      <c r="AC78" s="4">
        <v>67.319999999999993</v>
      </c>
      <c r="AD78" s="4">
        <v>680</v>
      </c>
      <c r="AE78" s="4">
        <v>5900</v>
      </c>
      <c r="AF78" s="4">
        <v>83.26</v>
      </c>
      <c r="AG78" s="4">
        <v>0.59</v>
      </c>
      <c r="AH78" s="4">
        <v>13.12</v>
      </c>
      <c r="AI78" s="4">
        <v>67.260000000000005</v>
      </c>
      <c r="AJ78" s="4">
        <v>60</v>
      </c>
      <c r="AK78" s="4">
        <v>9</v>
      </c>
      <c r="AL78" s="4">
        <v>9</v>
      </c>
      <c r="AM78" s="4">
        <v>0.47</v>
      </c>
      <c r="AN78" s="4">
        <v>408</v>
      </c>
      <c r="AO78" s="4">
        <v>412.2</v>
      </c>
      <c r="AP78" s="4">
        <v>400971.31</v>
      </c>
      <c r="AQ78" s="4">
        <v>351665.4</v>
      </c>
      <c r="AR78" s="4" t="s">
        <v>370</v>
      </c>
      <c r="AS78" s="5">
        <f t="shared" si="0"/>
        <v>2.8142642694063911</v>
      </c>
    </row>
    <row r="79" spans="1:45" ht="14.25" customHeight="1" x14ac:dyDescent="0.55000000000000004">
      <c r="A79" s="4">
        <v>22.17</v>
      </c>
      <c r="B79" s="4">
        <v>31.15</v>
      </c>
      <c r="C79" s="4">
        <v>5483.9</v>
      </c>
      <c r="D79" s="4">
        <v>7.6</v>
      </c>
      <c r="E79" s="4" t="s">
        <v>1416</v>
      </c>
      <c r="F79" s="4" t="s">
        <v>1417</v>
      </c>
      <c r="G79" s="4" t="s">
        <v>1337</v>
      </c>
      <c r="H79" s="4" t="s">
        <v>1418</v>
      </c>
      <c r="I79" s="4">
        <v>0</v>
      </c>
      <c r="J79" s="4">
        <v>603.95000000000005</v>
      </c>
      <c r="K79" s="4">
        <f t="shared" si="4"/>
        <v>55.97</v>
      </c>
      <c r="L79" s="4">
        <f t="shared" si="5"/>
        <v>58.650000000000006</v>
      </c>
      <c r="M79" s="4">
        <f t="shared" si="6"/>
        <v>-2.6800000000000068</v>
      </c>
      <c r="N79" s="4">
        <v>7.17</v>
      </c>
      <c r="O79" s="4">
        <v>90.12</v>
      </c>
      <c r="P79" s="4">
        <v>90</v>
      </c>
      <c r="Q79" s="4">
        <v>19.8</v>
      </c>
      <c r="R79" s="4">
        <v>8.98</v>
      </c>
      <c r="S79" s="4">
        <v>18.57</v>
      </c>
      <c r="T79" s="4">
        <v>3.6</v>
      </c>
      <c r="U79" s="4">
        <v>9.08</v>
      </c>
      <c r="V79" s="4">
        <v>3509.7</v>
      </c>
      <c r="W79" s="4">
        <v>1057.17</v>
      </c>
      <c r="X79" s="4">
        <v>1370.09</v>
      </c>
      <c r="Y79" s="4">
        <v>780.14</v>
      </c>
      <c r="Z79" s="4">
        <v>6.68</v>
      </c>
      <c r="AA79" s="4">
        <v>1.67</v>
      </c>
      <c r="AB79" s="4">
        <v>4.2699999999999996</v>
      </c>
      <c r="AC79" s="4">
        <v>71.400000000000006</v>
      </c>
      <c r="AD79" s="4">
        <v>680</v>
      </c>
      <c r="AE79" s="4">
        <v>5900</v>
      </c>
      <c r="AF79" s="4">
        <v>81.040000000000006</v>
      </c>
      <c r="AG79" s="4">
        <v>0.59</v>
      </c>
      <c r="AH79" s="4">
        <v>10.029999999999999</v>
      </c>
      <c r="AI79" s="4">
        <v>56.25</v>
      </c>
      <c r="AJ79" s="4">
        <v>60</v>
      </c>
      <c r="AK79" s="4">
        <v>9</v>
      </c>
      <c r="AL79" s="4">
        <v>9</v>
      </c>
      <c r="AM79" s="4">
        <v>0.56000000000000005</v>
      </c>
      <c r="AN79" s="4">
        <v>408</v>
      </c>
      <c r="AO79" s="4">
        <v>413.03</v>
      </c>
      <c r="AP79" s="4">
        <v>391700.17</v>
      </c>
      <c r="AQ79" s="4">
        <v>187592.72</v>
      </c>
      <c r="AR79" s="4" t="s">
        <v>375</v>
      </c>
      <c r="AS79" s="5">
        <f t="shared" si="0"/>
        <v>11.649968607305935</v>
      </c>
    </row>
    <row r="80" spans="1:45" ht="14.25" customHeight="1" x14ac:dyDescent="0.55000000000000004">
      <c r="A80" s="4">
        <v>20.96</v>
      </c>
      <c r="B80" s="4">
        <v>30.06</v>
      </c>
      <c r="C80" s="4">
        <v>5474.18</v>
      </c>
      <c r="D80" s="4">
        <v>7.6</v>
      </c>
      <c r="E80" s="4" t="s">
        <v>1419</v>
      </c>
      <c r="F80" s="4" t="s">
        <v>1420</v>
      </c>
      <c r="G80" s="4" t="s">
        <v>1333</v>
      </c>
      <c r="H80" s="4" t="s">
        <v>1421</v>
      </c>
      <c r="I80" s="4">
        <v>0</v>
      </c>
      <c r="J80" s="4">
        <v>555.69000000000005</v>
      </c>
      <c r="K80" s="4">
        <f t="shared" si="4"/>
        <v>53.11</v>
      </c>
      <c r="L80" s="4">
        <f t="shared" si="5"/>
        <v>60.399999999999991</v>
      </c>
      <c r="M80" s="4">
        <f t="shared" si="6"/>
        <v>-7.289999999999992</v>
      </c>
      <c r="N80" s="4">
        <v>7.14</v>
      </c>
      <c r="O80" s="4">
        <v>89.84</v>
      </c>
      <c r="P80" s="4">
        <v>97</v>
      </c>
      <c r="Q80" s="4">
        <v>16.899999999999999</v>
      </c>
      <c r="R80" s="4">
        <v>9.1</v>
      </c>
      <c r="S80" s="4">
        <v>16.54</v>
      </c>
      <c r="T80" s="4">
        <v>4.42</v>
      </c>
      <c r="U80" s="4">
        <v>9.85</v>
      </c>
      <c r="V80" s="4">
        <v>3503.48</v>
      </c>
      <c r="W80" s="4">
        <v>1058.9100000000001</v>
      </c>
      <c r="X80" s="4">
        <v>1406.81</v>
      </c>
      <c r="Y80" s="4">
        <v>788.56</v>
      </c>
      <c r="Z80" s="4">
        <v>5.72</v>
      </c>
      <c r="AA80" s="4">
        <v>1.65</v>
      </c>
      <c r="AB80" s="4">
        <v>4.29</v>
      </c>
      <c r="AC80" s="4">
        <v>67.290000000000006</v>
      </c>
      <c r="AD80" s="4">
        <v>680</v>
      </c>
      <c r="AE80" s="4">
        <v>5900</v>
      </c>
      <c r="AF80" s="4">
        <v>82.17</v>
      </c>
      <c r="AG80" s="4">
        <v>0.59</v>
      </c>
      <c r="AH80" s="4">
        <v>9.2799999999999994</v>
      </c>
      <c r="AI80" s="4">
        <v>50.71</v>
      </c>
      <c r="AJ80" s="4">
        <v>60</v>
      </c>
      <c r="AK80" s="4">
        <v>9</v>
      </c>
      <c r="AL80" s="4">
        <v>9</v>
      </c>
      <c r="AM80" s="4">
        <v>0.62</v>
      </c>
      <c r="AN80" s="4">
        <v>408</v>
      </c>
      <c r="AO80" s="4">
        <v>413.58</v>
      </c>
      <c r="AP80" s="4">
        <v>351976.51</v>
      </c>
      <c r="AQ80" s="4">
        <v>166959.94</v>
      </c>
      <c r="AR80" s="4" t="s">
        <v>380</v>
      </c>
      <c r="AS80" s="5">
        <f t="shared" si="0"/>
        <v>10.560306506849315</v>
      </c>
    </row>
    <row r="81" spans="1:45" ht="14.25" customHeight="1" x14ac:dyDescent="0.55000000000000004">
      <c r="A81" s="4">
        <v>22.67</v>
      </c>
      <c r="B81" s="4">
        <v>31.66</v>
      </c>
      <c r="C81" s="4">
        <v>5504.84</v>
      </c>
      <c r="D81" s="4">
        <v>7.59</v>
      </c>
      <c r="E81" s="4" t="s">
        <v>1422</v>
      </c>
      <c r="F81" s="4" t="s">
        <v>1423</v>
      </c>
      <c r="G81" s="4" t="s">
        <v>1424</v>
      </c>
      <c r="H81" s="4" t="s">
        <v>1425</v>
      </c>
      <c r="I81" s="4">
        <v>0</v>
      </c>
      <c r="J81" s="4">
        <v>710.11</v>
      </c>
      <c r="K81" s="4">
        <f t="shared" si="4"/>
        <v>62.2</v>
      </c>
      <c r="L81" s="4">
        <f t="shared" si="5"/>
        <v>61.739999999999995</v>
      </c>
      <c r="M81" s="4">
        <f t="shared" si="6"/>
        <v>0.46000000000000796</v>
      </c>
      <c r="N81" s="4">
        <v>7.24</v>
      </c>
      <c r="O81" s="4">
        <v>89.97</v>
      </c>
      <c r="P81" s="4">
        <v>86</v>
      </c>
      <c r="Q81" s="4">
        <v>21</v>
      </c>
      <c r="R81" s="4">
        <v>8.99</v>
      </c>
      <c r="S81" s="4">
        <v>19.25</v>
      </c>
      <c r="T81" s="4">
        <v>3.42</v>
      </c>
      <c r="U81" s="4">
        <v>7.75</v>
      </c>
      <c r="V81" s="4">
        <v>3523.1</v>
      </c>
      <c r="W81" s="4">
        <v>1054.1199999999999</v>
      </c>
      <c r="X81" s="4">
        <v>1301.48</v>
      </c>
      <c r="Y81" s="4">
        <v>764.21</v>
      </c>
      <c r="Z81" s="4">
        <v>9.57</v>
      </c>
      <c r="AA81" s="4">
        <v>1.64</v>
      </c>
      <c r="AB81" s="4">
        <v>4.3099999999999996</v>
      </c>
      <c r="AC81" s="4">
        <v>72.459999999999994</v>
      </c>
      <c r="AD81" s="4">
        <v>680</v>
      </c>
      <c r="AE81" s="4">
        <v>5900</v>
      </c>
      <c r="AF81" s="4">
        <v>81.16</v>
      </c>
      <c r="AG81" s="4">
        <v>0.59</v>
      </c>
      <c r="AH81" s="4">
        <v>12.02</v>
      </c>
      <c r="AI81" s="4">
        <v>72.5</v>
      </c>
      <c r="AJ81" s="4">
        <v>60</v>
      </c>
      <c r="AK81" s="4">
        <v>9</v>
      </c>
      <c r="AL81" s="4">
        <v>9</v>
      </c>
      <c r="AM81" s="4">
        <v>0.43</v>
      </c>
      <c r="AN81" s="4">
        <v>408</v>
      </c>
      <c r="AO81" s="4">
        <v>411.9</v>
      </c>
      <c r="AP81" s="4">
        <v>406357.86</v>
      </c>
      <c r="AQ81" s="4">
        <v>319483.46000000002</v>
      </c>
      <c r="AR81" s="4" t="s">
        <v>384</v>
      </c>
      <c r="AS81" s="5">
        <f t="shared" si="0"/>
        <v>4.9585844748858428</v>
      </c>
    </row>
    <row r="82" spans="1:45" ht="14.25" customHeight="1" x14ac:dyDescent="0.55000000000000004">
      <c r="A82" s="4">
        <v>22.66</v>
      </c>
      <c r="B82" s="4">
        <v>31.64</v>
      </c>
      <c r="C82" s="4">
        <v>5522.17</v>
      </c>
      <c r="D82" s="4">
        <v>7.6</v>
      </c>
      <c r="E82" s="4" t="s">
        <v>1426</v>
      </c>
      <c r="F82" s="4" t="s">
        <v>1427</v>
      </c>
      <c r="G82" s="4" t="s">
        <v>1428</v>
      </c>
      <c r="H82" s="4" t="s">
        <v>1429</v>
      </c>
      <c r="I82" s="4">
        <v>0</v>
      </c>
      <c r="J82" s="4">
        <v>672.95</v>
      </c>
      <c r="K82" s="4">
        <f t="shared" si="4"/>
        <v>59.75</v>
      </c>
      <c r="L82" s="4">
        <f t="shared" si="5"/>
        <v>63.15</v>
      </c>
      <c r="M82" s="4">
        <f t="shared" si="6"/>
        <v>-3.3999999999999986</v>
      </c>
      <c r="N82" s="4">
        <v>7.22</v>
      </c>
      <c r="O82" s="4">
        <v>90.01</v>
      </c>
      <c r="P82" s="4">
        <v>84</v>
      </c>
      <c r="Q82" s="4">
        <v>21.3</v>
      </c>
      <c r="R82" s="4">
        <v>8.98</v>
      </c>
      <c r="S82" s="4">
        <v>19.29</v>
      </c>
      <c r="T82" s="4">
        <v>3.37</v>
      </c>
      <c r="U82" s="4">
        <v>8.2100000000000009</v>
      </c>
      <c r="V82" s="4">
        <v>3534.19</v>
      </c>
      <c r="W82" s="4">
        <v>1059.56</v>
      </c>
      <c r="X82" s="4">
        <v>1328.01</v>
      </c>
      <c r="Y82" s="4">
        <v>772.31</v>
      </c>
      <c r="Z82" s="4">
        <v>6.15</v>
      </c>
      <c r="AA82" s="4">
        <v>1.66</v>
      </c>
      <c r="AB82" s="4">
        <v>4.28</v>
      </c>
      <c r="AC82" s="4">
        <v>72.7</v>
      </c>
      <c r="AD82" s="4">
        <v>680</v>
      </c>
      <c r="AE82" s="4">
        <v>5900</v>
      </c>
      <c r="AF82" s="4">
        <v>81.08</v>
      </c>
      <c r="AG82" s="4">
        <v>0.59</v>
      </c>
      <c r="AH82" s="4">
        <v>11.25</v>
      </c>
      <c r="AI82" s="4">
        <v>48.51</v>
      </c>
      <c r="AJ82" s="4">
        <v>60</v>
      </c>
      <c r="AK82" s="4">
        <v>9</v>
      </c>
      <c r="AL82" s="4">
        <v>9</v>
      </c>
      <c r="AM82" s="4">
        <v>0.65</v>
      </c>
      <c r="AN82" s="4">
        <v>408</v>
      </c>
      <c r="AO82" s="4">
        <v>413.83</v>
      </c>
      <c r="AP82" s="4">
        <v>398906.9</v>
      </c>
      <c r="AQ82" s="4">
        <v>181694.8</v>
      </c>
      <c r="AR82" s="4" t="s">
        <v>388</v>
      </c>
      <c r="AS82" s="5">
        <f t="shared" si="0"/>
        <v>12.397950913242012</v>
      </c>
    </row>
    <row r="83" spans="1:45" ht="14.25" customHeight="1" x14ac:dyDescent="0.55000000000000004">
      <c r="A83" s="4">
        <v>20.64</v>
      </c>
      <c r="B83" s="4">
        <v>29.73</v>
      </c>
      <c r="C83" s="4">
        <v>5498.7</v>
      </c>
      <c r="D83" s="4">
        <v>7.6</v>
      </c>
      <c r="E83" s="4" t="s">
        <v>1430</v>
      </c>
      <c r="F83" s="4" t="s">
        <v>1431</v>
      </c>
      <c r="G83" s="4" t="s">
        <v>1432</v>
      </c>
      <c r="H83" s="4" t="s">
        <v>134</v>
      </c>
      <c r="I83" s="4">
        <v>0</v>
      </c>
      <c r="J83" s="4">
        <v>528.57000000000005</v>
      </c>
      <c r="K83" s="4">
        <f t="shared" si="4"/>
        <v>51.839999999999996</v>
      </c>
      <c r="L83" s="4">
        <f t="shared" si="5"/>
        <v>58.89</v>
      </c>
      <c r="M83" s="4">
        <f t="shared" si="6"/>
        <v>-7.0500000000000043</v>
      </c>
      <c r="N83" s="4">
        <v>7.11</v>
      </c>
      <c r="O83" s="4">
        <v>90.06</v>
      </c>
      <c r="P83" s="4">
        <v>98</v>
      </c>
      <c r="Q83" s="4">
        <v>16.7</v>
      </c>
      <c r="R83" s="4">
        <v>9.09</v>
      </c>
      <c r="S83" s="4">
        <v>16.45</v>
      </c>
      <c r="T83" s="4">
        <v>4.1900000000000004</v>
      </c>
      <c r="U83" s="4">
        <v>10.4</v>
      </c>
      <c r="V83" s="4">
        <v>3519.17</v>
      </c>
      <c r="W83" s="4">
        <v>1065.6199999999999</v>
      </c>
      <c r="X83" s="4">
        <v>1435.71</v>
      </c>
      <c r="Y83" s="4">
        <v>797.57</v>
      </c>
      <c r="Z83" s="4">
        <v>5.72</v>
      </c>
      <c r="AA83" s="4">
        <v>1.66</v>
      </c>
      <c r="AB83" s="4">
        <v>4.28</v>
      </c>
      <c r="AC83" s="4">
        <v>68.459999999999994</v>
      </c>
      <c r="AD83" s="4">
        <v>680</v>
      </c>
      <c r="AE83" s="4">
        <v>5900</v>
      </c>
      <c r="AF83" s="4">
        <v>82.05</v>
      </c>
      <c r="AG83" s="4">
        <v>0.59</v>
      </c>
      <c r="AH83" s="4">
        <v>8.73</v>
      </c>
      <c r="AI83" s="4">
        <v>52.01</v>
      </c>
      <c r="AJ83" s="4">
        <v>60</v>
      </c>
      <c r="AK83" s="4">
        <v>9</v>
      </c>
      <c r="AL83" s="4">
        <v>9</v>
      </c>
      <c r="AM83" s="4">
        <v>0.6</v>
      </c>
      <c r="AN83" s="4">
        <v>408</v>
      </c>
      <c r="AO83" s="4">
        <v>413.44</v>
      </c>
      <c r="AP83" s="4">
        <v>353154.3</v>
      </c>
      <c r="AQ83" s="4">
        <v>160784.68</v>
      </c>
      <c r="AR83" s="4" t="s">
        <v>1433</v>
      </c>
      <c r="AS83" s="5">
        <f t="shared" si="0"/>
        <v>10.980001141552512</v>
      </c>
    </row>
    <row r="84" spans="1:45" ht="14.25" customHeight="1" x14ac:dyDescent="0.55000000000000004">
      <c r="A84" s="4">
        <v>21.27</v>
      </c>
      <c r="B84" s="4">
        <v>30.33</v>
      </c>
      <c r="C84" s="4">
        <v>5470.03</v>
      </c>
      <c r="D84" s="4">
        <v>7.61</v>
      </c>
      <c r="E84" s="4" t="s">
        <v>1434</v>
      </c>
      <c r="F84" s="4" t="s">
        <v>1435</v>
      </c>
      <c r="G84" s="4" t="s">
        <v>1436</v>
      </c>
      <c r="H84" s="4" t="s">
        <v>1437</v>
      </c>
      <c r="I84" s="4">
        <v>0</v>
      </c>
      <c r="J84" s="4">
        <v>523.04999999999995</v>
      </c>
      <c r="K84" s="4">
        <f t="shared" si="4"/>
        <v>50.839999999999996</v>
      </c>
      <c r="L84" s="4">
        <f t="shared" si="5"/>
        <v>52.589999999999996</v>
      </c>
      <c r="M84" s="4">
        <f t="shared" si="6"/>
        <v>-1.75</v>
      </c>
      <c r="N84" s="4">
        <v>7.11</v>
      </c>
      <c r="O84" s="4">
        <v>90.04</v>
      </c>
      <c r="P84" s="4">
        <v>98</v>
      </c>
      <c r="Q84" s="4">
        <v>17.100000000000001</v>
      </c>
      <c r="R84" s="4">
        <v>9.0500000000000007</v>
      </c>
      <c r="S84" s="4">
        <v>16.850000000000001</v>
      </c>
      <c r="T84" s="4">
        <v>4.42</v>
      </c>
      <c r="U84" s="4">
        <v>10.46</v>
      </c>
      <c r="V84" s="4">
        <v>3500.82</v>
      </c>
      <c r="W84" s="4">
        <v>1060.0999999999999</v>
      </c>
      <c r="X84" s="4">
        <v>1430.27</v>
      </c>
      <c r="Y84" s="4">
        <v>793.68</v>
      </c>
      <c r="Z84" s="4">
        <v>13.53</v>
      </c>
      <c r="AA84" s="4">
        <v>1.67</v>
      </c>
      <c r="AB84" s="4">
        <v>4.26</v>
      </c>
      <c r="AC84" s="4">
        <v>67.19</v>
      </c>
      <c r="AD84" s="4">
        <v>680</v>
      </c>
      <c r="AE84" s="4">
        <v>5900</v>
      </c>
      <c r="AF84" s="4">
        <v>81.7</v>
      </c>
      <c r="AG84" s="4">
        <v>0.59</v>
      </c>
      <c r="AH84" s="4">
        <v>8.64</v>
      </c>
      <c r="AI84" s="4">
        <v>125.43</v>
      </c>
      <c r="AJ84" s="4">
        <v>60</v>
      </c>
      <c r="AK84" s="4">
        <v>9</v>
      </c>
      <c r="AL84" s="4">
        <v>9</v>
      </c>
      <c r="AM84" s="4">
        <v>0.25</v>
      </c>
      <c r="AN84" s="4">
        <v>408</v>
      </c>
      <c r="AO84" s="4">
        <v>410.25</v>
      </c>
      <c r="AP84" s="4">
        <v>349463.94</v>
      </c>
      <c r="AQ84" s="4">
        <v>341424.34</v>
      </c>
      <c r="AR84" s="4" t="s">
        <v>393</v>
      </c>
      <c r="AS84" s="5">
        <f t="shared" si="0"/>
        <v>0.45888127853881144</v>
      </c>
    </row>
    <row r="85" spans="1:45" ht="14.25" customHeight="1" x14ac:dyDescent="0.55000000000000004">
      <c r="A85" s="4">
        <v>20.83</v>
      </c>
      <c r="B85" s="4">
        <v>29.89</v>
      </c>
      <c r="C85" s="4">
        <v>5517.46</v>
      </c>
      <c r="D85" s="4">
        <v>7.6</v>
      </c>
      <c r="E85" s="4" t="s">
        <v>1438</v>
      </c>
      <c r="F85" s="4" t="s">
        <v>1439</v>
      </c>
      <c r="G85" s="4" t="s">
        <v>1333</v>
      </c>
      <c r="H85" s="4" t="s">
        <v>1440</v>
      </c>
      <c r="I85" s="4">
        <v>0</v>
      </c>
      <c r="J85" s="4">
        <v>591.22</v>
      </c>
      <c r="K85" s="4">
        <f t="shared" si="4"/>
        <v>55.55</v>
      </c>
      <c r="L85" s="4">
        <f t="shared" si="5"/>
        <v>62.680000000000007</v>
      </c>
      <c r="M85" s="4">
        <f t="shared" si="6"/>
        <v>-7.1300000000000097</v>
      </c>
      <c r="N85" s="4">
        <v>7.16</v>
      </c>
      <c r="O85" s="4">
        <v>90.01</v>
      </c>
      <c r="P85" s="4">
        <v>97</v>
      </c>
      <c r="Q85" s="4">
        <v>16.8</v>
      </c>
      <c r="R85" s="4">
        <v>9.06</v>
      </c>
      <c r="S85" s="4">
        <v>16.440000000000001</v>
      </c>
      <c r="T85" s="4">
        <v>4.4000000000000004</v>
      </c>
      <c r="U85" s="4">
        <v>9.33</v>
      </c>
      <c r="V85" s="4">
        <v>3531.18</v>
      </c>
      <c r="W85" s="4">
        <v>1063.98</v>
      </c>
      <c r="X85" s="4">
        <v>1384.17</v>
      </c>
      <c r="Y85" s="4">
        <v>786.06</v>
      </c>
      <c r="Z85" s="4">
        <v>5.76</v>
      </c>
      <c r="AA85" s="4">
        <v>1.64</v>
      </c>
      <c r="AB85" s="4">
        <v>4.3099999999999996</v>
      </c>
      <c r="AC85" s="4">
        <v>67.319999999999993</v>
      </c>
      <c r="AD85" s="4">
        <v>680</v>
      </c>
      <c r="AE85" s="4">
        <v>5900</v>
      </c>
      <c r="AF85" s="4">
        <v>81.790000000000006</v>
      </c>
      <c r="AG85" s="4">
        <v>0.59</v>
      </c>
      <c r="AH85" s="4">
        <v>9.82</v>
      </c>
      <c r="AI85" s="4">
        <v>48.86</v>
      </c>
      <c r="AJ85" s="4">
        <v>60</v>
      </c>
      <c r="AK85" s="4">
        <v>9</v>
      </c>
      <c r="AL85" s="4">
        <v>9</v>
      </c>
      <c r="AM85" s="4">
        <v>0.64</v>
      </c>
      <c r="AN85" s="4">
        <v>408</v>
      </c>
      <c r="AO85" s="4">
        <v>413.79</v>
      </c>
      <c r="AP85" s="4">
        <v>362504.58</v>
      </c>
      <c r="AQ85" s="4">
        <v>178415.74</v>
      </c>
      <c r="AR85" s="4" t="s">
        <v>398</v>
      </c>
      <c r="AS85" s="5">
        <f t="shared" si="0"/>
        <v>10.50735388127854</v>
      </c>
    </row>
    <row r="86" spans="1:45" ht="14.25" customHeight="1" x14ac:dyDescent="0.55000000000000004">
      <c r="A86" s="4">
        <v>22.71</v>
      </c>
      <c r="B86" s="4">
        <v>31.73</v>
      </c>
      <c r="C86" s="4">
        <v>5513.95</v>
      </c>
      <c r="D86" s="4">
        <v>7.6</v>
      </c>
      <c r="E86" s="4" t="s">
        <v>1441</v>
      </c>
      <c r="F86" s="4" t="s">
        <v>1442</v>
      </c>
      <c r="G86" s="4" t="s">
        <v>1443</v>
      </c>
      <c r="H86" s="4" t="s">
        <v>1444</v>
      </c>
      <c r="I86" s="4">
        <v>0</v>
      </c>
      <c r="J86" s="4">
        <v>644.22</v>
      </c>
      <c r="K86" s="4">
        <f t="shared" si="4"/>
        <v>58.22</v>
      </c>
      <c r="L86" s="4">
        <f t="shared" si="5"/>
        <v>61.01</v>
      </c>
      <c r="M86" s="4">
        <f t="shared" si="6"/>
        <v>-2.7899999999999991</v>
      </c>
      <c r="N86" s="4">
        <v>7.19</v>
      </c>
      <c r="O86" s="4">
        <v>90.04</v>
      </c>
      <c r="P86" s="4">
        <v>85</v>
      </c>
      <c r="Q86" s="4">
        <v>21</v>
      </c>
      <c r="R86" s="4">
        <v>9.02</v>
      </c>
      <c r="S86" s="4">
        <v>19.12</v>
      </c>
      <c r="T86" s="4">
        <v>3.59</v>
      </c>
      <c r="U86" s="4">
        <v>8.56</v>
      </c>
      <c r="V86" s="4">
        <v>3528.93</v>
      </c>
      <c r="W86" s="4">
        <v>1059.54</v>
      </c>
      <c r="X86" s="4">
        <v>1343.37</v>
      </c>
      <c r="Y86" s="4">
        <v>775.44</v>
      </c>
      <c r="Z86" s="4">
        <v>6.2</v>
      </c>
      <c r="AA86" s="4">
        <v>1.67</v>
      </c>
      <c r="AB86" s="4">
        <v>4.2699999999999996</v>
      </c>
      <c r="AC86" s="4">
        <v>71.55</v>
      </c>
      <c r="AD86" s="4">
        <v>680</v>
      </c>
      <c r="AE86" s="4">
        <v>5900</v>
      </c>
      <c r="AF86" s="4">
        <v>81.45</v>
      </c>
      <c r="AG86" s="4">
        <v>0.59</v>
      </c>
      <c r="AH86" s="4">
        <v>10.78</v>
      </c>
      <c r="AI86" s="4">
        <v>50.21</v>
      </c>
      <c r="AJ86" s="4">
        <v>60</v>
      </c>
      <c r="AK86" s="4">
        <v>9</v>
      </c>
      <c r="AL86" s="4">
        <v>9</v>
      </c>
      <c r="AM86" s="4">
        <v>0.63</v>
      </c>
      <c r="AN86" s="4">
        <v>408</v>
      </c>
      <c r="AO86" s="4">
        <v>413.63</v>
      </c>
      <c r="AP86" s="4">
        <v>403274.74</v>
      </c>
      <c r="AQ86" s="4">
        <v>171187.7</v>
      </c>
      <c r="AR86" s="4" t="s">
        <v>403</v>
      </c>
      <c r="AS86" s="5">
        <f t="shared" si="0"/>
        <v>13.246977168949771</v>
      </c>
    </row>
    <row r="87" spans="1:45" ht="14.25" customHeight="1" x14ac:dyDescent="0.55000000000000004">
      <c r="A87" s="4">
        <v>20.9</v>
      </c>
      <c r="B87" s="4">
        <v>30</v>
      </c>
      <c r="C87" s="4">
        <v>5488.11</v>
      </c>
      <c r="D87" s="4">
        <v>7.6</v>
      </c>
      <c r="E87" s="4" t="s">
        <v>1445</v>
      </c>
      <c r="F87" s="4" t="s">
        <v>1446</v>
      </c>
      <c r="G87" s="4" t="s">
        <v>625</v>
      </c>
      <c r="H87" s="4" t="s">
        <v>464</v>
      </c>
      <c r="I87" s="4">
        <v>0</v>
      </c>
      <c r="J87" s="4">
        <v>597.19000000000005</v>
      </c>
      <c r="K87" s="4">
        <f t="shared" si="4"/>
        <v>55.8</v>
      </c>
      <c r="L87" s="4">
        <f t="shared" si="5"/>
        <v>55.8</v>
      </c>
      <c r="M87" s="4">
        <f t="shared" si="6"/>
        <v>0</v>
      </c>
      <c r="N87" s="4">
        <v>7.16</v>
      </c>
      <c r="O87" s="4">
        <v>89.95</v>
      </c>
      <c r="P87" s="4">
        <v>98</v>
      </c>
      <c r="Q87" s="4">
        <v>16.8</v>
      </c>
      <c r="R87" s="4">
        <v>9.1</v>
      </c>
      <c r="S87" s="4">
        <v>16.55</v>
      </c>
      <c r="T87" s="4">
        <v>4.3499999999999996</v>
      </c>
      <c r="U87" s="4">
        <v>9.19</v>
      </c>
      <c r="V87" s="4">
        <v>3512.39</v>
      </c>
      <c r="W87" s="4">
        <v>1057.8</v>
      </c>
      <c r="X87" s="4">
        <v>1371.49</v>
      </c>
      <c r="Y87" s="4">
        <v>780.5</v>
      </c>
      <c r="Z87" s="4">
        <v>27.92</v>
      </c>
      <c r="AA87" s="4">
        <v>1.64</v>
      </c>
      <c r="AB87" s="4">
        <v>4.32</v>
      </c>
      <c r="AC87" s="4">
        <v>67.67</v>
      </c>
      <c r="AD87" s="4">
        <v>680</v>
      </c>
      <c r="AE87" s="4">
        <v>5900</v>
      </c>
      <c r="AF87" s="4">
        <v>82.12</v>
      </c>
      <c r="AG87" s="4">
        <v>0.59</v>
      </c>
      <c r="AH87" s="4">
        <v>10.029999999999999</v>
      </c>
      <c r="AI87" s="4">
        <v>235.82</v>
      </c>
      <c r="AJ87" s="4">
        <v>60</v>
      </c>
      <c r="AK87" s="4">
        <v>9</v>
      </c>
      <c r="AL87" s="4">
        <v>9</v>
      </c>
      <c r="AM87" s="4">
        <v>0.13</v>
      </c>
      <c r="AN87" s="4">
        <v>408</v>
      </c>
      <c r="AO87" s="4">
        <v>409.2</v>
      </c>
      <c r="AP87" s="4">
        <v>357213.32</v>
      </c>
      <c r="AQ87" s="4">
        <v>357213.32</v>
      </c>
      <c r="AR87" s="4" t="s">
        <v>408</v>
      </c>
      <c r="AS87" s="5">
        <f t="shared" si="0"/>
        <v>0</v>
      </c>
    </row>
    <row r="88" spans="1:45" ht="14.25" customHeight="1" x14ac:dyDescent="0.55000000000000004">
      <c r="A88" s="4">
        <v>20.83</v>
      </c>
      <c r="B88" s="4">
        <v>29.86</v>
      </c>
      <c r="C88" s="4">
        <v>5519.12</v>
      </c>
      <c r="D88" s="4">
        <v>7.6</v>
      </c>
      <c r="E88" s="4" t="s">
        <v>1447</v>
      </c>
      <c r="F88" s="4" t="s">
        <v>1448</v>
      </c>
      <c r="G88" s="4" t="s">
        <v>1401</v>
      </c>
      <c r="H88" s="4" t="s">
        <v>1449</v>
      </c>
      <c r="I88" s="4">
        <v>0</v>
      </c>
      <c r="J88" s="4">
        <v>571.98</v>
      </c>
      <c r="K88" s="4">
        <f t="shared" si="4"/>
        <v>53.31</v>
      </c>
      <c r="L88" s="4">
        <f t="shared" si="5"/>
        <v>58.940000000000005</v>
      </c>
      <c r="M88" s="4">
        <f t="shared" si="6"/>
        <v>-5.6300000000000026</v>
      </c>
      <c r="N88" s="4">
        <v>7.15</v>
      </c>
      <c r="O88" s="4">
        <v>90.03</v>
      </c>
      <c r="P88" s="4">
        <v>97</v>
      </c>
      <c r="Q88" s="4">
        <v>16.899999999999999</v>
      </c>
      <c r="R88" s="4">
        <v>9.0399999999999991</v>
      </c>
      <c r="S88" s="4">
        <v>16.54</v>
      </c>
      <c r="T88" s="4">
        <v>4.29</v>
      </c>
      <c r="U88" s="4">
        <v>9.65</v>
      </c>
      <c r="V88" s="4">
        <v>3532.24</v>
      </c>
      <c r="W88" s="4">
        <v>1066.48</v>
      </c>
      <c r="X88" s="4">
        <v>1405.6</v>
      </c>
      <c r="Y88" s="4">
        <v>791.93</v>
      </c>
      <c r="Z88" s="4">
        <v>6.33</v>
      </c>
      <c r="AA88" s="4">
        <v>1.65</v>
      </c>
      <c r="AB88" s="4">
        <v>4.3</v>
      </c>
      <c r="AC88" s="4">
        <v>67.8</v>
      </c>
      <c r="AD88" s="4">
        <v>680</v>
      </c>
      <c r="AE88" s="4">
        <v>5900</v>
      </c>
      <c r="AF88" s="4">
        <v>81.58</v>
      </c>
      <c r="AG88" s="4">
        <v>0.59</v>
      </c>
      <c r="AH88" s="4">
        <v>9.43</v>
      </c>
      <c r="AI88" s="4">
        <v>55.97</v>
      </c>
      <c r="AJ88" s="4">
        <v>60</v>
      </c>
      <c r="AK88" s="4">
        <v>9</v>
      </c>
      <c r="AL88" s="4">
        <v>9</v>
      </c>
      <c r="AM88" s="4">
        <v>0.56000000000000005</v>
      </c>
      <c r="AN88" s="4">
        <v>408</v>
      </c>
      <c r="AO88" s="4">
        <v>413.05</v>
      </c>
      <c r="AP88" s="4">
        <v>355656.81</v>
      </c>
      <c r="AQ88" s="4">
        <v>191551.34</v>
      </c>
      <c r="AR88" s="4" t="s">
        <v>413</v>
      </c>
      <c r="AS88" s="5">
        <f t="shared" si="0"/>
        <v>9.3667505707762562</v>
      </c>
    </row>
    <row r="89" spans="1:45" ht="14.25" customHeight="1" x14ac:dyDescent="0.55000000000000004">
      <c r="A89" s="4">
        <v>22.42</v>
      </c>
      <c r="B89" s="4">
        <v>31.42</v>
      </c>
      <c r="C89" s="4">
        <v>5532.29</v>
      </c>
      <c r="D89" s="4">
        <v>7.6</v>
      </c>
      <c r="E89" s="4" t="s">
        <v>1450</v>
      </c>
      <c r="F89" s="4" t="s">
        <v>1451</v>
      </c>
      <c r="G89" s="4" t="s">
        <v>1452</v>
      </c>
      <c r="H89" s="4" t="s">
        <v>1453</v>
      </c>
      <c r="I89" s="4">
        <v>0</v>
      </c>
      <c r="J89" s="4">
        <v>671.09</v>
      </c>
      <c r="K89" s="4">
        <f t="shared" si="4"/>
        <v>60.699999999999996</v>
      </c>
      <c r="L89" s="4">
        <f t="shared" si="5"/>
        <v>62.62</v>
      </c>
      <c r="M89" s="4">
        <f t="shared" si="6"/>
        <v>-1.9200000000000017</v>
      </c>
      <c r="N89" s="4">
        <v>7.21</v>
      </c>
      <c r="O89" s="4">
        <v>89.96</v>
      </c>
      <c r="P89" s="4">
        <v>85</v>
      </c>
      <c r="Q89" s="4">
        <v>21</v>
      </c>
      <c r="R89" s="4">
        <v>9.01</v>
      </c>
      <c r="S89" s="4">
        <v>19.12</v>
      </c>
      <c r="T89" s="4">
        <v>3.29</v>
      </c>
      <c r="U89" s="4">
        <v>8.24</v>
      </c>
      <c r="V89" s="4">
        <v>3540.67</v>
      </c>
      <c r="W89" s="4">
        <v>1061.3499999999999</v>
      </c>
      <c r="X89" s="4">
        <v>1329.71</v>
      </c>
      <c r="Y89" s="4">
        <v>773.41</v>
      </c>
      <c r="Z89" s="4">
        <v>7.75</v>
      </c>
      <c r="AA89" s="4">
        <v>1.66</v>
      </c>
      <c r="AB89" s="4">
        <v>4.28</v>
      </c>
      <c r="AC89" s="4">
        <v>73.22</v>
      </c>
      <c r="AD89" s="4">
        <v>680</v>
      </c>
      <c r="AE89" s="4">
        <v>5900</v>
      </c>
      <c r="AF89" s="4">
        <v>81.290000000000006</v>
      </c>
      <c r="AG89" s="4">
        <v>0.59</v>
      </c>
      <c r="AH89" s="4">
        <v>11.22</v>
      </c>
      <c r="AI89" s="4">
        <v>60.2</v>
      </c>
      <c r="AJ89" s="4">
        <v>60</v>
      </c>
      <c r="AK89" s="4">
        <v>9</v>
      </c>
      <c r="AL89" s="4">
        <v>9</v>
      </c>
      <c r="AM89" s="4">
        <v>0.52</v>
      </c>
      <c r="AN89" s="4">
        <v>408</v>
      </c>
      <c r="AO89" s="4">
        <v>412.7</v>
      </c>
      <c r="AP89" s="4">
        <v>401559.37</v>
      </c>
      <c r="AQ89" s="4">
        <v>264855.77</v>
      </c>
      <c r="AR89" s="4" t="s">
        <v>418</v>
      </c>
      <c r="AS89" s="5">
        <f t="shared" si="0"/>
        <v>7.8027168949771673</v>
      </c>
    </row>
    <row r="90" spans="1:45" ht="14.25" customHeight="1" x14ac:dyDescent="0.55000000000000004">
      <c r="A90" s="4">
        <v>22.82</v>
      </c>
      <c r="B90" s="4">
        <v>31.89</v>
      </c>
      <c r="C90" s="4">
        <v>5471.23</v>
      </c>
      <c r="D90" s="4">
        <v>7.6</v>
      </c>
      <c r="E90" s="4" t="s">
        <v>1454</v>
      </c>
      <c r="F90" s="4" t="s">
        <v>1455</v>
      </c>
      <c r="G90" s="4" t="s">
        <v>1456</v>
      </c>
      <c r="H90" s="4" t="s">
        <v>1457</v>
      </c>
      <c r="I90" s="4">
        <v>0</v>
      </c>
      <c r="J90" s="4">
        <v>699.23</v>
      </c>
      <c r="K90" s="4">
        <f t="shared" si="4"/>
        <v>61.58</v>
      </c>
      <c r="L90" s="4">
        <f t="shared" si="5"/>
        <v>63.17</v>
      </c>
      <c r="M90" s="4">
        <f t="shared" si="6"/>
        <v>-1.5900000000000034</v>
      </c>
      <c r="N90" s="4">
        <v>7.23</v>
      </c>
      <c r="O90" s="4">
        <v>90.04</v>
      </c>
      <c r="P90" s="4">
        <v>80</v>
      </c>
      <c r="Q90" s="4">
        <v>22</v>
      </c>
      <c r="R90" s="4">
        <v>9.06</v>
      </c>
      <c r="S90" s="4">
        <v>19.45</v>
      </c>
      <c r="T90" s="4">
        <v>3.37</v>
      </c>
      <c r="U90" s="4">
        <v>7.82</v>
      </c>
      <c r="V90" s="4">
        <v>3501.58</v>
      </c>
      <c r="W90" s="4">
        <v>1047.6099999999999</v>
      </c>
      <c r="X90" s="4">
        <v>1294.94</v>
      </c>
      <c r="Y90" s="4">
        <v>759.58</v>
      </c>
      <c r="Z90" s="4">
        <v>7.8</v>
      </c>
      <c r="AA90" s="4">
        <v>1.65</v>
      </c>
      <c r="AB90" s="4">
        <v>4.3</v>
      </c>
      <c r="AC90" s="4">
        <v>72.87</v>
      </c>
      <c r="AD90" s="4">
        <v>680</v>
      </c>
      <c r="AE90" s="4">
        <v>5900</v>
      </c>
      <c r="AF90" s="4">
        <v>81.8</v>
      </c>
      <c r="AG90" s="4">
        <v>0.59</v>
      </c>
      <c r="AH90" s="4">
        <v>11.99</v>
      </c>
      <c r="AI90" s="4">
        <v>59.67</v>
      </c>
      <c r="AJ90" s="4">
        <v>60</v>
      </c>
      <c r="AK90" s="4">
        <v>9</v>
      </c>
      <c r="AL90" s="4">
        <v>9</v>
      </c>
      <c r="AM90" s="4">
        <v>0.53</v>
      </c>
      <c r="AN90" s="4">
        <v>408</v>
      </c>
      <c r="AO90" s="4">
        <v>412.74</v>
      </c>
      <c r="AP90" s="4">
        <v>402674.69</v>
      </c>
      <c r="AQ90" s="4">
        <v>272792.57</v>
      </c>
      <c r="AR90" s="4" t="s">
        <v>422</v>
      </c>
      <c r="AS90" s="5">
        <f t="shared" si="0"/>
        <v>7.4133630136986302</v>
      </c>
    </row>
    <row r="91" spans="1:45" ht="14.25" customHeight="1" x14ac:dyDescent="0.55000000000000004">
      <c r="A91" s="4">
        <v>21.85</v>
      </c>
      <c r="B91" s="4">
        <v>30.92</v>
      </c>
      <c r="C91" s="4">
        <v>5542.5</v>
      </c>
      <c r="D91" s="4">
        <v>7.6</v>
      </c>
      <c r="E91" s="4" t="s">
        <v>1458</v>
      </c>
      <c r="F91" s="4" t="s">
        <v>1459</v>
      </c>
      <c r="G91" s="4" t="s">
        <v>1460</v>
      </c>
      <c r="H91" s="4" t="s">
        <v>1461</v>
      </c>
      <c r="I91" s="4">
        <v>0</v>
      </c>
      <c r="J91" s="4">
        <v>653.6</v>
      </c>
      <c r="K91" s="4">
        <f t="shared" si="4"/>
        <v>59.26</v>
      </c>
      <c r="L91" s="4">
        <f t="shared" si="5"/>
        <v>62.180000000000007</v>
      </c>
      <c r="M91" s="4">
        <f t="shared" si="6"/>
        <v>-2.9200000000000088</v>
      </c>
      <c r="N91" s="4">
        <v>7.2</v>
      </c>
      <c r="O91" s="4">
        <v>89.97</v>
      </c>
      <c r="P91" s="4">
        <v>90</v>
      </c>
      <c r="Q91" s="4">
        <v>19.7</v>
      </c>
      <c r="R91" s="4">
        <v>9.07</v>
      </c>
      <c r="S91" s="4">
        <v>18.47</v>
      </c>
      <c r="T91" s="4">
        <v>3.38</v>
      </c>
      <c r="U91" s="4">
        <v>8.48</v>
      </c>
      <c r="V91" s="4">
        <v>3547.2</v>
      </c>
      <c r="W91" s="4">
        <v>1064.03</v>
      </c>
      <c r="X91" s="4">
        <v>1341.04</v>
      </c>
      <c r="Y91" s="4">
        <v>776.91</v>
      </c>
      <c r="Z91" s="4">
        <v>7.62</v>
      </c>
      <c r="AA91" s="4">
        <v>1.65</v>
      </c>
      <c r="AB91" s="4">
        <v>4.3</v>
      </c>
      <c r="AC91" s="4">
        <v>72.84</v>
      </c>
      <c r="AD91" s="4">
        <v>680</v>
      </c>
      <c r="AE91" s="4">
        <v>5900</v>
      </c>
      <c r="AF91" s="4">
        <v>81.86</v>
      </c>
      <c r="AG91" s="4">
        <v>0.59</v>
      </c>
      <c r="AH91" s="4">
        <v>10.94</v>
      </c>
      <c r="AI91" s="4">
        <v>60.64</v>
      </c>
      <c r="AJ91" s="4">
        <v>60</v>
      </c>
      <c r="AK91" s="4">
        <v>9</v>
      </c>
      <c r="AL91" s="4">
        <v>9</v>
      </c>
      <c r="AM91" s="4">
        <v>0.52</v>
      </c>
      <c r="AN91" s="4">
        <v>408</v>
      </c>
      <c r="AO91" s="4">
        <v>412.66</v>
      </c>
      <c r="AP91" s="4">
        <v>389794.57</v>
      </c>
      <c r="AQ91" s="4">
        <v>264154.8</v>
      </c>
      <c r="AR91" s="4" t="s">
        <v>427</v>
      </c>
      <c r="AS91" s="5">
        <f t="shared" si="0"/>
        <v>7.1712197488584488</v>
      </c>
    </row>
    <row r="92" spans="1:45" ht="14.25" customHeight="1" x14ac:dyDescent="0.55000000000000004">
      <c r="A92" s="4">
        <v>22.14</v>
      </c>
      <c r="B92" s="4">
        <v>31.17</v>
      </c>
      <c r="C92" s="4">
        <v>5532.99</v>
      </c>
      <c r="D92" s="4">
        <v>7.6</v>
      </c>
      <c r="E92" s="4" t="s">
        <v>1462</v>
      </c>
      <c r="F92" s="4" t="s">
        <v>1463</v>
      </c>
      <c r="G92" s="4" t="s">
        <v>690</v>
      </c>
      <c r="H92" s="4" t="s">
        <v>1464</v>
      </c>
      <c r="I92" s="4">
        <v>0</v>
      </c>
      <c r="J92" s="4">
        <v>659.36</v>
      </c>
      <c r="K92" s="4">
        <f t="shared" si="4"/>
        <v>58.61</v>
      </c>
      <c r="L92" s="4">
        <f t="shared" si="5"/>
        <v>60.27</v>
      </c>
      <c r="M92" s="4">
        <f t="shared" si="6"/>
        <v>-1.6600000000000037</v>
      </c>
      <c r="N92" s="4">
        <v>7.21</v>
      </c>
      <c r="O92" s="4">
        <v>90</v>
      </c>
      <c r="P92" s="4">
        <v>85</v>
      </c>
      <c r="Q92" s="4">
        <v>20.5</v>
      </c>
      <c r="R92" s="4">
        <v>9.0299999999999994</v>
      </c>
      <c r="S92" s="4">
        <v>18.64</v>
      </c>
      <c r="T92" s="4">
        <v>3.5</v>
      </c>
      <c r="U92" s="4">
        <v>8.39</v>
      </c>
      <c r="V92" s="4">
        <v>3541.11</v>
      </c>
      <c r="W92" s="4">
        <v>1062.7</v>
      </c>
      <c r="X92" s="4">
        <v>1341.11</v>
      </c>
      <c r="Y92" s="4">
        <v>776.6</v>
      </c>
      <c r="Z92" s="4">
        <v>8.26</v>
      </c>
      <c r="AA92" s="4">
        <v>1.66</v>
      </c>
      <c r="AB92" s="4">
        <v>4.29</v>
      </c>
      <c r="AC92" s="4">
        <v>72.040000000000006</v>
      </c>
      <c r="AD92" s="4">
        <v>680</v>
      </c>
      <c r="AE92" s="4">
        <v>5900</v>
      </c>
      <c r="AF92" s="4">
        <v>81.489999999999995</v>
      </c>
      <c r="AG92" s="4">
        <v>0.59</v>
      </c>
      <c r="AH92" s="4">
        <v>11.03</v>
      </c>
      <c r="AI92" s="4">
        <v>66.45</v>
      </c>
      <c r="AJ92" s="4">
        <v>60</v>
      </c>
      <c r="AK92" s="4">
        <v>9</v>
      </c>
      <c r="AL92" s="4">
        <v>9</v>
      </c>
      <c r="AM92" s="4">
        <v>0.47</v>
      </c>
      <c r="AN92" s="4">
        <v>408</v>
      </c>
      <c r="AO92" s="4">
        <v>412.26</v>
      </c>
      <c r="AP92" s="4">
        <v>387051.13</v>
      </c>
      <c r="AQ92" s="4">
        <v>272038.14</v>
      </c>
      <c r="AR92" s="4" t="s">
        <v>432</v>
      </c>
      <c r="AS92" s="5">
        <f t="shared" si="0"/>
        <v>6.5646683789954334</v>
      </c>
    </row>
    <row r="93" spans="1:45" ht="14.25" customHeight="1" x14ac:dyDescent="0.55000000000000004">
      <c r="A93" s="4">
        <v>20.87</v>
      </c>
      <c r="B93" s="4">
        <v>29.93</v>
      </c>
      <c r="C93" s="4">
        <v>5514.37</v>
      </c>
      <c r="D93" s="4">
        <v>7.6</v>
      </c>
      <c r="E93" s="4" t="s">
        <v>1465</v>
      </c>
      <c r="F93" s="4" t="s">
        <v>1466</v>
      </c>
      <c r="G93" s="4" t="s">
        <v>1401</v>
      </c>
      <c r="H93" s="4" t="s">
        <v>1467</v>
      </c>
      <c r="I93" s="4">
        <v>0</v>
      </c>
      <c r="J93" s="4">
        <v>594.35</v>
      </c>
      <c r="K93" s="4">
        <f t="shared" si="4"/>
        <v>54.82</v>
      </c>
      <c r="L93" s="4">
        <f t="shared" si="5"/>
        <v>62.120000000000005</v>
      </c>
      <c r="M93" s="4">
        <f t="shared" si="6"/>
        <v>-7.3000000000000043</v>
      </c>
      <c r="N93" s="4">
        <v>7.16</v>
      </c>
      <c r="O93" s="4">
        <v>89.93</v>
      </c>
      <c r="P93" s="4">
        <v>96</v>
      </c>
      <c r="Q93" s="4">
        <v>17.100000000000001</v>
      </c>
      <c r="R93" s="4">
        <v>9.06</v>
      </c>
      <c r="S93" s="4">
        <v>16.62</v>
      </c>
      <c r="T93" s="4">
        <v>4.25</v>
      </c>
      <c r="U93" s="4">
        <v>9.2799999999999994</v>
      </c>
      <c r="V93" s="4">
        <v>3529.2</v>
      </c>
      <c r="W93" s="4">
        <v>1063.56</v>
      </c>
      <c r="X93" s="4">
        <v>1383.89</v>
      </c>
      <c r="Y93" s="4">
        <v>785.95</v>
      </c>
      <c r="Z93" s="4">
        <v>5.74</v>
      </c>
      <c r="AA93" s="4">
        <v>1.64</v>
      </c>
      <c r="AB93" s="4">
        <v>4.3099999999999996</v>
      </c>
      <c r="AC93" s="4">
        <v>68.06</v>
      </c>
      <c r="AD93" s="4">
        <v>680</v>
      </c>
      <c r="AE93" s="4">
        <v>5900</v>
      </c>
      <c r="AF93" s="4">
        <v>81.81</v>
      </c>
      <c r="AG93" s="4">
        <v>0.59</v>
      </c>
      <c r="AH93" s="4">
        <v>9.8800000000000008</v>
      </c>
      <c r="AI93" s="4">
        <v>49.31</v>
      </c>
      <c r="AJ93" s="4">
        <v>60</v>
      </c>
      <c r="AK93" s="4">
        <v>9</v>
      </c>
      <c r="AL93" s="4">
        <v>9</v>
      </c>
      <c r="AM93" s="4">
        <v>0.64</v>
      </c>
      <c r="AN93" s="4">
        <v>408</v>
      </c>
      <c r="AO93" s="4">
        <v>413.73</v>
      </c>
      <c r="AP93" s="4">
        <v>353352.01</v>
      </c>
      <c r="AQ93" s="4">
        <v>176268.89</v>
      </c>
      <c r="AR93" s="4" t="s">
        <v>1468</v>
      </c>
      <c r="AS93" s="5">
        <f t="shared" si="0"/>
        <v>10.10748401826484</v>
      </c>
    </row>
    <row r="94" spans="1:45" ht="14.25" customHeight="1" x14ac:dyDescent="0.55000000000000004">
      <c r="A94" s="4">
        <v>22.82</v>
      </c>
      <c r="B94" s="4">
        <v>31.82</v>
      </c>
      <c r="C94" s="4">
        <v>5488.64</v>
      </c>
      <c r="D94" s="4">
        <v>7.6</v>
      </c>
      <c r="E94" s="4" t="s">
        <v>1469</v>
      </c>
      <c r="F94" s="4" t="s">
        <v>1470</v>
      </c>
      <c r="G94" s="4" t="s">
        <v>1471</v>
      </c>
      <c r="H94" s="4" t="s">
        <v>1472</v>
      </c>
      <c r="I94" s="4">
        <v>0</v>
      </c>
      <c r="J94" s="4">
        <v>730.79</v>
      </c>
      <c r="K94" s="4">
        <f t="shared" si="4"/>
        <v>63.83</v>
      </c>
      <c r="L94" s="4">
        <f t="shared" si="5"/>
        <v>63.36</v>
      </c>
      <c r="M94" s="4">
        <f t="shared" si="6"/>
        <v>0.46999999999999886</v>
      </c>
      <c r="N94" s="4">
        <v>7.26</v>
      </c>
      <c r="O94" s="4">
        <v>89.87</v>
      </c>
      <c r="P94" s="4">
        <v>79</v>
      </c>
      <c r="Q94" s="4">
        <v>22</v>
      </c>
      <c r="R94" s="4">
        <v>9</v>
      </c>
      <c r="S94" s="4">
        <v>19.32</v>
      </c>
      <c r="T94" s="4">
        <v>3.5</v>
      </c>
      <c r="U94" s="4">
        <v>7.51</v>
      </c>
      <c r="V94" s="4">
        <v>3512.73</v>
      </c>
      <c r="W94" s="4">
        <v>1049.8499999999999</v>
      </c>
      <c r="X94" s="4">
        <v>1285.57</v>
      </c>
      <c r="Y94" s="4">
        <v>758.86</v>
      </c>
      <c r="Z94" s="4">
        <v>10.07</v>
      </c>
      <c r="AA94" s="4">
        <v>1.65</v>
      </c>
      <c r="AB94" s="4">
        <v>4.3099999999999996</v>
      </c>
      <c r="AC94" s="4">
        <v>71.989999999999995</v>
      </c>
      <c r="AD94" s="4">
        <v>680</v>
      </c>
      <c r="AE94" s="4">
        <v>5900</v>
      </c>
      <c r="AF94" s="4">
        <v>81.25</v>
      </c>
      <c r="AG94" s="4">
        <v>0.59</v>
      </c>
      <c r="AH94" s="4">
        <v>12.48</v>
      </c>
      <c r="AI94" s="4">
        <v>74.37</v>
      </c>
      <c r="AJ94" s="4">
        <v>60</v>
      </c>
      <c r="AK94" s="4">
        <v>9</v>
      </c>
      <c r="AL94" s="4">
        <v>9</v>
      </c>
      <c r="AM94" s="4">
        <v>0.42</v>
      </c>
      <c r="AN94" s="4">
        <v>408</v>
      </c>
      <c r="AO94" s="4">
        <v>411.8</v>
      </c>
      <c r="AP94" s="4">
        <v>406762.7</v>
      </c>
      <c r="AQ94" s="4">
        <v>347658.12</v>
      </c>
      <c r="AR94" s="4" t="s">
        <v>436</v>
      </c>
      <c r="AS94" s="5">
        <f t="shared" si="0"/>
        <v>3.3735490867579916</v>
      </c>
    </row>
    <row r="95" spans="1:45" ht="14.25" customHeight="1" x14ac:dyDescent="0.55000000000000004">
      <c r="A95" s="4">
        <v>22.58</v>
      </c>
      <c r="B95" s="4">
        <v>31.61</v>
      </c>
      <c r="C95" s="4">
        <v>5514.15</v>
      </c>
      <c r="D95" s="4">
        <v>7.6</v>
      </c>
      <c r="E95" s="4" t="s">
        <v>1473</v>
      </c>
      <c r="F95" s="4" t="s">
        <v>1474</v>
      </c>
      <c r="G95" s="4" t="s">
        <v>1475</v>
      </c>
      <c r="H95" s="4" t="s">
        <v>1476</v>
      </c>
      <c r="I95" s="4">
        <v>0</v>
      </c>
      <c r="J95" s="4">
        <v>688.97</v>
      </c>
      <c r="K95" s="4">
        <f t="shared" si="4"/>
        <v>61.410000000000004</v>
      </c>
      <c r="L95" s="4">
        <f t="shared" si="5"/>
        <v>64.539999999999992</v>
      </c>
      <c r="M95" s="4">
        <f t="shared" si="6"/>
        <v>-3.1299999999999883</v>
      </c>
      <c r="N95" s="4">
        <v>7.22</v>
      </c>
      <c r="O95" s="4">
        <v>89.92</v>
      </c>
      <c r="P95" s="4">
        <v>89</v>
      </c>
      <c r="Q95" s="4">
        <v>20.399999999999999</v>
      </c>
      <c r="R95" s="4">
        <v>9.0299999999999994</v>
      </c>
      <c r="S95" s="4">
        <v>19.04</v>
      </c>
      <c r="T95" s="4">
        <v>3.54</v>
      </c>
      <c r="U95" s="4">
        <v>8</v>
      </c>
      <c r="V95" s="4">
        <v>3529.05</v>
      </c>
      <c r="W95" s="4">
        <v>1056.67</v>
      </c>
      <c r="X95" s="4">
        <v>1313.13</v>
      </c>
      <c r="Y95" s="4">
        <v>767.7</v>
      </c>
      <c r="Z95" s="4">
        <v>6.18</v>
      </c>
      <c r="AA95" s="4">
        <v>1.65</v>
      </c>
      <c r="AB95" s="4">
        <v>4.29</v>
      </c>
      <c r="AC95" s="4">
        <v>71.83</v>
      </c>
      <c r="AD95" s="4">
        <v>680</v>
      </c>
      <c r="AE95" s="4">
        <v>5900</v>
      </c>
      <c r="AF95" s="4">
        <v>81.540000000000006</v>
      </c>
      <c r="AG95" s="4">
        <v>0.59</v>
      </c>
      <c r="AH95" s="4">
        <v>11.64</v>
      </c>
      <c r="AI95" s="4">
        <v>47.46</v>
      </c>
      <c r="AJ95" s="4">
        <v>60</v>
      </c>
      <c r="AK95" s="4">
        <v>9</v>
      </c>
      <c r="AL95" s="4">
        <v>9</v>
      </c>
      <c r="AM95" s="4">
        <v>0.66</v>
      </c>
      <c r="AN95" s="4">
        <v>408</v>
      </c>
      <c r="AO95" s="4">
        <v>413.96</v>
      </c>
      <c r="AP95" s="4">
        <v>409248.16</v>
      </c>
      <c r="AQ95" s="4">
        <v>189337.21</v>
      </c>
      <c r="AR95" s="4" t="s">
        <v>441</v>
      </c>
      <c r="AS95" s="5">
        <f t="shared" si="0"/>
        <v>12.551994863013698</v>
      </c>
    </row>
    <row r="96" spans="1:45" ht="14.25" customHeight="1" x14ac:dyDescent="0.55000000000000004">
      <c r="A96" s="4">
        <v>20.82</v>
      </c>
      <c r="B96" s="4">
        <v>29.87</v>
      </c>
      <c r="C96" s="4">
        <v>5509.81</v>
      </c>
      <c r="D96" s="4">
        <v>7.6</v>
      </c>
      <c r="E96" s="4" t="s">
        <v>1477</v>
      </c>
      <c r="F96" s="4" t="s">
        <v>1478</v>
      </c>
      <c r="G96" s="4" t="s">
        <v>1479</v>
      </c>
      <c r="H96" s="4" t="s">
        <v>1480</v>
      </c>
      <c r="I96" s="4">
        <v>0</v>
      </c>
      <c r="J96" s="4">
        <v>526.95000000000005</v>
      </c>
      <c r="K96" s="4">
        <f t="shared" si="4"/>
        <v>51.32</v>
      </c>
      <c r="L96" s="4">
        <f t="shared" si="5"/>
        <v>58.19</v>
      </c>
      <c r="M96" s="4">
        <f t="shared" si="6"/>
        <v>-6.8699999999999974</v>
      </c>
      <c r="N96" s="4">
        <v>7.11</v>
      </c>
      <c r="O96" s="4">
        <v>89.99</v>
      </c>
      <c r="P96" s="4">
        <v>97</v>
      </c>
      <c r="Q96" s="4">
        <v>17.100000000000001</v>
      </c>
      <c r="R96" s="4">
        <v>9.0500000000000007</v>
      </c>
      <c r="S96" s="4">
        <v>16.739999999999998</v>
      </c>
      <c r="T96" s="4">
        <v>4.09</v>
      </c>
      <c r="U96" s="4">
        <v>10.46</v>
      </c>
      <c r="V96" s="4">
        <v>3526.28</v>
      </c>
      <c r="W96" s="4">
        <v>1068.0999999999999</v>
      </c>
      <c r="X96" s="4">
        <v>1441.53</v>
      </c>
      <c r="Y96" s="4">
        <v>800</v>
      </c>
      <c r="Z96" s="4">
        <v>5.73</v>
      </c>
      <c r="AA96" s="4">
        <v>1.67</v>
      </c>
      <c r="AB96" s="4">
        <v>4.2699999999999996</v>
      </c>
      <c r="AC96" s="4">
        <v>68.87</v>
      </c>
      <c r="AD96" s="4">
        <v>680</v>
      </c>
      <c r="AE96" s="4">
        <v>5900</v>
      </c>
      <c r="AF96" s="4">
        <v>81.650000000000006</v>
      </c>
      <c r="AG96" s="4">
        <v>0.59</v>
      </c>
      <c r="AH96" s="4">
        <v>8.6300000000000008</v>
      </c>
      <c r="AI96" s="4">
        <v>52.64</v>
      </c>
      <c r="AJ96" s="4">
        <v>60</v>
      </c>
      <c r="AK96" s="4">
        <v>9</v>
      </c>
      <c r="AL96" s="4">
        <v>9</v>
      </c>
      <c r="AM96" s="4">
        <v>0.6</v>
      </c>
      <c r="AN96" s="4">
        <v>408</v>
      </c>
      <c r="AO96" s="4">
        <v>413.37</v>
      </c>
      <c r="AP96" s="4">
        <v>350605.83</v>
      </c>
      <c r="AQ96" s="4">
        <v>157890.39000000001</v>
      </c>
      <c r="AR96" s="4" t="s">
        <v>1481</v>
      </c>
      <c r="AS96" s="5">
        <f t="shared" si="0"/>
        <v>10.999739726027398</v>
      </c>
    </row>
    <row r="97" spans="1:45" ht="14.25" customHeight="1" x14ac:dyDescent="0.55000000000000004">
      <c r="A97" s="4">
        <v>21.7</v>
      </c>
      <c r="B97" s="4">
        <v>30.74</v>
      </c>
      <c r="C97" s="4">
        <v>5544.17</v>
      </c>
      <c r="D97" s="4">
        <v>7.6</v>
      </c>
      <c r="E97" s="4" t="s">
        <v>1482</v>
      </c>
      <c r="F97" s="4" t="s">
        <v>1483</v>
      </c>
      <c r="G97" s="4" t="s">
        <v>1475</v>
      </c>
      <c r="H97" s="4" t="s">
        <v>1484</v>
      </c>
      <c r="I97" s="4">
        <v>0</v>
      </c>
      <c r="J97" s="4">
        <v>622.32000000000005</v>
      </c>
      <c r="K97" s="4">
        <f t="shared" si="4"/>
        <v>56.13</v>
      </c>
      <c r="L97" s="4">
        <f t="shared" si="5"/>
        <v>61.35</v>
      </c>
      <c r="M97" s="4">
        <f t="shared" si="6"/>
        <v>-5.2199999999999989</v>
      </c>
      <c r="N97" s="4">
        <v>7.18</v>
      </c>
      <c r="O97" s="4">
        <v>89.93</v>
      </c>
      <c r="P97" s="4">
        <v>95</v>
      </c>
      <c r="Q97" s="4">
        <v>18.7</v>
      </c>
      <c r="R97" s="4">
        <v>9.0399999999999991</v>
      </c>
      <c r="S97" s="4">
        <v>18.09</v>
      </c>
      <c r="T97" s="4">
        <v>3.6</v>
      </c>
      <c r="U97" s="4">
        <v>8.91</v>
      </c>
      <c r="V97" s="4">
        <v>3548.27</v>
      </c>
      <c r="W97" s="4">
        <v>1067.18</v>
      </c>
      <c r="X97" s="4">
        <v>1369.01</v>
      </c>
      <c r="Y97" s="4">
        <v>784.49</v>
      </c>
      <c r="Z97" s="4">
        <v>5.95</v>
      </c>
      <c r="AA97" s="4">
        <v>1.66</v>
      </c>
      <c r="AB97" s="4">
        <v>4.29</v>
      </c>
      <c r="AC97" s="4">
        <v>71.510000000000005</v>
      </c>
      <c r="AD97" s="4">
        <v>680</v>
      </c>
      <c r="AE97" s="4">
        <v>5900</v>
      </c>
      <c r="AF97" s="4">
        <v>81.64</v>
      </c>
      <c r="AG97" s="4">
        <v>0.59</v>
      </c>
      <c r="AH97" s="4">
        <v>10.32</v>
      </c>
      <c r="AI97" s="4">
        <v>49.93</v>
      </c>
      <c r="AJ97" s="4">
        <v>60</v>
      </c>
      <c r="AK97" s="4">
        <v>9</v>
      </c>
      <c r="AL97" s="4">
        <v>9</v>
      </c>
      <c r="AM97" s="4">
        <v>0.63</v>
      </c>
      <c r="AN97" s="4">
        <v>408</v>
      </c>
      <c r="AO97" s="4">
        <v>413.66</v>
      </c>
      <c r="AP97" s="4">
        <v>372672.04</v>
      </c>
      <c r="AQ97" s="4">
        <v>173344.54</v>
      </c>
      <c r="AR97" s="4" t="s">
        <v>446</v>
      </c>
      <c r="AS97" s="5">
        <f t="shared" si="0"/>
        <v>11.377140410958903</v>
      </c>
    </row>
    <row r="98" spans="1:45" ht="14.25" customHeight="1" x14ac:dyDescent="0.55000000000000004">
      <c r="A98" s="4">
        <v>21.44</v>
      </c>
      <c r="B98" s="4">
        <v>30.41</v>
      </c>
      <c r="C98" s="4">
        <v>5539.94</v>
      </c>
      <c r="D98" s="4">
        <v>7.6</v>
      </c>
      <c r="E98" s="4" t="s">
        <v>1485</v>
      </c>
      <c r="F98" s="4" t="s">
        <v>1486</v>
      </c>
      <c r="G98" s="4" t="s">
        <v>1424</v>
      </c>
      <c r="H98" s="4" t="s">
        <v>1487</v>
      </c>
      <c r="I98" s="4">
        <v>0</v>
      </c>
      <c r="J98" s="4">
        <v>550.32000000000005</v>
      </c>
      <c r="K98" s="4">
        <f t="shared" si="4"/>
        <v>52.899999999999991</v>
      </c>
      <c r="L98" s="4">
        <f t="shared" si="5"/>
        <v>56.92</v>
      </c>
      <c r="M98" s="4">
        <f t="shared" si="6"/>
        <v>-4.0200000000000102</v>
      </c>
      <c r="N98" s="4">
        <v>7.13</v>
      </c>
      <c r="O98" s="4">
        <v>89.93</v>
      </c>
      <c r="P98" s="4">
        <v>97</v>
      </c>
      <c r="Q98" s="4">
        <v>18.100000000000001</v>
      </c>
      <c r="R98" s="4">
        <v>8.9600000000000009</v>
      </c>
      <c r="S98" s="4">
        <v>17.739999999999998</v>
      </c>
      <c r="T98" s="4">
        <v>3.7</v>
      </c>
      <c r="U98" s="4">
        <v>10.07</v>
      </c>
      <c r="V98" s="4">
        <v>3545.56</v>
      </c>
      <c r="W98" s="4">
        <v>1071.67</v>
      </c>
      <c r="X98" s="4">
        <v>1425.58</v>
      </c>
      <c r="Y98" s="4">
        <v>798.3</v>
      </c>
      <c r="Z98" s="4">
        <v>6.97</v>
      </c>
      <c r="AA98" s="4">
        <v>1.67</v>
      </c>
      <c r="AB98" s="4">
        <v>4.26</v>
      </c>
      <c r="AC98" s="4">
        <v>70.760000000000005</v>
      </c>
      <c r="AD98" s="4">
        <v>680</v>
      </c>
      <c r="AE98" s="4">
        <v>5900</v>
      </c>
      <c r="AF98" s="4">
        <v>80.92</v>
      </c>
      <c r="AG98" s="4">
        <v>0.59</v>
      </c>
      <c r="AH98" s="4">
        <v>8.93</v>
      </c>
      <c r="AI98" s="4">
        <v>62.09</v>
      </c>
      <c r="AJ98" s="4">
        <v>60</v>
      </c>
      <c r="AK98" s="4">
        <v>9</v>
      </c>
      <c r="AL98" s="4">
        <v>9</v>
      </c>
      <c r="AM98" s="4">
        <v>0.51</v>
      </c>
      <c r="AN98" s="4">
        <v>408</v>
      </c>
      <c r="AO98" s="4">
        <v>412.55</v>
      </c>
      <c r="AP98" s="4">
        <v>369414.85</v>
      </c>
      <c r="AQ98" s="4">
        <v>207002.65</v>
      </c>
      <c r="AR98" s="4" t="s">
        <v>451</v>
      </c>
      <c r="AS98" s="5">
        <f t="shared" si="0"/>
        <v>9.2701027397260258</v>
      </c>
    </row>
    <row r="99" spans="1:45" ht="14.25" customHeight="1" x14ac:dyDescent="0.55000000000000004">
      <c r="A99" s="4">
        <v>20.73</v>
      </c>
      <c r="B99" s="4">
        <v>29.84</v>
      </c>
      <c r="C99" s="4">
        <v>5496.42</v>
      </c>
      <c r="D99" s="4">
        <v>7.6</v>
      </c>
      <c r="E99" s="4" t="s">
        <v>1488</v>
      </c>
      <c r="F99" s="4" t="s">
        <v>1489</v>
      </c>
      <c r="G99" s="4" t="s">
        <v>1424</v>
      </c>
      <c r="H99" s="4" t="s">
        <v>1490</v>
      </c>
      <c r="I99" s="4">
        <v>0</v>
      </c>
      <c r="J99" s="4">
        <v>579.24</v>
      </c>
      <c r="K99" s="4">
        <f t="shared" si="4"/>
        <v>53.760000000000005</v>
      </c>
      <c r="L99" s="4">
        <f t="shared" si="5"/>
        <v>60.39</v>
      </c>
      <c r="M99" s="4">
        <f t="shared" si="6"/>
        <v>-6.6299999999999955</v>
      </c>
      <c r="N99" s="4">
        <v>7.15</v>
      </c>
      <c r="O99" s="4">
        <v>90.02</v>
      </c>
      <c r="P99" s="4">
        <v>98</v>
      </c>
      <c r="Q99" s="4">
        <v>16.600000000000001</v>
      </c>
      <c r="R99" s="4">
        <v>9.11</v>
      </c>
      <c r="S99" s="4">
        <v>16.350000000000001</v>
      </c>
      <c r="T99" s="4">
        <v>4.38</v>
      </c>
      <c r="U99" s="4">
        <v>9.49</v>
      </c>
      <c r="V99" s="4">
        <v>3517.71</v>
      </c>
      <c r="W99" s="4">
        <v>1061.3</v>
      </c>
      <c r="X99" s="4">
        <v>1392.02</v>
      </c>
      <c r="Y99" s="4">
        <v>786.6</v>
      </c>
      <c r="Z99" s="4">
        <v>6.23</v>
      </c>
      <c r="AA99" s="4">
        <v>1.65</v>
      </c>
      <c r="AB99" s="4">
        <v>4.3099999999999996</v>
      </c>
      <c r="AC99" s="4">
        <v>67.540000000000006</v>
      </c>
      <c r="AD99" s="4">
        <v>680</v>
      </c>
      <c r="AE99" s="4">
        <v>5900</v>
      </c>
      <c r="AF99" s="4">
        <v>82.23</v>
      </c>
      <c r="AG99" s="4">
        <v>0.59</v>
      </c>
      <c r="AH99" s="4">
        <v>9.69</v>
      </c>
      <c r="AI99" s="4">
        <v>54.62</v>
      </c>
      <c r="AJ99" s="4">
        <v>60</v>
      </c>
      <c r="AK99" s="4">
        <v>9</v>
      </c>
      <c r="AL99" s="4">
        <v>9</v>
      </c>
      <c r="AM99" s="4">
        <v>0.57999999999999996</v>
      </c>
      <c r="AN99" s="4">
        <v>408</v>
      </c>
      <c r="AO99" s="4">
        <v>413.18</v>
      </c>
      <c r="AP99" s="4">
        <v>348854.68</v>
      </c>
      <c r="AQ99" s="4">
        <v>200164.35</v>
      </c>
      <c r="AR99" s="4" t="s">
        <v>456</v>
      </c>
      <c r="AS99" s="5">
        <f t="shared" si="0"/>
        <v>8.4868909817351597</v>
      </c>
    </row>
    <row r="100" spans="1:45" ht="14.25" customHeight="1" x14ac:dyDescent="0.55000000000000004">
      <c r="A100" s="4">
        <v>22.82</v>
      </c>
      <c r="B100" s="4">
        <v>31.86</v>
      </c>
      <c r="C100" s="4">
        <v>5485.37</v>
      </c>
      <c r="D100" s="4">
        <v>7.6</v>
      </c>
      <c r="E100" s="4" t="s">
        <v>1491</v>
      </c>
      <c r="F100" s="4" t="s">
        <v>1492</v>
      </c>
      <c r="G100" s="4" t="s">
        <v>1460</v>
      </c>
      <c r="H100" s="4" t="s">
        <v>1493</v>
      </c>
      <c r="I100" s="4">
        <v>0</v>
      </c>
      <c r="J100" s="4">
        <v>741.1</v>
      </c>
      <c r="K100" s="4">
        <f t="shared" si="4"/>
        <v>65.12</v>
      </c>
      <c r="L100" s="4">
        <f t="shared" si="5"/>
        <v>66.289999999999992</v>
      </c>
      <c r="M100" s="4">
        <f t="shared" si="6"/>
        <v>-1.1699999999999875</v>
      </c>
      <c r="N100" s="4">
        <v>7.26</v>
      </c>
      <c r="O100" s="4">
        <v>90.02</v>
      </c>
      <c r="P100" s="4">
        <v>80</v>
      </c>
      <c r="Q100" s="4">
        <v>22</v>
      </c>
      <c r="R100" s="4">
        <v>9.0399999999999991</v>
      </c>
      <c r="S100" s="4">
        <v>19.45</v>
      </c>
      <c r="T100" s="4">
        <v>3.37</v>
      </c>
      <c r="U100" s="4">
        <v>7.4</v>
      </c>
      <c r="V100" s="4">
        <v>3510.63</v>
      </c>
      <c r="W100" s="4">
        <v>1048.46</v>
      </c>
      <c r="X100" s="4">
        <v>1277.54</v>
      </c>
      <c r="Y100" s="4">
        <v>756.44</v>
      </c>
      <c r="Z100" s="4">
        <v>8.35</v>
      </c>
      <c r="AA100" s="4">
        <v>1.64</v>
      </c>
      <c r="AB100" s="4">
        <v>4.3099999999999996</v>
      </c>
      <c r="AC100" s="4">
        <v>72.849999999999994</v>
      </c>
      <c r="AD100" s="4">
        <v>680</v>
      </c>
      <c r="AE100" s="4">
        <v>5900</v>
      </c>
      <c r="AF100" s="4">
        <v>81.59</v>
      </c>
      <c r="AG100" s="4">
        <v>0.59</v>
      </c>
      <c r="AH100" s="4">
        <v>12.75</v>
      </c>
      <c r="AI100" s="4">
        <v>60.42</v>
      </c>
      <c r="AJ100" s="4">
        <v>60</v>
      </c>
      <c r="AK100" s="4">
        <v>9</v>
      </c>
      <c r="AL100" s="4">
        <v>9</v>
      </c>
      <c r="AM100" s="4">
        <v>0.52</v>
      </c>
      <c r="AN100" s="4">
        <v>408</v>
      </c>
      <c r="AO100" s="4">
        <v>412.68</v>
      </c>
      <c r="AP100" s="4">
        <v>409090.43</v>
      </c>
      <c r="AQ100" s="4">
        <v>313962.36</v>
      </c>
      <c r="AR100" s="4" t="s">
        <v>460</v>
      </c>
      <c r="AS100" s="5">
        <f t="shared" si="0"/>
        <v>5.4296843607305938</v>
      </c>
    </row>
    <row r="101" spans="1:45" ht="14.25" customHeight="1" x14ac:dyDescent="0.55000000000000004">
      <c r="A101" s="4">
        <v>21.08</v>
      </c>
      <c r="B101" s="4">
        <v>30.2</v>
      </c>
      <c r="C101" s="4">
        <v>5485.55</v>
      </c>
      <c r="D101" s="4">
        <v>7.59</v>
      </c>
      <c r="E101" s="4" t="s">
        <v>1494</v>
      </c>
      <c r="F101" s="4" t="s">
        <v>1495</v>
      </c>
      <c r="G101" s="4" t="s">
        <v>1401</v>
      </c>
      <c r="H101" s="4" t="s">
        <v>1496</v>
      </c>
      <c r="I101" s="4">
        <v>0</v>
      </c>
      <c r="J101" s="4">
        <v>554.42999999999995</v>
      </c>
      <c r="K101" s="4">
        <f t="shared" si="4"/>
        <v>52.910000000000004</v>
      </c>
      <c r="L101" s="4">
        <f t="shared" si="5"/>
        <v>58.190000000000005</v>
      </c>
      <c r="M101" s="4">
        <f t="shared" si="6"/>
        <v>-5.2800000000000011</v>
      </c>
      <c r="N101" s="4">
        <v>7.14</v>
      </c>
      <c r="O101" s="4">
        <v>89.97</v>
      </c>
      <c r="P101" s="4">
        <v>98</v>
      </c>
      <c r="Q101" s="4">
        <v>17.100000000000001</v>
      </c>
      <c r="R101" s="4">
        <v>9.11</v>
      </c>
      <c r="S101" s="4">
        <v>16.850000000000001</v>
      </c>
      <c r="T101" s="4">
        <v>4.2300000000000004</v>
      </c>
      <c r="U101" s="4">
        <v>9.89</v>
      </c>
      <c r="V101" s="4">
        <v>3510.75</v>
      </c>
      <c r="W101" s="4">
        <v>1061.1099999999999</v>
      </c>
      <c r="X101" s="4">
        <v>1410.13</v>
      </c>
      <c r="Y101" s="4">
        <v>790.25</v>
      </c>
      <c r="Z101" s="4">
        <v>7.28</v>
      </c>
      <c r="AA101" s="4">
        <v>1.65</v>
      </c>
      <c r="AB101" s="4">
        <v>4.29</v>
      </c>
      <c r="AC101" s="4">
        <v>68.3</v>
      </c>
      <c r="AD101" s="4">
        <v>680</v>
      </c>
      <c r="AE101" s="4">
        <v>5900</v>
      </c>
      <c r="AF101" s="4">
        <v>82.27</v>
      </c>
      <c r="AG101" s="4">
        <v>0.59</v>
      </c>
      <c r="AH101" s="4">
        <v>9.25</v>
      </c>
      <c r="AI101" s="4">
        <v>64.790000000000006</v>
      </c>
      <c r="AJ101" s="4">
        <v>60</v>
      </c>
      <c r="AK101" s="4">
        <v>9</v>
      </c>
      <c r="AL101" s="4">
        <v>9</v>
      </c>
      <c r="AM101" s="4">
        <v>0.48</v>
      </c>
      <c r="AN101" s="4">
        <v>408</v>
      </c>
      <c r="AO101" s="4">
        <v>412.36</v>
      </c>
      <c r="AP101" s="4">
        <v>351451.24</v>
      </c>
      <c r="AQ101" s="4">
        <v>237408.24</v>
      </c>
      <c r="AR101" s="4" t="s">
        <v>465</v>
      </c>
      <c r="AS101" s="5">
        <f t="shared" si="0"/>
        <v>6.5093036529680361</v>
      </c>
    </row>
    <row r="102" spans="1:45" ht="14.25" customHeight="1" x14ac:dyDescent="0.55000000000000004">
      <c r="A102" s="4">
        <v>21.03</v>
      </c>
      <c r="B102" s="4">
        <v>30.03</v>
      </c>
      <c r="C102" s="4">
        <v>5522.59</v>
      </c>
      <c r="D102" s="4">
        <v>7.6</v>
      </c>
      <c r="E102" s="4" t="s">
        <v>1497</v>
      </c>
      <c r="F102" s="4" t="s">
        <v>1498</v>
      </c>
      <c r="G102" s="4" t="s">
        <v>1383</v>
      </c>
      <c r="H102" s="4" t="s">
        <v>1499</v>
      </c>
      <c r="I102" s="4">
        <v>0</v>
      </c>
      <c r="J102" s="4">
        <v>512.32000000000005</v>
      </c>
      <c r="K102" s="4">
        <f t="shared" si="4"/>
        <v>51.02</v>
      </c>
      <c r="L102" s="4">
        <f t="shared" si="5"/>
        <v>56.71</v>
      </c>
      <c r="M102" s="4">
        <f t="shared" si="6"/>
        <v>-5.6899999999999977</v>
      </c>
      <c r="N102" s="4">
        <v>7.11</v>
      </c>
      <c r="O102" s="4">
        <v>90.06</v>
      </c>
      <c r="P102" s="4">
        <v>97</v>
      </c>
      <c r="Q102" s="4">
        <v>17.3</v>
      </c>
      <c r="R102" s="4">
        <v>9</v>
      </c>
      <c r="S102" s="4">
        <v>16.940000000000001</v>
      </c>
      <c r="T102" s="4">
        <v>4.0999999999999996</v>
      </c>
      <c r="U102" s="4">
        <v>10.78</v>
      </c>
      <c r="V102" s="4">
        <v>3534.46</v>
      </c>
      <c r="W102" s="4">
        <v>1072.24</v>
      </c>
      <c r="X102" s="4">
        <v>1461.89</v>
      </c>
      <c r="Y102" s="4">
        <v>806.27</v>
      </c>
      <c r="Z102" s="4">
        <v>5.85</v>
      </c>
      <c r="AA102" s="4">
        <v>1.68</v>
      </c>
      <c r="AB102" s="4">
        <v>4.25</v>
      </c>
      <c r="AC102" s="4">
        <v>68.73</v>
      </c>
      <c r="AD102" s="4">
        <v>680</v>
      </c>
      <c r="AE102" s="4">
        <v>5900</v>
      </c>
      <c r="AF102" s="4">
        <v>81.27</v>
      </c>
      <c r="AG102" s="4">
        <v>0.59</v>
      </c>
      <c r="AH102" s="4">
        <v>8.31</v>
      </c>
      <c r="AI102" s="4">
        <v>54.01</v>
      </c>
      <c r="AJ102" s="4">
        <v>60</v>
      </c>
      <c r="AK102" s="4">
        <v>9</v>
      </c>
      <c r="AL102" s="4">
        <v>9</v>
      </c>
      <c r="AM102" s="4">
        <v>0.57999999999999996</v>
      </c>
      <c r="AN102" s="4">
        <v>408</v>
      </c>
      <c r="AO102" s="4">
        <v>413.23</v>
      </c>
      <c r="AP102" s="4">
        <v>362140.15999999997</v>
      </c>
      <c r="AQ102" s="4">
        <v>148772.32</v>
      </c>
      <c r="AR102" s="4" t="s">
        <v>469</v>
      </c>
      <c r="AS102" s="5">
        <f t="shared" si="0"/>
        <v>12.178529680365296</v>
      </c>
    </row>
    <row r="103" spans="1:45" ht="14.25" customHeight="1" x14ac:dyDescent="0.55000000000000004">
      <c r="A103" s="4">
        <v>22.79</v>
      </c>
      <c r="B103" s="4">
        <v>31.87</v>
      </c>
      <c r="C103" s="4">
        <v>5475.06</v>
      </c>
      <c r="D103" s="4">
        <v>7.6</v>
      </c>
      <c r="E103" s="4" t="s">
        <v>1500</v>
      </c>
      <c r="F103" s="4" t="s">
        <v>1501</v>
      </c>
      <c r="G103" s="4" t="s">
        <v>1502</v>
      </c>
      <c r="H103" s="4" t="s">
        <v>1503</v>
      </c>
      <c r="I103" s="4">
        <v>0</v>
      </c>
      <c r="J103" s="4">
        <v>709.59</v>
      </c>
      <c r="K103" s="4">
        <f t="shared" si="4"/>
        <v>63.03</v>
      </c>
      <c r="L103" s="4">
        <f t="shared" si="5"/>
        <v>64.760000000000005</v>
      </c>
      <c r="M103" s="4">
        <f t="shared" si="6"/>
        <v>-1.730000000000004</v>
      </c>
      <c r="N103" s="4">
        <v>7.24</v>
      </c>
      <c r="O103" s="4">
        <v>89.99</v>
      </c>
      <c r="P103" s="4">
        <v>78</v>
      </c>
      <c r="Q103" s="4">
        <v>22</v>
      </c>
      <c r="R103" s="4">
        <v>9.08</v>
      </c>
      <c r="S103" s="4">
        <v>19.190000000000001</v>
      </c>
      <c r="T103" s="4">
        <v>3.6</v>
      </c>
      <c r="U103" s="4">
        <v>7.72</v>
      </c>
      <c r="V103" s="4">
        <v>3504.04</v>
      </c>
      <c r="W103" s="4">
        <v>1048.5899999999999</v>
      </c>
      <c r="X103" s="4">
        <v>1295.75</v>
      </c>
      <c r="Y103" s="4">
        <v>760.48</v>
      </c>
      <c r="Z103" s="4">
        <v>8.27</v>
      </c>
      <c r="AA103" s="4">
        <v>1.65</v>
      </c>
      <c r="AB103" s="4">
        <v>4.3</v>
      </c>
      <c r="AC103" s="4">
        <v>71.62</v>
      </c>
      <c r="AD103" s="4">
        <v>680</v>
      </c>
      <c r="AE103" s="4">
        <v>5900</v>
      </c>
      <c r="AF103" s="4">
        <v>81.95</v>
      </c>
      <c r="AG103" s="4">
        <v>0.59</v>
      </c>
      <c r="AH103" s="4">
        <v>12.2</v>
      </c>
      <c r="AI103" s="4">
        <v>61.86</v>
      </c>
      <c r="AJ103" s="4">
        <v>60</v>
      </c>
      <c r="AK103" s="4">
        <v>9</v>
      </c>
      <c r="AL103" s="4">
        <v>9</v>
      </c>
      <c r="AM103" s="4">
        <v>0.51</v>
      </c>
      <c r="AN103" s="4">
        <v>408</v>
      </c>
      <c r="AO103" s="4">
        <v>412.57</v>
      </c>
      <c r="AP103" s="4">
        <v>399598.52</v>
      </c>
      <c r="AQ103" s="4">
        <v>300347.06</v>
      </c>
      <c r="AR103" s="4" t="s">
        <v>473</v>
      </c>
      <c r="AS103" s="5">
        <f t="shared" si="0"/>
        <v>5.665037671232878</v>
      </c>
    </row>
    <row r="104" spans="1:45" ht="14.25" customHeight="1" x14ac:dyDescent="0.55000000000000004">
      <c r="A104" s="4">
        <v>20.99</v>
      </c>
      <c r="B104" s="4">
        <v>30.01</v>
      </c>
      <c r="C104" s="4">
        <v>5482.14</v>
      </c>
      <c r="D104" s="4">
        <v>7.6</v>
      </c>
      <c r="E104" s="4" t="s">
        <v>1504</v>
      </c>
      <c r="F104" s="4" t="s">
        <v>1505</v>
      </c>
      <c r="G104" s="4" t="s">
        <v>625</v>
      </c>
      <c r="H104" s="4" t="s">
        <v>1506</v>
      </c>
      <c r="I104" s="4">
        <v>0</v>
      </c>
      <c r="J104" s="4">
        <v>578.95000000000005</v>
      </c>
      <c r="K104" s="4">
        <f t="shared" si="4"/>
        <v>54.3</v>
      </c>
      <c r="L104" s="4">
        <f t="shared" si="5"/>
        <v>61.8</v>
      </c>
      <c r="M104" s="4">
        <f t="shared" si="6"/>
        <v>-7.5</v>
      </c>
      <c r="N104" s="4">
        <v>7.15</v>
      </c>
      <c r="O104" s="4">
        <v>90.01</v>
      </c>
      <c r="P104" s="4">
        <v>98</v>
      </c>
      <c r="Q104" s="4">
        <v>17</v>
      </c>
      <c r="R104" s="4">
        <v>9.0299999999999994</v>
      </c>
      <c r="S104" s="4">
        <v>16.75</v>
      </c>
      <c r="T104" s="4">
        <v>4.2300000000000004</v>
      </c>
      <c r="U104" s="4">
        <v>9.4700000000000006</v>
      </c>
      <c r="V104" s="4">
        <v>3508.57</v>
      </c>
      <c r="W104" s="4">
        <v>1058.4000000000001</v>
      </c>
      <c r="X104" s="4">
        <v>1387.49</v>
      </c>
      <c r="Y104" s="4">
        <v>784.25</v>
      </c>
      <c r="Z104" s="4">
        <v>5.71</v>
      </c>
      <c r="AA104" s="4">
        <v>1.65</v>
      </c>
      <c r="AB104" s="4">
        <v>4.3</v>
      </c>
      <c r="AC104" s="4">
        <v>68.069999999999993</v>
      </c>
      <c r="AD104" s="4">
        <v>680</v>
      </c>
      <c r="AE104" s="4">
        <v>5900</v>
      </c>
      <c r="AF104" s="4">
        <v>81.48</v>
      </c>
      <c r="AG104" s="4">
        <v>0.59</v>
      </c>
      <c r="AH104" s="4">
        <v>9.6199999999999992</v>
      </c>
      <c r="AI104" s="4">
        <v>49.56</v>
      </c>
      <c r="AJ104" s="4">
        <v>60</v>
      </c>
      <c r="AK104" s="4">
        <v>9</v>
      </c>
      <c r="AL104" s="4">
        <v>9</v>
      </c>
      <c r="AM104" s="4">
        <v>0.63</v>
      </c>
      <c r="AN104" s="4">
        <v>408</v>
      </c>
      <c r="AO104" s="4">
        <v>413.71</v>
      </c>
      <c r="AP104" s="4">
        <v>352636.4</v>
      </c>
      <c r="AQ104" s="4">
        <v>174445.1</v>
      </c>
      <c r="AR104" s="4" t="s">
        <v>478</v>
      </c>
      <c r="AS104" s="5">
        <f t="shared" si="0"/>
        <v>10.170736301369864</v>
      </c>
    </row>
    <row r="105" spans="1:45" ht="14.25" customHeight="1" x14ac:dyDescent="0.55000000000000004">
      <c r="A105" s="4">
        <v>22.75</v>
      </c>
      <c r="B105" s="4">
        <v>31.76</v>
      </c>
      <c r="C105" s="4">
        <v>5496.02</v>
      </c>
      <c r="D105" s="4">
        <v>7.6</v>
      </c>
      <c r="E105" s="4" t="s">
        <v>1507</v>
      </c>
      <c r="F105" s="4" t="s">
        <v>1508</v>
      </c>
      <c r="G105" s="4" t="s">
        <v>1365</v>
      </c>
      <c r="H105" s="4" t="s">
        <v>1509</v>
      </c>
      <c r="I105" s="4">
        <v>0</v>
      </c>
      <c r="J105" s="4">
        <v>656.86</v>
      </c>
      <c r="K105" s="4">
        <f t="shared" si="4"/>
        <v>59.71</v>
      </c>
      <c r="L105" s="4">
        <f t="shared" si="5"/>
        <v>58.32</v>
      </c>
      <c r="M105" s="4">
        <f t="shared" si="6"/>
        <v>1.3900000000000006</v>
      </c>
      <c r="N105" s="4">
        <v>7.21</v>
      </c>
      <c r="O105" s="4">
        <v>90.08</v>
      </c>
      <c r="P105" s="4">
        <v>85</v>
      </c>
      <c r="Q105" s="4">
        <v>20.8</v>
      </c>
      <c r="R105" s="4">
        <v>9.01</v>
      </c>
      <c r="S105" s="4">
        <v>18.93</v>
      </c>
      <c r="T105" s="4">
        <v>3.82</v>
      </c>
      <c r="U105" s="4">
        <v>8.3699999999999992</v>
      </c>
      <c r="V105" s="4">
        <v>3517.46</v>
      </c>
      <c r="W105" s="4">
        <v>1055.5</v>
      </c>
      <c r="X105" s="4">
        <v>1331.98</v>
      </c>
      <c r="Y105" s="4">
        <v>771.24</v>
      </c>
      <c r="Z105" s="4">
        <v>10.75</v>
      </c>
      <c r="AA105" s="4">
        <v>1.67</v>
      </c>
      <c r="AB105" s="4">
        <v>4.2699999999999996</v>
      </c>
      <c r="AC105" s="4">
        <v>70.22</v>
      </c>
      <c r="AD105" s="4">
        <v>680</v>
      </c>
      <c r="AE105" s="4">
        <v>5900</v>
      </c>
      <c r="AF105" s="4">
        <v>81.37</v>
      </c>
      <c r="AG105" s="4">
        <v>0.59</v>
      </c>
      <c r="AH105" s="4">
        <v>11.04</v>
      </c>
      <c r="AI105" s="4">
        <v>84.85</v>
      </c>
      <c r="AJ105" s="4">
        <v>60</v>
      </c>
      <c r="AK105" s="4">
        <v>9</v>
      </c>
      <c r="AL105" s="4">
        <v>9</v>
      </c>
      <c r="AM105" s="4">
        <v>0.37</v>
      </c>
      <c r="AN105" s="4">
        <v>408</v>
      </c>
      <c r="AO105" s="4">
        <v>411.33</v>
      </c>
      <c r="AP105" s="4">
        <v>410450.37</v>
      </c>
      <c r="AQ105" s="4">
        <v>319925.46000000002</v>
      </c>
      <c r="AR105" s="4" t="s">
        <v>483</v>
      </c>
      <c r="AS105" s="5">
        <f t="shared" si="0"/>
        <v>5.1669469178082181</v>
      </c>
    </row>
    <row r="106" spans="1:45" ht="14.25" customHeight="1" x14ac:dyDescent="0.55000000000000004">
      <c r="A106" s="4">
        <v>22.53</v>
      </c>
      <c r="B106" s="4">
        <v>31.47</v>
      </c>
      <c r="C106" s="4">
        <v>5512.53</v>
      </c>
      <c r="D106" s="4">
        <v>7.59</v>
      </c>
      <c r="E106" s="4" t="s">
        <v>1510</v>
      </c>
      <c r="F106" s="4" t="s">
        <v>1511</v>
      </c>
      <c r="G106" s="4" t="s">
        <v>1512</v>
      </c>
      <c r="H106" s="4" t="s">
        <v>1513</v>
      </c>
      <c r="I106" s="4">
        <v>0</v>
      </c>
      <c r="J106" s="4">
        <v>514.75</v>
      </c>
      <c r="K106" s="4">
        <f t="shared" si="4"/>
        <v>52.790000000000006</v>
      </c>
      <c r="L106" s="4">
        <f t="shared" si="5"/>
        <v>54.900000000000006</v>
      </c>
      <c r="M106" s="4">
        <f t="shared" si="6"/>
        <v>-2.1099999999999994</v>
      </c>
      <c r="N106" s="4">
        <v>7.13</v>
      </c>
      <c r="O106" s="4">
        <v>90.09</v>
      </c>
      <c r="P106" s="4">
        <v>96</v>
      </c>
      <c r="Q106" s="4">
        <v>19.5</v>
      </c>
      <c r="R106" s="4">
        <v>8.94</v>
      </c>
      <c r="S106" s="4">
        <v>19.010000000000002</v>
      </c>
      <c r="T106" s="4">
        <v>3.52</v>
      </c>
      <c r="U106" s="4">
        <v>10.71</v>
      </c>
      <c r="V106" s="4">
        <v>3528.02</v>
      </c>
      <c r="W106" s="4">
        <v>1072.6199999999999</v>
      </c>
      <c r="X106" s="4">
        <v>1475.36</v>
      </c>
      <c r="Y106" s="4">
        <v>810.15</v>
      </c>
      <c r="Z106" s="4">
        <v>6.73</v>
      </c>
      <c r="AA106" s="4">
        <v>1.7</v>
      </c>
      <c r="AB106" s="4">
        <v>4.1900000000000004</v>
      </c>
      <c r="AC106" s="4">
        <v>71.77</v>
      </c>
      <c r="AD106" s="4">
        <v>680</v>
      </c>
      <c r="AE106" s="4">
        <v>5900</v>
      </c>
      <c r="AF106" s="4">
        <v>80.67</v>
      </c>
      <c r="AG106" s="4">
        <v>0.59</v>
      </c>
      <c r="AH106" s="4">
        <v>8.31</v>
      </c>
      <c r="AI106" s="4">
        <v>60.09</v>
      </c>
      <c r="AJ106" s="4">
        <v>60</v>
      </c>
      <c r="AK106" s="4">
        <v>9</v>
      </c>
      <c r="AL106" s="4">
        <v>9</v>
      </c>
      <c r="AM106" s="4">
        <v>0.52</v>
      </c>
      <c r="AN106" s="4">
        <v>408</v>
      </c>
      <c r="AO106" s="4">
        <v>412.71</v>
      </c>
      <c r="AP106" s="4">
        <v>393884.6</v>
      </c>
      <c r="AQ106" s="4">
        <v>156573.70000000001</v>
      </c>
      <c r="AR106" s="4" t="s">
        <v>488</v>
      </c>
      <c r="AS106" s="5">
        <f t="shared" si="0"/>
        <v>13.545142694063925</v>
      </c>
    </row>
    <row r="107" spans="1:45" ht="14.25" customHeight="1" x14ac:dyDescent="0.55000000000000004">
      <c r="A107" s="4">
        <v>22.25</v>
      </c>
      <c r="B107" s="4">
        <v>31.35</v>
      </c>
      <c r="C107" s="4">
        <v>5486.37</v>
      </c>
      <c r="D107" s="4">
        <v>7.6</v>
      </c>
      <c r="E107" s="4" t="s">
        <v>1514</v>
      </c>
      <c r="F107" s="4" t="s">
        <v>1515</v>
      </c>
      <c r="G107" s="4" t="s">
        <v>1350</v>
      </c>
      <c r="H107" s="4" t="s">
        <v>1516</v>
      </c>
      <c r="I107" s="4">
        <v>0</v>
      </c>
      <c r="J107" s="4">
        <v>646.87</v>
      </c>
      <c r="K107" s="4">
        <f t="shared" si="4"/>
        <v>58.559999999999995</v>
      </c>
      <c r="L107" s="4">
        <f t="shared" si="5"/>
        <v>60.62</v>
      </c>
      <c r="M107" s="4">
        <f t="shared" si="6"/>
        <v>-2.0600000000000023</v>
      </c>
      <c r="N107" s="4">
        <v>7.2</v>
      </c>
      <c r="O107" s="4">
        <v>90.03</v>
      </c>
      <c r="P107" s="4">
        <v>85</v>
      </c>
      <c r="Q107" s="4">
        <v>20.399999999999999</v>
      </c>
      <c r="R107" s="4">
        <v>9.09</v>
      </c>
      <c r="S107" s="4">
        <v>18.54</v>
      </c>
      <c r="T107" s="4">
        <v>3.71</v>
      </c>
      <c r="U107" s="4">
        <v>8.48</v>
      </c>
      <c r="V107" s="4">
        <v>3511.28</v>
      </c>
      <c r="W107" s="4">
        <v>1054.49</v>
      </c>
      <c r="X107" s="4">
        <v>1337.89</v>
      </c>
      <c r="Y107" s="4">
        <v>772.08</v>
      </c>
      <c r="Z107" s="4">
        <v>10.14</v>
      </c>
      <c r="AA107" s="4">
        <v>1.65</v>
      </c>
      <c r="AB107" s="4">
        <v>4.29</v>
      </c>
      <c r="AC107" s="4">
        <v>71</v>
      </c>
      <c r="AD107" s="4">
        <v>680</v>
      </c>
      <c r="AE107" s="4">
        <v>5900</v>
      </c>
      <c r="AF107" s="4">
        <v>82.08</v>
      </c>
      <c r="AG107" s="4">
        <v>0.59</v>
      </c>
      <c r="AH107" s="4">
        <v>10.97</v>
      </c>
      <c r="AI107" s="4">
        <v>81.62</v>
      </c>
      <c r="AJ107" s="4">
        <v>60</v>
      </c>
      <c r="AK107" s="4">
        <v>9</v>
      </c>
      <c r="AL107" s="4">
        <v>9</v>
      </c>
      <c r="AM107" s="4">
        <v>0.38</v>
      </c>
      <c r="AN107" s="4">
        <v>408</v>
      </c>
      <c r="AO107" s="4">
        <v>411.46</v>
      </c>
      <c r="AP107" s="4">
        <v>373579.61</v>
      </c>
      <c r="AQ107" s="4">
        <v>338288.99</v>
      </c>
      <c r="AR107" s="4" t="s">
        <v>493</v>
      </c>
      <c r="AS107" s="5">
        <f t="shared" si="0"/>
        <v>2.0143047945205477</v>
      </c>
    </row>
    <row r="108" spans="1:45" ht="14.25" customHeight="1" x14ac:dyDescent="0.55000000000000004">
      <c r="A108" s="4">
        <v>22.35</v>
      </c>
      <c r="B108" s="4">
        <v>31.44</v>
      </c>
      <c r="C108" s="4">
        <v>5475.96</v>
      </c>
      <c r="D108" s="4">
        <v>7.6</v>
      </c>
      <c r="E108" s="4" t="s">
        <v>1517</v>
      </c>
      <c r="F108" s="4" t="s">
        <v>1518</v>
      </c>
      <c r="G108" s="4" t="s">
        <v>1519</v>
      </c>
      <c r="H108" s="4" t="s">
        <v>1520</v>
      </c>
      <c r="I108" s="4">
        <v>0</v>
      </c>
      <c r="J108" s="4">
        <v>679.42</v>
      </c>
      <c r="K108" s="4">
        <f t="shared" si="4"/>
        <v>60.529999999999994</v>
      </c>
      <c r="L108" s="4">
        <f t="shared" si="5"/>
        <v>61.88</v>
      </c>
      <c r="M108" s="4">
        <f t="shared" si="6"/>
        <v>-1.3500000000000085</v>
      </c>
      <c r="N108" s="4">
        <v>7.22</v>
      </c>
      <c r="O108" s="4">
        <v>90</v>
      </c>
      <c r="P108" s="4">
        <v>76</v>
      </c>
      <c r="Q108" s="4">
        <v>21.8</v>
      </c>
      <c r="R108" s="4">
        <v>9.09</v>
      </c>
      <c r="S108" s="4">
        <v>18.739999999999998</v>
      </c>
      <c r="T108" s="4">
        <v>3.61</v>
      </c>
      <c r="U108" s="4">
        <v>8.06</v>
      </c>
      <c r="V108" s="4">
        <v>3504.62</v>
      </c>
      <c r="W108" s="4">
        <v>1050.1300000000001</v>
      </c>
      <c r="X108" s="4">
        <v>1311.54</v>
      </c>
      <c r="Y108" s="4">
        <v>764.4</v>
      </c>
      <c r="Z108" s="4">
        <v>10.76</v>
      </c>
      <c r="AA108" s="4">
        <v>1.65</v>
      </c>
      <c r="AB108" s="4">
        <v>4.3099999999999996</v>
      </c>
      <c r="AC108" s="4">
        <v>71.56</v>
      </c>
      <c r="AD108" s="4">
        <v>680</v>
      </c>
      <c r="AE108" s="4">
        <v>5900</v>
      </c>
      <c r="AF108" s="4">
        <v>82.02</v>
      </c>
      <c r="AG108" s="4">
        <v>0.59</v>
      </c>
      <c r="AH108" s="4">
        <v>11.62</v>
      </c>
      <c r="AI108" s="4">
        <v>83.76</v>
      </c>
      <c r="AJ108" s="4">
        <v>60</v>
      </c>
      <c r="AK108" s="4">
        <v>9</v>
      </c>
      <c r="AL108" s="4">
        <v>9</v>
      </c>
      <c r="AM108" s="4">
        <v>0.38</v>
      </c>
      <c r="AN108" s="4">
        <v>408</v>
      </c>
      <c r="AO108" s="4">
        <v>411.38</v>
      </c>
      <c r="AP108" s="4">
        <v>381020.78</v>
      </c>
      <c r="AQ108" s="4">
        <v>363052.89</v>
      </c>
      <c r="AR108" s="4" t="s">
        <v>497</v>
      </c>
      <c r="AS108" s="5">
        <f t="shared" si="0"/>
        <v>1.0255644977168958</v>
      </c>
    </row>
    <row r="109" spans="1:45" ht="14.25" customHeight="1" x14ac:dyDescent="0.55000000000000004">
      <c r="A109" s="4">
        <v>21.95</v>
      </c>
      <c r="B109" s="4">
        <v>31.15</v>
      </c>
      <c r="C109" s="4">
        <v>5505.78</v>
      </c>
      <c r="D109" s="4">
        <v>7.6</v>
      </c>
      <c r="E109" s="4" t="s">
        <v>1521</v>
      </c>
      <c r="F109" s="4" t="s">
        <v>1522</v>
      </c>
      <c r="G109" s="4" t="s">
        <v>1523</v>
      </c>
      <c r="H109" s="4" t="s">
        <v>1524</v>
      </c>
      <c r="I109" s="4">
        <v>0</v>
      </c>
      <c r="J109" s="4">
        <v>596.38</v>
      </c>
      <c r="K109" s="4">
        <f t="shared" si="4"/>
        <v>56.58</v>
      </c>
      <c r="L109" s="4">
        <f t="shared" si="5"/>
        <v>62.589999999999996</v>
      </c>
      <c r="M109" s="4">
        <f t="shared" si="6"/>
        <v>-6.009999999999998</v>
      </c>
      <c r="N109" s="4">
        <v>7.19</v>
      </c>
      <c r="O109" s="4">
        <v>90.07</v>
      </c>
      <c r="P109" s="4">
        <v>89</v>
      </c>
      <c r="Q109" s="4">
        <v>18.899999999999999</v>
      </c>
      <c r="R109" s="4">
        <v>9.1999999999999993</v>
      </c>
      <c r="S109" s="4">
        <v>17.559999999999999</v>
      </c>
      <c r="T109" s="4">
        <v>4.38</v>
      </c>
      <c r="U109" s="4">
        <v>9.23</v>
      </c>
      <c r="V109" s="4">
        <v>3523.7</v>
      </c>
      <c r="W109" s="4">
        <v>1064.21</v>
      </c>
      <c r="X109" s="4">
        <v>1397.95</v>
      </c>
      <c r="Y109" s="4">
        <v>790.03</v>
      </c>
      <c r="Z109" s="4">
        <v>5.88</v>
      </c>
      <c r="AA109" s="4">
        <v>1.67</v>
      </c>
      <c r="AB109" s="4">
        <v>4.26</v>
      </c>
      <c r="AC109" s="4">
        <v>67.739999999999995</v>
      </c>
      <c r="AD109" s="4">
        <v>680</v>
      </c>
      <c r="AE109" s="4">
        <v>5900</v>
      </c>
      <c r="AF109" s="4">
        <v>83.05</v>
      </c>
      <c r="AG109" s="4">
        <v>0.59</v>
      </c>
      <c r="AH109" s="4">
        <v>10.09</v>
      </c>
      <c r="AI109" s="4">
        <v>48.94</v>
      </c>
      <c r="AJ109" s="4">
        <v>60</v>
      </c>
      <c r="AK109" s="4">
        <v>9</v>
      </c>
      <c r="AL109" s="4">
        <v>9</v>
      </c>
      <c r="AM109" s="4">
        <v>0.64</v>
      </c>
      <c r="AN109" s="4">
        <v>408</v>
      </c>
      <c r="AO109" s="4">
        <v>413.78</v>
      </c>
      <c r="AP109" s="4">
        <v>369704</v>
      </c>
      <c r="AQ109" s="4">
        <v>165330.6</v>
      </c>
      <c r="AR109" s="4" t="s">
        <v>502</v>
      </c>
      <c r="AS109" s="5">
        <f t="shared" si="0"/>
        <v>11.665148401826483</v>
      </c>
    </row>
    <row r="110" spans="1:45" ht="14.25" customHeight="1" x14ac:dyDescent="0.55000000000000004">
      <c r="A110" s="4">
        <v>22.38</v>
      </c>
      <c r="B110" s="4">
        <v>31.46</v>
      </c>
      <c r="C110" s="4">
        <v>5472.19</v>
      </c>
      <c r="D110" s="4">
        <v>7.61</v>
      </c>
      <c r="E110" s="4" t="s">
        <v>1525</v>
      </c>
      <c r="F110" s="4" t="s">
        <v>1526</v>
      </c>
      <c r="G110" s="4" t="s">
        <v>1527</v>
      </c>
      <c r="H110" s="4" t="s">
        <v>1528</v>
      </c>
      <c r="I110" s="4">
        <v>0</v>
      </c>
      <c r="J110" s="4">
        <v>652.4</v>
      </c>
      <c r="K110" s="4">
        <f t="shared" si="4"/>
        <v>60.49</v>
      </c>
      <c r="L110" s="4">
        <f t="shared" si="5"/>
        <v>61.05</v>
      </c>
      <c r="M110" s="4">
        <f t="shared" si="6"/>
        <v>-0.55999999999999517</v>
      </c>
      <c r="N110" s="4">
        <v>7.22</v>
      </c>
      <c r="O110" s="4">
        <v>90.02</v>
      </c>
      <c r="P110" s="4">
        <v>71</v>
      </c>
      <c r="Q110" s="4">
        <v>22.2</v>
      </c>
      <c r="R110" s="4">
        <v>9.08</v>
      </c>
      <c r="S110" s="4">
        <v>18.46</v>
      </c>
      <c r="T110" s="4">
        <v>3.92</v>
      </c>
      <c r="U110" s="4">
        <v>8.39</v>
      </c>
      <c r="V110" s="4">
        <v>3502.2</v>
      </c>
      <c r="W110" s="4">
        <v>1053.57</v>
      </c>
      <c r="X110" s="4">
        <v>1346.38</v>
      </c>
      <c r="Y110" s="4">
        <v>774.17</v>
      </c>
      <c r="Z110" s="4">
        <v>9.91</v>
      </c>
      <c r="AA110" s="4">
        <v>1.67</v>
      </c>
      <c r="AB110" s="4">
        <v>4.2699999999999996</v>
      </c>
      <c r="AC110" s="4">
        <v>69.87</v>
      </c>
      <c r="AD110" s="4">
        <v>680</v>
      </c>
      <c r="AE110" s="4">
        <v>5900</v>
      </c>
      <c r="AF110" s="4">
        <v>82</v>
      </c>
      <c r="AG110" s="4">
        <v>0.59</v>
      </c>
      <c r="AH110" s="4">
        <v>11.1</v>
      </c>
      <c r="AI110" s="4">
        <v>77.180000000000007</v>
      </c>
      <c r="AJ110" s="4">
        <v>60</v>
      </c>
      <c r="AK110" s="4">
        <v>9</v>
      </c>
      <c r="AL110" s="4">
        <v>9</v>
      </c>
      <c r="AM110" s="4">
        <v>0.41</v>
      </c>
      <c r="AN110" s="4">
        <v>408</v>
      </c>
      <c r="AO110" s="4">
        <v>411.66</v>
      </c>
      <c r="AP110" s="4">
        <v>393621.57</v>
      </c>
      <c r="AQ110" s="4">
        <v>314414.15000000002</v>
      </c>
      <c r="AR110" s="4" t="s">
        <v>507</v>
      </c>
      <c r="AS110" s="5">
        <f t="shared" si="0"/>
        <v>4.520971461187214</v>
      </c>
    </row>
    <row r="111" spans="1:45" ht="14.25" customHeight="1" x14ac:dyDescent="0.55000000000000004">
      <c r="A111" s="4">
        <v>21.82</v>
      </c>
      <c r="B111" s="4">
        <v>31.02</v>
      </c>
      <c r="C111" s="4">
        <v>5506.44</v>
      </c>
      <c r="D111" s="4">
        <v>7.59</v>
      </c>
      <c r="E111" s="4" t="s">
        <v>1529</v>
      </c>
      <c r="F111" s="4" t="s">
        <v>1530</v>
      </c>
      <c r="G111" s="4" t="s">
        <v>1512</v>
      </c>
      <c r="H111" s="4" t="s">
        <v>1531</v>
      </c>
      <c r="I111" s="4">
        <v>0</v>
      </c>
      <c r="J111" s="4">
        <v>584.80999999999995</v>
      </c>
      <c r="K111" s="4">
        <f t="shared" si="4"/>
        <v>55.739999999999995</v>
      </c>
      <c r="L111" s="4">
        <f t="shared" si="5"/>
        <v>61.460000000000008</v>
      </c>
      <c r="M111" s="4">
        <f t="shared" si="6"/>
        <v>-5.7200000000000131</v>
      </c>
      <c r="N111" s="4">
        <v>7.18</v>
      </c>
      <c r="O111" s="4">
        <v>90</v>
      </c>
      <c r="P111" s="4">
        <v>90</v>
      </c>
      <c r="Q111" s="4">
        <v>18.8</v>
      </c>
      <c r="R111" s="4">
        <v>9.1999999999999993</v>
      </c>
      <c r="S111" s="4">
        <v>17.59</v>
      </c>
      <c r="T111" s="4">
        <v>4.24</v>
      </c>
      <c r="U111" s="4">
        <v>9.42</v>
      </c>
      <c r="V111" s="4">
        <v>3524.12</v>
      </c>
      <c r="W111" s="4">
        <v>1065.25</v>
      </c>
      <c r="X111" s="4">
        <v>1407.74</v>
      </c>
      <c r="Y111" s="4">
        <v>792.57</v>
      </c>
      <c r="Z111" s="4">
        <v>5.89</v>
      </c>
      <c r="AA111" s="4">
        <v>1.67</v>
      </c>
      <c r="AB111" s="4">
        <v>4.26</v>
      </c>
      <c r="AC111" s="4">
        <v>68.459999999999994</v>
      </c>
      <c r="AD111" s="4">
        <v>680</v>
      </c>
      <c r="AE111" s="4">
        <v>5900</v>
      </c>
      <c r="AF111" s="4">
        <v>83.03</v>
      </c>
      <c r="AG111" s="4">
        <v>0.59</v>
      </c>
      <c r="AH111" s="4">
        <v>9.8699999999999992</v>
      </c>
      <c r="AI111" s="4">
        <v>49.84</v>
      </c>
      <c r="AJ111" s="4">
        <v>60</v>
      </c>
      <c r="AK111" s="4">
        <v>9</v>
      </c>
      <c r="AL111" s="4">
        <v>9</v>
      </c>
      <c r="AM111" s="4">
        <v>0.63</v>
      </c>
      <c r="AN111" s="4">
        <v>408</v>
      </c>
      <c r="AO111" s="4">
        <v>413.67</v>
      </c>
      <c r="AP111" s="4">
        <v>369518.81</v>
      </c>
      <c r="AQ111" s="4">
        <v>160381.91</v>
      </c>
      <c r="AR111" s="4" t="s">
        <v>512</v>
      </c>
      <c r="AS111" s="5">
        <f t="shared" si="0"/>
        <v>11.937037671232876</v>
      </c>
    </row>
    <row r="112" spans="1:45" ht="14.25" customHeight="1" x14ac:dyDescent="0.55000000000000004">
      <c r="A112" s="4">
        <v>22.68</v>
      </c>
      <c r="B112" s="4">
        <v>31.59</v>
      </c>
      <c r="C112" s="4">
        <v>5492.7</v>
      </c>
      <c r="D112" s="4">
        <v>7.6</v>
      </c>
      <c r="E112" s="4" t="s">
        <v>1532</v>
      </c>
      <c r="F112" s="4" t="s">
        <v>1533</v>
      </c>
      <c r="G112" s="4" t="s">
        <v>1534</v>
      </c>
      <c r="H112" s="4" t="s">
        <v>1535</v>
      </c>
      <c r="I112" s="4">
        <v>0</v>
      </c>
      <c r="J112" s="4">
        <v>564.59</v>
      </c>
      <c r="K112" s="4">
        <f t="shared" si="4"/>
        <v>54.77</v>
      </c>
      <c r="L112" s="4">
        <f t="shared" si="5"/>
        <v>56.160000000000004</v>
      </c>
      <c r="M112" s="4">
        <f t="shared" si="6"/>
        <v>-1.3900000000000006</v>
      </c>
      <c r="N112" s="4">
        <v>7.16</v>
      </c>
      <c r="O112" s="4">
        <v>90.19</v>
      </c>
      <c r="P112" s="4">
        <v>85</v>
      </c>
      <c r="Q112" s="4">
        <v>20.100000000000001</v>
      </c>
      <c r="R112" s="4">
        <v>8.91</v>
      </c>
      <c r="S112" s="4">
        <v>18.25</v>
      </c>
      <c r="T112" s="4">
        <v>4.43</v>
      </c>
      <c r="U112" s="4">
        <v>9.73</v>
      </c>
      <c r="V112" s="4">
        <v>3515.33</v>
      </c>
      <c r="W112" s="4">
        <v>1064.25</v>
      </c>
      <c r="X112" s="4">
        <v>1421.83</v>
      </c>
      <c r="Y112" s="4">
        <v>795.06</v>
      </c>
      <c r="Z112" s="4">
        <v>9.26</v>
      </c>
      <c r="AA112" s="4">
        <v>1.69</v>
      </c>
      <c r="AB112" s="4">
        <v>4.21</v>
      </c>
      <c r="AC112" s="4">
        <v>66.78</v>
      </c>
      <c r="AD112" s="4">
        <v>680</v>
      </c>
      <c r="AE112" s="4">
        <v>5900</v>
      </c>
      <c r="AF112" s="4">
        <v>80.430000000000007</v>
      </c>
      <c r="AG112" s="4">
        <v>0.59</v>
      </c>
      <c r="AH112" s="4">
        <v>9.2100000000000009</v>
      </c>
      <c r="AI112" s="4">
        <v>79.72</v>
      </c>
      <c r="AJ112" s="4">
        <v>60</v>
      </c>
      <c r="AK112" s="4">
        <v>9</v>
      </c>
      <c r="AL112" s="4">
        <v>9</v>
      </c>
      <c r="AM112" s="4">
        <v>0.39</v>
      </c>
      <c r="AN112" s="4">
        <v>408</v>
      </c>
      <c r="AO112" s="4">
        <v>411.55</v>
      </c>
      <c r="AP112" s="4">
        <v>378163.57</v>
      </c>
      <c r="AQ112" s="4">
        <v>265356.03000000003</v>
      </c>
      <c r="AR112" s="4" t="s">
        <v>517</v>
      </c>
      <c r="AS112" s="5">
        <f t="shared" si="0"/>
        <v>6.4387865296803639</v>
      </c>
    </row>
    <row r="113" spans="1:45" ht="14.25" customHeight="1" x14ac:dyDescent="0.55000000000000004">
      <c r="A113" s="4">
        <v>22.63</v>
      </c>
      <c r="B113" s="4">
        <v>31.75</v>
      </c>
      <c r="C113" s="4">
        <v>5471.38</v>
      </c>
      <c r="D113" s="4">
        <v>7.6</v>
      </c>
      <c r="E113" s="4" t="s">
        <v>1536</v>
      </c>
      <c r="F113" s="4" t="s">
        <v>1537</v>
      </c>
      <c r="G113" s="4" t="s">
        <v>1432</v>
      </c>
      <c r="H113" s="4" t="s">
        <v>1538</v>
      </c>
      <c r="I113" s="4">
        <v>0</v>
      </c>
      <c r="J113" s="4">
        <v>726.98</v>
      </c>
      <c r="K113" s="4">
        <f t="shared" si="4"/>
        <v>64.010000000000005</v>
      </c>
      <c r="L113" s="4">
        <f t="shared" si="5"/>
        <v>64.69</v>
      </c>
      <c r="M113" s="4">
        <f t="shared" si="6"/>
        <v>-0.67999999999999261</v>
      </c>
      <c r="N113" s="4">
        <v>7.25</v>
      </c>
      <c r="O113" s="4">
        <v>89.96</v>
      </c>
      <c r="P113" s="4">
        <v>77</v>
      </c>
      <c r="Q113" s="4">
        <v>22.2</v>
      </c>
      <c r="R113" s="4">
        <v>9.1199999999999992</v>
      </c>
      <c r="S113" s="4">
        <v>19.25</v>
      </c>
      <c r="T113" s="4">
        <v>3.38</v>
      </c>
      <c r="U113" s="4">
        <v>7.53</v>
      </c>
      <c r="V113" s="4">
        <v>3501.69</v>
      </c>
      <c r="W113" s="4">
        <v>1046.57</v>
      </c>
      <c r="X113" s="4">
        <v>1282.29</v>
      </c>
      <c r="Y113" s="4">
        <v>756.58</v>
      </c>
      <c r="Z113" s="4">
        <v>10.39</v>
      </c>
      <c r="AA113" s="4">
        <v>1.64</v>
      </c>
      <c r="AB113" s="4">
        <v>4.32</v>
      </c>
      <c r="AC113" s="4">
        <v>72.95</v>
      </c>
      <c r="AD113" s="4">
        <v>680</v>
      </c>
      <c r="AE113" s="4">
        <v>5900</v>
      </c>
      <c r="AF113" s="4">
        <v>82.29</v>
      </c>
      <c r="AG113" s="4">
        <v>0.59</v>
      </c>
      <c r="AH113" s="4">
        <v>12.61</v>
      </c>
      <c r="AI113" s="4">
        <v>76.489999999999995</v>
      </c>
      <c r="AJ113" s="4">
        <v>60</v>
      </c>
      <c r="AK113" s="4">
        <v>9</v>
      </c>
      <c r="AL113" s="4">
        <v>9</v>
      </c>
      <c r="AM113" s="4">
        <v>0.41</v>
      </c>
      <c r="AN113" s="4">
        <v>408</v>
      </c>
      <c r="AO113" s="4">
        <v>411.7</v>
      </c>
      <c r="AP113" s="4">
        <v>396153.08</v>
      </c>
      <c r="AQ113" s="4">
        <v>372586.36</v>
      </c>
      <c r="AR113" s="4" t="s">
        <v>521</v>
      </c>
      <c r="AS113" s="5">
        <f t="shared" si="0"/>
        <v>1.3451324200913259</v>
      </c>
    </row>
    <row r="114" spans="1:45" ht="14.25" customHeight="1" x14ac:dyDescent="0.55000000000000004">
      <c r="A114" s="4">
        <v>22.67</v>
      </c>
      <c r="B114" s="4">
        <v>31.65</v>
      </c>
      <c r="C114" s="4">
        <v>5489.74</v>
      </c>
      <c r="D114" s="4">
        <v>7.6</v>
      </c>
      <c r="E114" s="4" t="s">
        <v>1539</v>
      </c>
      <c r="F114" s="4" t="s">
        <v>1540</v>
      </c>
      <c r="G114" s="4" t="s">
        <v>1541</v>
      </c>
      <c r="H114" s="4" t="s">
        <v>1542</v>
      </c>
      <c r="I114" s="4">
        <v>0</v>
      </c>
      <c r="J114" s="4">
        <v>575.71</v>
      </c>
      <c r="K114" s="4">
        <f t="shared" si="4"/>
        <v>55.459999999999994</v>
      </c>
      <c r="L114" s="4">
        <f t="shared" si="5"/>
        <v>60.28</v>
      </c>
      <c r="M114" s="4">
        <f t="shared" si="6"/>
        <v>-4.8200000000000074</v>
      </c>
      <c r="N114" s="4">
        <v>7.17</v>
      </c>
      <c r="O114" s="4">
        <v>89.9</v>
      </c>
      <c r="P114" s="4">
        <v>81</v>
      </c>
      <c r="Q114" s="4">
        <v>21.4</v>
      </c>
      <c r="R114" s="4">
        <v>8.9700000000000006</v>
      </c>
      <c r="S114" s="4">
        <v>19</v>
      </c>
      <c r="T114" s="4">
        <v>3.67</v>
      </c>
      <c r="U114" s="4">
        <v>9.5399999999999991</v>
      </c>
      <c r="V114" s="4">
        <v>3513.43</v>
      </c>
      <c r="W114" s="4">
        <v>1063</v>
      </c>
      <c r="X114" s="4">
        <v>1413.06</v>
      </c>
      <c r="Y114" s="4">
        <v>792.73</v>
      </c>
      <c r="Z114" s="4">
        <v>5.98</v>
      </c>
      <c r="AA114" s="4">
        <v>1.69</v>
      </c>
      <c r="AB114" s="4">
        <v>4.22</v>
      </c>
      <c r="AC114" s="4">
        <v>70.959999999999994</v>
      </c>
      <c r="AD114" s="4">
        <v>680</v>
      </c>
      <c r="AE114" s="4">
        <v>5900</v>
      </c>
      <c r="AF114" s="4">
        <v>80.989999999999995</v>
      </c>
      <c r="AG114" s="4">
        <v>0.59</v>
      </c>
      <c r="AH114" s="4">
        <v>9.49</v>
      </c>
      <c r="AI114" s="4">
        <v>50.82</v>
      </c>
      <c r="AJ114" s="4">
        <v>60</v>
      </c>
      <c r="AK114" s="4">
        <v>9</v>
      </c>
      <c r="AL114" s="4">
        <v>9</v>
      </c>
      <c r="AM114" s="4">
        <v>0.62</v>
      </c>
      <c r="AN114" s="4">
        <v>408</v>
      </c>
      <c r="AO114" s="4">
        <v>413.56</v>
      </c>
      <c r="AP114" s="4">
        <v>377438.45</v>
      </c>
      <c r="AQ114" s="4">
        <v>153172.19</v>
      </c>
      <c r="AR114" s="4" t="s">
        <v>526</v>
      </c>
      <c r="AS114" s="5">
        <f t="shared" si="0"/>
        <v>12.800585616438356</v>
      </c>
    </row>
    <row r="115" spans="1:45" ht="14.25" customHeight="1" x14ac:dyDescent="0.55000000000000004">
      <c r="A115" s="4">
        <v>22.67</v>
      </c>
      <c r="B115" s="4">
        <v>31.73</v>
      </c>
      <c r="C115" s="4">
        <v>5515.55</v>
      </c>
      <c r="D115" s="4">
        <v>7.63</v>
      </c>
      <c r="E115" s="4" t="s">
        <v>1543</v>
      </c>
      <c r="F115" s="4" t="s">
        <v>1544</v>
      </c>
      <c r="G115" s="4" t="s">
        <v>1300</v>
      </c>
      <c r="H115" s="4" t="s">
        <v>1545</v>
      </c>
      <c r="I115" s="4">
        <v>0</v>
      </c>
      <c r="J115" s="4">
        <v>651.39</v>
      </c>
      <c r="K115" s="4">
        <f t="shared" si="4"/>
        <v>59.769999999999996</v>
      </c>
      <c r="L115" s="4">
        <f t="shared" si="5"/>
        <v>63.6</v>
      </c>
      <c r="M115" s="4">
        <f t="shared" si="6"/>
        <v>-3.8300000000000054</v>
      </c>
      <c r="N115" s="4">
        <v>7.21</v>
      </c>
      <c r="O115" s="4">
        <v>89.86</v>
      </c>
      <c r="P115" s="4">
        <v>91</v>
      </c>
      <c r="Q115" s="4">
        <v>20.2</v>
      </c>
      <c r="R115" s="4">
        <v>9.06</v>
      </c>
      <c r="S115" s="4">
        <v>19.09</v>
      </c>
      <c r="T115" s="4">
        <v>3.58</v>
      </c>
      <c r="U115" s="4">
        <v>8.4700000000000006</v>
      </c>
      <c r="V115" s="4">
        <v>3529.95</v>
      </c>
      <c r="W115" s="4">
        <v>1060.74</v>
      </c>
      <c r="X115" s="4">
        <v>1348.68</v>
      </c>
      <c r="Y115" s="4">
        <v>777.57</v>
      </c>
      <c r="Z115" s="4">
        <v>6.11</v>
      </c>
      <c r="AA115" s="4">
        <v>1.69</v>
      </c>
      <c r="AB115" s="4">
        <v>4.24</v>
      </c>
      <c r="AC115" s="4">
        <v>71.7</v>
      </c>
      <c r="AD115" s="4">
        <v>680</v>
      </c>
      <c r="AE115" s="4">
        <v>5900</v>
      </c>
      <c r="AF115" s="4">
        <v>81.78</v>
      </c>
      <c r="AG115" s="4">
        <v>0.59</v>
      </c>
      <c r="AH115" s="4">
        <v>10.95</v>
      </c>
      <c r="AI115" s="4">
        <v>48.17</v>
      </c>
      <c r="AJ115" s="4">
        <v>60</v>
      </c>
      <c r="AK115" s="4">
        <v>9</v>
      </c>
      <c r="AL115" s="4">
        <v>9</v>
      </c>
      <c r="AM115" s="4">
        <v>0.65</v>
      </c>
      <c r="AN115" s="4">
        <v>408</v>
      </c>
      <c r="AO115" s="4">
        <v>413.87</v>
      </c>
      <c r="AP115" s="4">
        <v>398480.05</v>
      </c>
      <c r="AQ115" s="4">
        <v>175828.62</v>
      </c>
      <c r="AR115" s="4" t="s">
        <v>1546</v>
      </c>
      <c r="AS115" s="5">
        <f t="shared" si="0"/>
        <v>12.708414954337899</v>
      </c>
    </row>
    <row r="116" spans="1:45" ht="14.25" customHeight="1" x14ac:dyDescent="0.55000000000000004">
      <c r="A116" s="4">
        <v>22.35</v>
      </c>
      <c r="B116" s="4">
        <v>31.3</v>
      </c>
      <c r="C116" s="4">
        <v>5520.8</v>
      </c>
      <c r="D116" s="4">
        <v>7.6</v>
      </c>
      <c r="E116" s="4" t="s">
        <v>1547</v>
      </c>
      <c r="F116" s="4" t="s">
        <v>1548</v>
      </c>
      <c r="G116" s="4" t="s">
        <v>1549</v>
      </c>
      <c r="H116" s="4" t="s">
        <v>1550</v>
      </c>
      <c r="I116" s="4">
        <v>0</v>
      </c>
      <c r="J116" s="4">
        <v>617.63</v>
      </c>
      <c r="K116" s="4">
        <f t="shared" si="4"/>
        <v>57.269999999999996</v>
      </c>
      <c r="L116" s="4">
        <f t="shared" si="5"/>
        <v>61.14</v>
      </c>
      <c r="M116" s="4">
        <f t="shared" si="6"/>
        <v>-3.8700000000000045</v>
      </c>
      <c r="N116" s="4">
        <v>7.2</v>
      </c>
      <c r="O116" s="4">
        <v>89.98</v>
      </c>
      <c r="P116" s="4">
        <v>95</v>
      </c>
      <c r="Q116" s="4">
        <v>18.899999999999999</v>
      </c>
      <c r="R116" s="4">
        <v>8.9499999999999993</v>
      </c>
      <c r="S116" s="4">
        <v>18.29</v>
      </c>
      <c r="T116" s="4">
        <v>4.0599999999999996</v>
      </c>
      <c r="U116" s="4">
        <v>8.94</v>
      </c>
      <c r="V116" s="4">
        <v>3533.31</v>
      </c>
      <c r="W116" s="4">
        <v>1065.26</v>
      </c>
      <c r="X116" s="4">
        <v>1383.07</v>
      </c>
      <c r="Y116" s="4">
        <v>787.31</v>
      </c>
      <c r="Z116" s="4">
        <v>6.09</v>
      </c>
      <c r="AA116" s="4">
        <v>1.68</v>
      </c>
      <c r="AB116" s="4">
        <v>4.25</v>
      </c>
      <c r="AC116" s="4">
        <v>68.819999999999993</v>
      </c>
      <c r="AD116" s="4">
        <v>680</v>
      </c>
      <c r="AE116" s="4">
        <v>5900</v>
      </c>
      <c r="AF116" s="4">
        <v>80.83</v>
      </c>
      <c r="AG116" s="4">
        <v>0.59</v>
      </c>
      <c r="AH116" s="4">
        <v>10.18</v>
      </c>
      <c r="AI116" s="4">
        <v>50.1</v>
      </c>
      <c r="AJ116" s="4">
        <v>60</v>
      </c>
      <c r="AK116" s="4">
        <v>9</v>
      </c>
      <c r="AL116" s="4">
        <v>9</v>
      </c>
      <c r="AM116" s="4">
        <v>0.63</v>
      </c>
      <c r="AN116" s="4">
        <v>408</v>
      </c>
      <c r="AO116" s="4">
        <v>413.64</v>
      </c>
      <c r="AP116" s="4">
        <v>386996.07</v>
      </c>
      <c r="AQ116" s="4">
        <v>160073.87</v>
      </c>
      <c r="AR116" s="4" t="s">
        <v>530</v>
      </c>
      <c r="AS116" s="5">
        <f t="shared" si="0"/>
        <v>12.952180365296805</v>
      </c>
    </row>
    <row r="117" spans="1:45" ht="14.25" customHeight="1" x14ac:dyDescent="0.55000000000000004">
      <c r="A117" s="4">
        <v>21.84</v>
      </c>
      <c r="B117" s="4">
        <v>30.99</v>
      </c>
      <c r="C117" s="4">
        <v>5521.67</v>
      </c>
      <c r="D117" s="4">
        <v>7.6</v>
      </c>
      <c r="E117" s="4" t="s">
        <v>1551</v>
      </c>
      <c r="F117" s="4" t="s">
        <v>1552</v>
      </c>
      <c r="G117" s="4" t="s">
        <v>1272</v>
      </c>
      <c r="H117" s="4" t="s">
        <v>1553</v>
      </c>
      <c r="I117" s="4">
        <v>0</v>
      </c>
      <c r="J117" s="4">
        <v>605.27</v>
      </c>
      <c r="K117" s="4">
        <f t="shared" si="4"/>
        <v>57.709999999999994</v>
      </c>
      <c r="L117" s="4">
        <f t="shared" si="5"/>
        <v>58.95</v>
      </c>
      <c r="M117" s="4">
        <f t="shared" si="6"/>
        <v>-1.2400000000000091</v>
      </c>
      <c r="N117" s="4">
        <v>7.18</v>
      </c>
      <c r="O117" s="4">
        <v>89.99</v>
      </c>
      <c r="P117" s="4">
        <v>90</v>
      </c>
      <c r="Q117" s="4">
        <v>19</v>
      </c>
      <c r="R117" s="4">
        <v>9.15</v>
      </c>
      <c r="S117" s="4">
        <v>17.78</v>
      </c>
      <c r="T117" s="4">
        <v>4.0599999999999996</v>
      </c>
      <c r="U117" s="4">
        <v>9.1199999999999992</v>
      </c>
      <c r="V117" s="4">
        <v>3533.87</v>
      </c>
      <c r="W117" s="4">
        <v>1065.6600000000001</v>
      </c>
      <c r="X117" s="4">
        <v>1387.98</v>
      </c>
      <c r="Y117" s="4">
        <v>788.3</v>
      </c>
      <c r="Z117" s="4">
        <v>11.26</v>
      </c>
      <c r="AA117" s="4">
        <v>1.67</v>
      </c>
      <c r="AB117" s="4">
        <v>4.2699999999999996</v>
      </c>
      <c r="AC117" s="4">
        <v>69.28</v>
      </c>
      <c r="AD117" s="4">
        <v>680</v>
      </c>
      <c r="AE117" s="4">
        <v>5900</v>
      </c>
      <c r="AF117" s="4">
        <v>82.59</v>
      </c>
      <c r="AG117" s="4">
        <v>0.59</v>
      </c>
      <c r="AH117" s="4">
        <v>10.17</v>
      </c>
      <c r="AI117" s="4">
        <v>91.93</v>
      </c>
      <c r="AJ117" s="4">
        <v>60</v>
      </c>
      <c r="AK117" s="4">
        <v>9</v>
      </c>
      <c r="AL117" s="4">
        <v>9</v>
      </c>
      <c r="AM117" s="4">
        <v>0.34</v>
      </c>
      <c r="AN117" s="4">
        <v>408</v>
      </c>
      <c r="AO117" s="4">
        <v>411.08</v>
      </c>
      <c r="AP117" s="4">
        <v>379132.88</v>
      </c>
      <c r="AQ117" s="4">
        <v>338903.07</v>
      </c>
      <c r="AR117" s="4" t="s">
        <v>535</v>
      </c>
      <c r="AS117" s="5">
        <f t="shared" si="0"/>
        <v>2.2962220319634703</v>
      </c>
    </row>
    <row r="118" spans="1:45" ht="14.25" customHeight="1" x14ac:dyDescent="0.55000000000000004">
      <c r="A118" s="4">
        <v>22.03</v>
      </c>
      <c r="B118" s="4">
        <v>31.11</v>
      </c>
      <c r="C118" s="4">
        <v>5529.43</v>
      </c>
      <c r="D118" s="4">
        <v>7.6</v>
      </c>
      <c r="E118" s="4" t="s">
        <v>1554</v>
      </c>
      <c r="F118" s="4" t="s">
        <v>1555</v>
      </c>
      <c r="G118" s="4" t="s">
        <v>1556</v>
      </c>
      <c r="H118" s="4" t="s">
        <v>1557</v>
      </c>
      <c r="I118" s="4">
        <v>0</v>
      </c>
      <c r="J118" s="4">
        <v>570.27</v>
      </c>
      <c r="K118" s="4">
        <f t="shared" si="4"/>
        <v>55.4</v>
      </c>
      <c r="L118" s="4">
        <f t="shared" si="5"/>
        <v>54.87</v>
      </c>
      <c r="M118" s="4">
        <f t="shared" si="6"/>
        <v>0.53000000000000114</v>
      </c>
      <c r="N118" s="4">
        <v>7.17</v>
      </c>
      <c r="O118" s="4">
        <v>90.06</v>
      </c>
      <c r="P118" s="4">
        <v>94</v>
      </c>
      <c r="Q118" s="4">
        <v>18.600000000000001</v>
      </c>
      <c r="R118" s="4">
        <v>9.08</v>
      </c>
      <c r="S118" s="4">
        <v>17.87</v>
      </c>
      <c r="T118" s="4">
        <v>4.1500000000000004</v>
      </c>
      <c r="U118" s="4">
        <v>9.6999999999999993</v>
      </c>
      <c r="V118" s="4">
        <v>3538.84</v>
      </c>
      <c r="W118" s="4">
        <v>1070.81</v>
      </c>
      <c r="X118" s="4">
        <v>1425.63</v>
      </c>
      <c r="Y118" s="4">
        <v>798.89</v>
      </c>
      <c r="Z118" s="4">
        <v>13.63</v>
      </c>
      <c r="AA118" s="4">
        <v>1.68</v>
      </c>
      <c r="AB118" s="4">
        <v>4.2300000000000004</v>
      </c>
      <c r="AC118" s="4">
        <v>68.63</v>
      </c>
      <c r="AD118" s="4">
        <v>680</v>
      </c>
      <c r="AE118" s="4">
        <v>5900</v>
      </c>
      <c r="AF118" s="4">
        <v>81.98</v>
      </c>
      <c r="AG118" s="4">
        <v>0.59</v>
      </c>
      <c r="AH118" s="4">
        <v>9.43</v>
      </c>
      <c r="AI118" s="4">
        <v>115.93</v>
      </c>
      <c r="AJ118" s="4">
        <v>60</v>
      </c>
      <c r="AK118" s="4">
        <v>9</v>
      </c>
      <c r="AL118" s="4">
        <v>9</v>
      </c>
      <c r="AM118" s="4">
        <v>0.27</v>
      </c>
      <c r="AN118" s="4">
        <v>408</v>
      </c>
      <c r="AO118" s="4">
        <v>410.44</v>
      </c>
      <c r="AP118" s="4">
        <v>381110.13</v>
      </c>
      <c r="AQ118" s="4">
        <v>337675.01</v>
      </c>
      <c r="AR118" s="4" t="s">
        <v>540</v>
      </c>
      <c r="AS118" s="5">
        <f t="shared" si="0"/>
        <v>2.479173515981735</v>
      </c>
    </row>
    <row r="119" spans="1:45" ht="14.25" customHeight="1" x14ac:dyDescent="0.55000000000000004">
      <c r="A119" s="4">
        <v>22.28</v>
      </c>
      <c r="B119" s="4">
        <v>31.5</v>
      </c>
      <c r="C119" s="4">
        <v>5499.84</v>
      </c>
      <c r="D119" s="4">
        <v>7.59</v>
      </c>
      <c r="E119" s="4" t="s">
        <v>1558</v>
      </c>
      <c r="F119" s="4" t="s">
        <v>1559</v>
      </c>
      <c r="G119" s="4" t="s">
        <v>1560</v>
      </c>
      <c r="H119" s="4" t="s">
        <v>1561</v>
      </c>
      <c r="I119" s="4">
        <v>0</v>
      </c>
      <c r="J119" s="4">
        <v>617.67999999999995</v>
      </c>
      <c r="K119" s="4">
        <f t="shared" si="4"/>
        <v>57.99</v>
      </c>
      <c r="L119" s="4">
        <f t="shared" si="5"/>
        <v>64.38</v>
      </c>
      <c r="M119" s="4">
        <f t="shared" si="6"/>
        <v>-6.3899999999999935</v>
      </c>
      <c r="N119" s="4">
        <v>7.2</v>
      </c>
      <c r="O119" s="4">
        <v>90</v>
      </c>
      <c r="P119" s="4">
        <v>87</v>
      </c>
      <c r="Q119" s="4">
        <v>19.7</v>
      </c>
      <c r="R119" s="4">
        <v>9.2200000000000006</v>
      </c>
      <c r="S119" s="4">
        <v>18.100000000000001</v>
      </c>
      <c r="T119" s="4">
        <v>4.17</v>
      </c>
      <c r="U119" s="4">
        <v>8.9</v>
      </c>
      <c r="V119" s="4">
        <v>3519.9</v>
      </c>
      <c r="W119" s="4">
        <v>1061</v>
      </c>
      <c r="X119" s="4">
        <v>1376.29</v>
      </c>
      <c r="Y119" s="4">
        <v>783.83</v>
      </c>
      <c r="Z119" s="4">
        <v>5.86</v>
      </c>
      <c r="AA119" s="4">
        <v>1.66</v>
      </c>
      <c r="AB119" s="4">
        <v>4.2699999999999996</v>
      </c>
      <c r="AC119" s="4">
        <v>68.83</v>
      </c>
      <c r="AD119" s="4">
        <v>680</v>
      </c>
      <c r="AE119" s="4">
        <v>5900</v>
      </c>
      <c r="AF119" s="4">
        <v>83.22</v>
      </c>
      <c r="AG119" s="4">
        <v>0.59</v>
      </c>
      <c r="AH119" s="4">
        <v>10.53</v>
      </c>
      <c r="AI119" s="4">
        <v>47.58</v>
      </c>
      <c r="AJ119" s="4">
        <v>60</v>
      </c>
      <c r="AK119" s="4">
        <v>9</v>
      </c>
      <c r="AL119" s="4">
        <v>9</v>
      </c>
      <c r="AM119" s="4">
        <v>0.66</v>
      </c>
      <c r="AN119" s="4">
        <v>408</v>
      </c>
      <c r="AO119" s="4">
        <v>413.94</v>
      </c>
      <c r="AP119" s="4">
        <v>371483.98</v>
      </c>
      <c r="AQ119" s="4">
        <v>175251.06</v>
      </c>
      <c r="AR119" s="4" t="s">
        <v>545</v>
      </c>
      <c r="AS119" s="5">
        <f t="shared" si="0"/>
        <v>11.200509132420091</v>
      </c>
    </row>
    <row r="120" spans="1:45" ht="14.25" customHeight="1" x14ac:dyDescent="0.55000000000000004">
      <c r="A120" s="4">
        <v>22.56</v>
      </c>
      <c r="B120" s="4">
        <v>31.62</v>
      </c>
      <c r="C120" s="4">
        <v>5492.35</v>
      </c>
      <c r="D120" s="4">
        <v>7.62</v>
      </c>
      <c r="E120" s="4" t="s">
        <v>1562</v>
      </c>
      <c r="F120" s="4" t="s">
        <v>1563</v>
      </c>
      <c r="G120" s="4" t="s">
        <v>1564</v>
      </c>
      <c r="H120" s="4" t="s">
        <v>1565</v>
      </c>
      <c r="I120" s="4">
        <v>0</v>
      </c>
      <c r="J120" s="4">
        <v>756.45</v>
      </c>
      <c r="K120" s="4">
        <f t="shared" si="4"/>
        <v>67.08</v>
      </c>
      <c r="L120" s="4">
        <f t="shared" si="5"/>
        <v>71.900000000000006</v>
      </c>
      <c r="M120" s="4">
        <f t="shared" si="6"/>
        <v>-4.8200000000000074</v>
      </c>
      <c r="N120" s="4">
        <v>7.29</v>
      </c>
      <c r="O120" s="4">
        <v>89.98</v>
      </c>
      <c r="P120" s="4">
        <v>75</v>
      </c>
      <c r="Q120" s="4">
        <v>21.9</v>
      </c>
      <c r="R120" s="4">
        <v>9.06</v>
      </c>
      <c r="S120" s="4">
        <v>18.7</v>
      </c>
      <c r="T120" s="4">
        <v>3.85</v>
      </c>
      <c r="U120" s="4">
        <v>7.26</v>
      </c>
      <c r="V120" s="4">
        <v>3515.1</v>
      </c>
      <c r="W120" s="4">
        <v>1050.92</v>
      </c>
      <c r="X120" s="4">
        <v>1284.9000000000001</v>
      </c>
      <c r="Y120" s="4">
        <v>759.76</v>
      </c>
      <c r="Z120" s="4">
        <v>6.06</v>
      </c>
      <c r="AA120" s="4">
        <v>1.66</v>
      </c>
      <c r="AB120" s="4">
        <v>4.3</v>
      </c>
      <c r="AC120" s="4">
        <v>70.17</v>
      </c>
      <c r="AD120" s="4">
        <v>680</v>
      </c>
      <c r="AE120" s="4">
        <v>5900</v>
      </c>
      <c r="AF120" s="4">
        <v>81.78</v>
      </c>
      <c r="AG120" s="4">
        <v>0.59</v>
      </c>
      <c r="AH120" s="4">
        <v>13.06</v>
      </c>
      <c r="AI120" s="4">
        <v>42.6</v>
      </c>
      <c r="AJ120" s="4">
        <v>60</v>
      </c>
      <c r="AK120" s="4">
        <v>9</v>
      </c>
      <c r="AL120" s="4">
        <v>9</v>
      </c>
      <c r="AM120" s="4">
        <v>0.74</v>
      </c>
      <c r="AN120" s="4">
        <v>408</v>
      </c>
      <c r="AO120" s="4">
        <v>414.64</v>
      </c>
      <c r="AP120" s="4">
        <v>401198.53</v>
      </c>
      <c r="AQ120" s="4">
        <v>214417.05</v>
      </c>
      <c r="AR120" s="4" t="s">
        <v>549</v>
      </c>
      <c r="AS120" s="5">
        <f t="shared" si="0"/>
        <v>10.661043378995435</v>
      </c>
    </row>
    <row r="121" spans="1:45" ht="14.25" customHeight="1" x14ac:dyDescent="0.55000000000000004">
      <c r="A121" s="4">
        <v>22.44</v>
      </c>
      <c r="B121" s="4">
        <v>31.58</v>
      </c>
      <c r="C121" s="4">
        <v>5472.56</v>
      </c>
      <c r="D121" s="4">
        <v>7.6</v>
      </c>
      <c r="E121" s="4" t="s">
        <v>1566</v>
      </c>
      <c r="F121" s="4" t="s">
        <v>1567</v>
      </c>
      <c r="G121" s="4" t="s">
        <v>1345</v>
      </c>
      <c r="H121" s="4" t="s">
        <v>1568</v>
      </c>
      <c r="I121" s="4">
        <v>0</v>
      </c>
      <c r="J121" s="4">
        <v>714.21</v>
      </c>
      <c r="K121" s="4">
        <f t="shared" si="4"/>
        <v>62.870000000000005</v>
      </c>
      <c r="L121" s="4">
        <f t="shared" si="5"/>
        <v>67.45</v>
      </c>
      <c r="M121" s="4">
        <f t="shared" si="6"/>
        <v>-4.5799999999999983</v>
      </c>
      <c r="N121" s="4">
        <v>7.24</v>
      </c>
      <c r="O121" s="4">
        <v>90.03</v>
      </c>
      <c r="P121" s="4">
        <v>75</v>
      </c>
      <c r="Q121" s="4">
        <v>22.2</v>
      </c>
      <c r="R121" s="4">
        <v>9.1300000000000008</v>
      </c>
      <c r="S121" s="4">
        <v>18.989999999999998</v>
      </c>
      <c r="T121" s="4">
        <v>3.45</v>
      </c>
      <c r="U121" s="4">
        <v>7.66</v>
      </c>
      <c r="V121" s="4">
        <v>3502.44</v>
      </c>
      <c r="W121" s="4">
        <v>1047.1300000000001</v>
      </c>
      <c r="X121" s="4">
        <v>1287.25</v>
      </c>
      <c r="Y121" s="4">
        <v>757.77</v>
      </c>
      <c r="Z121" s="4">
        <v>6.53</v>
      </c>
      <c r="AA121" s="4">
        <v>1.64</v>
      </c>
      <c r="AB121" s="4">
        <v>4.33</v>
      </c>
      <c r="AC121" s="4">
        <v>72.56</v>
      </c>
      <c r="AD121" s="4">
        <v>680</v>
      </c>
      <c r="AE121" s="4">
        <v>5900</v>
      </c>
      <c r="AF121" s="4">
        <v>82.45</v>
      </c>
      <c r="AG121" s="4">
        <v>0.59</v>
      </c>
      <c r="AH121" s="4">
        <v>12.37</v>
      </c>
      <c r="AI121" s="4">
        <v>48.91</v>
      </c>
      <c r="AJ121" s="4">
        <v>60</v>
      </c>
      <c r="AK121" s="4">
        <v>9</v>
      </c>
      <c r="AL121" s="4">
        <v>9</v>
      </c>
      <c r="AM121" s="4">
        <v>0.64</v>
      </c>
      <c r="AN121" s="4">
        <v>408</v>
      </c>
      <c r="AO121" s="4">
        <v>413.78</v>
      </c>
      <c r="AP121" s="4">
        <v>391684.52</v>
      </c>
      <c r="AQ121" s="4">
        <v>241386.99</v>
      </c>
      <c r="AR121" s="4" t="s">
        <v>553</v>
      </c>
      <c r="AS121" s="5">
        <f t="shared" si="0"/>
        <v>8.5786261415525136</v>
      </c>
    </row>
    <row r="122" spans="1:45" ht="14.25" customHeight="1" x14ac:dyDescent="0.55000000000000004">
      <c r="A122" s="4">
        <v>22.47</v>
      </c>
      <c r="B122" s="4">
        <v>31.55</v>
      </c>
      <c r="C122" s="4">
        <v>5473.72</v>
      </c>
      <c r="D122" s="4">
        <v>7.6</v>
      </c>
      <c r="E122" s="4" t="s">
        <v>1569</v>
      </c>
      <c r="F122" s="4" t="s">
        <v>1570</v>
      </c>
      <c r="G122" s="4" t="s">
        <v>1571</v>
      </c>
      <c r="H122" s="4" t="s">
        <v>1572</v>
      </c>
      <c r="I122" s="4">
        <v>0</v>
      </c>
      <c r="J122" s="4">
        <v>678.79</v>
      </c>
      <c r="K122" s="4">
        <f t="shared" si="4"/>
        <v>60.64</v>
      </c>
      <c r="L122" s="4">
        <f t="shared" si="5"/>
        <v>64.570000000000007</v>
      </c>
      <c r="M122" s="4">
        <f t="shared" si="6"/>
        <v>-3.9300000000000068</v>
      </c>
      <c r="N122" s="4">
        <v>7.22</v>
      </c>
      <c r="O122" s="4">
        <v>90.05</v>
      </c>
      <c r="P122" s="4">
        <v>77</v>
      </c>
      <c r="Q122" s="4">
        <v>21.8</v>
      </c>
      <c r="R122" s="4">
        <v>9.08</v>
      </c>
      <c r="S122" s="4">
        <v>18.87</v>
      </c>
      <c r="T122" s="4">
        <v>3.6</v>
      </c>
      <c r="U122" s="4">
        <v>8.06</v>
      </c>
      <c r="V122" s="4">
        <v>3503.18</v>
      </c>
      <c r="W122" s="4">
        <v>1049.8599999999999</v>
      </c>
      <c r="X122" s="4">
        <v>1312.32</v>
      </c>
      <c r="Y122" s="4">
        <v>764.48</v>
      </c>
      <c r="Z122" s="4">
        <v>7.04</v>
      </c>
      <c r="AA122" s="4">
        <v>1.65</v>
      </c>
      <c r="AB122" s="4">
        <v>4.3</v>
      </c>
      <c r="AC122" s="4">
        <v>71.59</v>
      </c>
      <c r="AD122" s="4">
        <v>680</v>
      </c>
      <c r="AE122" s="4">
        <v>5900</v>
      </c>
      <c r="AF122" s="4">
        <v>81.95</v>
      </c>
      <c r="AG122" s="4">
        <v>0.59</v>
      </c>
      <c r="AH122" s="4">
        <v>11.6</v>
      </c>
      <c r="AI122" s="4">
        <v>54.73</v>
      </c>
      <c r="AJ122" s="4">
        <v>60</v>
      </c>
      <c r="AK122" s="4">
        <v>9</v>
      </c>
      <c r="AL122" s="4">
        <v>9</v>
      </c>
      <c r="AM122" s="4">
        <v>0.56999999999999995</v>
      </c>
      <c r="AN122" s="4">
        <v>408</v>
      </c>
      <c r="AO122" s="4">
        <v>413.17</v>
      </c>
      <c r="AP122" s="4">
        <v>385291.22</v>
      </c>
      <c r="AQ122" s="4">
        <v>251834.55</v>
      </c>
      <c r="AR122" s="4" t="s">
        <v>557</v>
      </c>
      <c r="AS122" s="5">
        <f t="shared" si="0"/>
        <v>7.6173898401826472</v>
      </c>
    </row>
    <row r="123" spans="1:45" ht="14.25" customHeight="1" x14ac:dyDescent="0.55000000000000004">
      <c r="A123" s="4">
        <v>22.59</v>
      </c>
      <c r="B123" s="4">
        <v>31.63</v>
      </c>
      <c r="C123" s="4">
        <v>5474.42</v>
      </c>
      <c r="D123" s="4">
        <v>7.6</v>
      </c>
      <c r="E123" s="4" t="s">
        <v>1573</v>
      </c>
      <c r="F123" s="4" t="s">
        <v>1574</v>
      </c>
      <c r="G123" s="4" t="s">
        <v>1575</v>
      </c>
      <c r="H123" s="4" t="s">
        <v>1576</v>
      </c>
      <c r="I123" s="4">
        <v>0</v>
      </c>
      <c r="J123" s="4">
        <v>661.68</v>
      </c>
      <c r="K123" s="4">
        <f t="shared" si="4"/>
        <v>61.84</v>
      </c>
      <c r="L123" s="4">
        <f t="shared" si="5"/>
        <v>60.540000000000006</v>
      </c>
      <c r="M123" s="4">
        <f t="shared" si="6"/>
        <v>1.2999999999999972</v>
      </c>
      <c r="N123" s="4">
        <v>7.23</v>
      </c>
      <c r="O123" s="4">
        <v>90.11</v>
      </c>
      <c r="P123" s="4">
        <v>72</v>
      </c>
      <c r="Q123" s="4">
        <v>22.2</v>
      </c>
      <c r="R123" s="4">
        <v>9.0500000000000007</v>
      </c>
      <c r="S123" s="4">
        <v>18.59</v>
      </c>
      <c r="T123" s="4">
        <v>3.99</v>
      </c>
      <c r="U123" s="4">
        <v>8.27</v>
      </c>
      <c r="V123" s="4">
        <v>3503.63</v>
      </c>
      <c r="W123" s="4">
        <v>1053.1300000000001</v>
      </c>
      <c r="X123" s="4">
        <v>1338.65</v>
      </c>
      <c r="Y123" s="4">
        <v>772.24</v>
      </c>
      <c r="Z123" s="4">
        <v>13.28</v>
      </c>
      <c r="AA123" s="4">
        <v>1.66</v>
      </c>
      <c r="AB123" s="4">
        <v>4.28</v>
      </c>
      <c r="AC123" s="4">
        <v>69.39</v>
      </c>
      <c r="AD123" s="4">
        <v>680</v>
      </c>
      <c r="AE123" s="4">
        <v>5900</v>
      </c>
      <c r="AF123" s="4">
        <v>81.69</v>
      </c>
      <c r="AG123" s="4">
        <v>0.59</v>
      </c>
      <c r="AH123" s="4">
        <v>11.23</v>
      </c>
      <c r="AI123" s="4">
        <v>101.19</v>
      </c>
      <c r="AJ123" s="4">
        <v>60</v>
      </c>
      <c r="AK123" s="4">
        <v>9</v>
      </c>
      <c r="AL123" s="4">
        <v>9</v>
      </c>
      <c r="AM123" s="4">
        <v>0.31</v>
      </c>
      <c r="AN123" s="4">
        <v>408</v>
      </c>
      <c r="AO123" s="4">
        <v>410.79</v>
      </c>
      <c r="AP123" s="4">
        <v>403165.45</v>
      </c>
      <c r="AQ123" s="4">
        <v>377112.17</v>
      </c>
      <c r="AR123" s="4" t="s">
        <v>562</v>
      </c>
      <c r="AS123" s="5">
        <f t="shared" si="0"/>
        <v>1.4870593607305953</v>
      </c>
    </row>
    <row r="124" spans="1:45" ht="14.25" customHeight="1" x14ac:dyDescent="0.55000000000000004">
      <c r="A124" s="4">
        <v>22.35</v>
      </c>
      <c r="B124" s="4">
        <v>31.48</v>
      </c>
      <c r="C124" s="4">
        <v>5494.74</v>
      </c>
      <c r="D124" s="4">
        <v>7.6</v>
      </c>
      <c r="E124" s="4" t="s">
        <v>1577</v>
      </c>
      <c r="F124" s="4" t="s">
        <v>1578</v>
      </c>
      <c r="G124" s="4" t="s">
        <v>1549</v>
      </c>
      <c r="H124" s="4" t="s">
        <v>1579</v>
      </c>
      <c r="I124" s="4">
        <v>0</v>
      </c>
      <c r="J124" s="4">
        <v>621.66999999999996</v>
      </c>
      <c r="K124" s="4">
        <f t="shared" si="4"/>
        <v>58.17</v>
      </c>
      <c r="L124" s="4">
        <f t="shared" si="5"/>
        <v>59.57</v>
      </c>
      <c r="M124" s="4">
        <f t="shared" si="6"/>
        <v>-1.3999999999999986</v>
      </c>
      <c r="N124" s="4">
        <v>7.2</v>
      </c>
      <c r="O124" s="4">
        <v>90.02</v>
      </c>
      <c r="P124" s="4">
        <v>87</v>
      </c>
      <c r="Q124" s="4">
        <v>20</v>
      </c>
      <c r="R124" s="4">
        <v>9.1300000000000008</v>
      </c>
      <c r="S124" s="4">
        <v>18.399999999999999</v>
      </c>
      <c r="T124" s="4">
        <v>3.95</v>
      </c>
      <c r="U124" s="4">
        <v>8.84</v>
      </c>
      <c r="V124" s="4">
        <v>3516.63</v>
      </c>
      <c r="W124" s="4">
        <v>1059.51</v>
      </c>
      <c r="X124" s="4">
        <v>1370.39</v>
      </c>
      <c r="Y124" s="4">
        <v>781.82</v>
      </c>
      <c r="Z124" s="4">
        <v>11.72</v>
      </c>
      <c r="AA124" s="4">
        <v>1.67</v>
      </c>
      <c r="AB124" s="4">
        <v>4.26</v>
      </c>
      <c r="AC124" s="4">
        <v>69.790000000000006</v>
      </c>
      <c r="AD124" s="4">
        <v>680</v>
      </c>
      <c r="AE124" s="4">
        <v>5900</v>
      </c>
      <c r="AF124" s="4">
        <v>82.4</v>
      </c>
      <c r="AG124" s="4">
        <v>0.59</v>
      </c>
      <c r="AH124" s="4">
        <v>10.51</v>
      </c>
      <c r="AI124" s="4">
        <v>94.93</v>
      </c>
      <c r="AJ124" s="4">
        <v>60</v>
      </c>
      <c r="AK124" s="4">
        <v>9</v>
      </c>
      <c r="AL124" s="4">
        <v>9</v>
      </c>
      <c r="AM124" s="4">
        <v>0.33</v>
      </c>
      <c r="AN124" s="4">
        <v>408</v>
      </c>
      <c r="AO124" s="4">
        <v>410.98</v>
      </c>
      <c r="AP124" s="4">
        <v>372327.45</v>
      </c>
      <c r="AQ124" s="4">
        <v>354490.97</v>
      </c>
      <c r="AR124" s="4" t="s">
        <v>567</v>
      </c>
      <c r="AS124" s="5">
        <f t="shared" si="0"/>
        <v>1.0180639269406415</v>
      </c>
    </row>
    <row r="125" spans="1:45" ht="14.25" customHeight="1" x14ac:dyDescent="0.55000000000000004">
      <c r="A125" s="4">
        <v>22.61</v>
      </c>
      <c r="B125" s="4">
        <v>31.58</v>
      </c>
      <c r="C125" s="4">
        <v>5473.48</v>
      </c>
      <c r="D125" s="4">
        <v>7.6</v>
      </c>
      <c r="E125" s="4" t="s">
        <v>1580</v>
      </c>
      <c r="F125" s="4" t="s">
        <v>1581</v>
      </c>
      <c r="G125" s="4" t="s">
        <v>1556</v>
      </c>
      <c r="H125" s="4" t="s">
        <v>1582</v>
      </c>
      <c r="I125" s="4">
        <v>0</v>
      </c>
      <c r="J125" s="4">
        <v>676.54</v>
      </c>
      <c r="K125" s="4">
        <f t="shared" si="4"/>
        <v>62.480000000000004</v>
      </c>
      <c r="L125" s="4">
        <f t="shared" si="5"/>
        <v>64.849999999999994</v>
      </c>
      <c r="M125" s="4">
        <f t="shared" si="6"/>
        <v>-2.3699999999999903</v>
      </c>
      <c r="N125" s="4">
        <v>7.23</v>
      </c>
      <c r="O125" s="4">
        <v>90.09</v>
      </c>
      <c r="P125" s="4">
        <v>69</v>
      </c>
      <c r="Q125" s="4">
        <v>22.6</v>
      </c>
      <c r="R125" s="4">
        <v>8.9700000000000006</v>
      </c>
      <c r="S125" s="4">
        <v>18.57</v>
      </c>
      <c r="T125" s="4">
        <v>4.04</v>
      </c>
      <c r="U125" s="4">
        <v>8.09</v>
      </c>
      <c r="V125" s="4">
        <v>3503.03</v>
      </c>
      <c r="W125" s="4">
        <v>1051.6500000000001</v>
      </c>
      <c r="X125" s="4">
        <v>1326.04</v>
      </c>
      <c r="Y125" s="4">
        <v>768.77</v>
      </c>
      <c r="Z125" s="4">
        <v>8.67</v>
      </c>
      <c r="AA125" s="4">
        <v>1.66</v>
      </c>
      <c r="AB125" s="4">
        <v>4.29</v>
      </c>
      <c r="AC125" s="4">
        <v>68.97</v>
      </c>
      <c r="AD125" s="4">
        <v>680</v>
      </c>
      <c r="AE125" s="4">
        <v>5900</v>
      </c>
      <c r="AF125" s="4">
        <v>80.989999999999995</v>
      </c>
      <c r="AG125" s="4">
        <v>0.59</v>
      </c>
      <c r="AH125" s="4">
        <v>11.42</v>
      </c>
      <c r="AI125" s="4">
        <v>65.39</v>
      </c>
      <c r="AJ125" s="4">
        <v>60</v>
      </c>
      <c r="AK125" s="4">
        <v>9</v>
      </c>
      <c r="AL125" s="4">
        <v>9</v>
      </c>
      <c r="AM125" s="4">
        <v>0.48</v>
      </c>
      <c r="AN125" s="4">
        <v>408</v>
      </c>
      <c r="AO125" s="4">
        <v>412.32</v>
      </c>
      <c r="AP125" s="4">
        <v>391574.71</v>
      </c>
      <c r="AQ125" s="4">
        <v>310376.09999999998</v>
      </c>
      <c r="AR125" s="4" t="s">
        <v>572</v>
      </c>
      <c r="AS125" s="5">
        <f t="shared" si="0"/>
        <v>4.6346238584474913</v>
      </c>
    </row>
    <row r="126" spans="1:45" ht="14.25" customHeight="1" x14ac:dyDescent="0.55000000000000004">
      <c r="A126" s="4">
        <v>22.09</v>
      </c>
      <c r="B126" s="4">
        <v>31.15</v>
      </c>
      <c r="C126" s="4">
        <v>5534.31</v>
      </c>
      <c r="D126" s="4">
        <v>7.6</v>
      </c>
      <c r="E126" s="4" t="s">
        <v>1583</v>
      </c>
      <c r="F126" s="4" t="s">
        <v>1584</v>
      </c>
      <c r="G126" s="4" t="s">
        <v>1534</v>
      </c>
      <c r="H126" s="4" t="s">
        <v>1585</v>
      </c>
      <c r="I126" s="4">
        <v>0</v>
      </c>
      <c r="J126" s="4">
        <v>609.07000000000005</v>
      </c>
      <c r="K126" s="4">
        <f t="shared" si="4"/>
        <v>57.77</v>
      </c>
      <c r="L126" s="4">
        <f t="shared" si="5"/>
        <v>59.72</v>
      </c>
      <c r="M126" s="4">
        <f t="shared" si="6"/>
        <v>-1.9499999999999957</v>
      </c>
      <c r="N126" s="4">
        <v>7.19</v>
      </c>
      <c r="O126" s="4">
        <v>89.98</v>
      </c>
      <c r="P126" s="4">
        <v>94</v>
      </c>
      <c r="Q126" s="4">
        <v>18.7</v>
      </c>
      <c r="R126" s="4">
        <v>9.06</v>
      </c>
      <c r="S126" s="4">
        <v>17.97</v>
      </c>
      <c r="T126" s="4">
        <v>4.12</v>
      </c>
      <c r="U126" s="4">
        <v>9.09</v>
      </c>
      <c r="V126" s="4">
        <v>3541.96</v>
      </c>
      <c r="W126" s="4">
        <v>1068.1600000000001</v>
      </c>
      <c r="X126" s="4">
        <v>1390.69</v>
      </c>
      <c r="Y126" s="4">
        <v>790.15</v>
      </c>
      <c r="Z126" s="4">
        <v>8.2200000000000006</v>
      </c>
      <c r="AA126" s="4">
        <v>1.67</v>
      </c>
      <c r="AB126" s="4">
        <v>4.25</v>
      </c>
      <c r="AC126" s="4">
        <v>68.73</v>
      </c>
      <c r="AD126" s="4">
        <v>680</v>
      </c>
      <c r="AE126" s="4">
        <v>5900</v>
      </c>
      <c r="AF126" s="4">
        <v>81.760000000000005</v>
      </c>
      <c r="AG126" s="4">
        <v>0.59</v>
      </c>
      <c r="AH126" s="4">
        <v>10.11</v>
      </c>
      <c r="AI126" s="4">
        <v>67.069999999999993</v>
      </c>
      <c r="AJ126" s="4">
        <v>60</v>
      </c>
      <c r="AK126" s="4">
        <v>9</v>
      </c>
      <c r="AL126" s="4">
        <v>9</v>
      </c>
      <c r="AM126" s="4">
        <v>0.47</v>
      </c>
      <c r="AN126" s="4">
        <v>408</v>
      </c>
      <c r="AO126" s="4">
        <v>412.22</v>
      </c>
      <c r="AP126" s="4">
        <v>389094.72</v>
      </c>
      <c r="AQ126" s="4">
        <v>255981.51</v>
      </c>
      <c r="AR126" s="4" t="s">
        <v>577</v>
      </c>
      <c r="AS126" s="5">
        <f t="shared" si="0"/>
        <v>7.5977859589041072</v>
      </c>
    </row>
    <row r="127" spans="1:45" ht="14.25" customHeight="1" x14ac:dyDescent="0.55000000000000004">
      <c r="A127" s="4">
        <v>22.41</v>
      </c>
      <c r="B127" s="4">
        <v>31.43</v>
      </c>
      <c r="C127" s="4">
        <v>5478.1</v>
      </c>
      <c r="D127" s="4">
        <v>7.6</v>
      </c>
      <c r="E127" s="4" t="s">
        <v>1586</v>
      </c>
      <c r="F127" s="4" t="s">
        <v>1587</v>
      </c>
      <c r="G127" s="4" t="s">
        <v>1212</v>
      </c>
      <c r="H127" s="4" t="s">
        <v>1588</v>
      </c>
      <c r="I127" s="4">
        <v>0</v>
      </c>
      <c r="J127" s="4">
        <v>711.5</v>
      </c>
      <c r="K127" s="4">
        <f t="shared" si="4"/>
        <v>63.69</v>
      </c>
      <c r="L127" s="4">
        <f t="shared" si="5"/>
        <v>63.69</v>
      </c>
      <c r="M127" s="4">
        <f t="shared" si="6"/>
        <v>0</v>
      </c>
      <c r="N127" s="4">
        <v>7.26</v>
      </c>
      <c r="O127" s="4">
        <v>89.89</v>
      </c>
      <c r="P127" s="4">
        <v>70</v>
      </c>
      <c r="Q127" s="4">
        <v>22.5</v>
      </c>
      <c r="R127" s="4">
        <v>9.02</v>
      </c>
      <c r="S127" s="4">
        <v>18.61</v>
      </c>
      <c r="T127" s="4">
        <v>3.8</v>
      </c>
      <c r="U127" s="4">
        <v>7.7</v>
      </c>
      <c r="V127" s="4">
        <v>3505.98</v>
      </c>
      <c r="W127" s="4">
        <v>1050.3</v>
      </c>
      <c r="X127" s="4">
        <v>1304.33</v>
      </c>
      <c r="Y127" s="4">
        <v>763.49</v>
      </c>
      <c r="Z127" s="4">
        <v>12.31</v>
      </c>
      <c r="AA127" s="4">
        <v>1.64</v>
      </c>
      <c r="AB127" s="4">
        <v>4.32</v>
      </c>
      <c r="AC127" s="4">
        <v>70.38</v>
      </c>
      <c r="AD127" s="4">
        <v>680</v>
      </c>
      <c r="AE127" s="4">
        <v>5900</v>
      </c>
      <c r="AF127" s="4">
        <v>81.459999999999994</v>
      </c>
      <c r="AG127" s="4">
        <v>0.59</v>
      </c>
      <c r="AH127" s="4">
        <v>12.16</v>
      </c>
      <c r="AI127" s="4">
        <v>91.09</v>
      </c>
      <c r="AJ127" s="4">
        <v>60</v>
      </c>
      <c r="AK127" s="4">
        <v>9</v>
      </c>
      <c r="AL127" s="4">
        <v>9</v>
      </c>
      <c r="AM127" s="4">
        <v>0.34</v>
      </c>
      <c r="AN127" s="4">
        <v>408</v>
      </c>
      <c r="AO127" s="4">
        <v>411.1</v>
      </c>
      <c r="AP127" s="4">
        <v>390067.36</v>
      </c>
      <c r="AQ127" s="4">
        <v>390067.36</v>
      </c>
      <c r="AR127" s="4" t="s">
        <v>581</v>
      </c>
      <c r="AS127" s="5">
        <f t="shared" si="0"/>
        <v>0</v>
      </c>
    </row>
    <row r="128" spans="1:45" ht="14.25" customHeight="1" x14ac:dyDescent="0.55000000000000004">
      <c r="A128" s="4">
        <v>22.14</v>
      </c>
      <c r="B128" s="4">
        <v>31.34</v>
      </c>
      <c r="C128" s="4">
        <v>5503.38</v>
      </c>
      <c r="D128" s="4">
        <v>7.6</v>
      </c>
      <c r="E128" s="4" t="s">
        <v>1589</v>
      </c>
      <c r="F128" s="4" t="s">
        <v>1590</v>
      </c>
      <c r="G128" s="4" t="s">
        <v>1591</v>
      </c>
      <c r="H128" s="4" t="s">
        <v>1592</v>
      </c>
      <c r="I128" s="4">
        <v>0</v>
      </c>
      <c r="J128" s="4">
        <v>649.79999999999995</v>
      </c>
      <c r="K128" s="4">
        <f t="shared" si="4"/>
        <v>60.61</v>
      </c>
      <c r="L128" s="4">
        <f t="shared" si="5"/>
        <v>67.400000000000006</v>
      </c>
      <c r="M128" s="4">
        <f t="shared" si="6"/>
        <v>-6.7900000000000063</v>
      </c>
      <c r="N128" s="4">
        <v>7.22</v>
      </c>
      <c r="O128" s="4">
        <v>89.97</v>
      </c>
      <c r="P128" s="4">
        <v>88</v>
      </c>
      <c r="Q128" s="4">
        <v>19.3</v>
      </c>
      <c r="R128" s="4">
        <v>9.2100000000000009</v>
      </c>
      <c r="S128" s="4">
        <v>17.84</v>
      </c>
      <c r="T128" s="4">
        <v>4.3</v>
      </c>
      <c r="U128" s="4">
        <v>8.4700000000000006</v>
      </c>
      <c r="V128" s="4">
        <v>3522.16</v>
      </c>
      <c r="W128" s="4">
        <v>1058.97</v>
      </c>
      <c r="X128" s="4">
        <v>1350.17</v>
      </c>
      <c r="Y128" s="4">
        <v>777.22</v>
      </c>
      <c r="Z128" s="4">
        <v>5.84</v>
      </c>
      <c r="AA128" s="4">
        <v>1.66</v>
      </c>
      <c r="AB128" s="4">
        <v>4.28</v>
      </c>
      <c r="AC128" s="4">
        <v>68.150000000000006</v>
      </c>
      <c r="AD128" s="4">
        <v>680</v>
      </c>
      <c r="AE128" s="4">
        <v>5900</v>
      </c>
      <c r="AF128" s="4">
        <v>83.11</v>
      </c>
      <c r="AG128" s="4">
        <v>0.59</v>
      </c>
      <c r="AH128" s="4">
        <v>11.13</v>
      </c>
      <c r="AI128" s="4">
        <v>45.44</v>
      </c>
      <c r="AJ128" s="4">
        <v>60</v>
      </c>
      <c r="AK128" s="4">
        <v>9</v>
      </c>
      <c r="AL128" s="4">
        <v>9</v>
      </c>
      <c r="AM128" s="4">
        <v>0.69</v>
      </c>
      <c r="AN128" s="4">
        <v>408</v>
      </c>
      <c r="AO128" s="4">
        <v>414.22</v>
      </c>
      <c r="AP128" s="4">
        <v>377950.97</v>
      </c>
      <c r="AQ128" s="4">
        <v>190657.57</v>
      </c>
      <c r="AR128" s="4" t="s">
        <v>1593</v>
      </c>
      <c r="AS128" s="5">
        <f t="shared" si="0"/>
        <v>10.690262557077624</v>
      </c>
    </row>
    <row r="129" spans="1:45" ht="14.25" customHeight="1" x14ac:dyDescent="0.55000000000000004">
      <c r="A129" s="4">
        <v>22.35</v>
      </c>
      <c r="B129" s="4">
        <v>31.43</v>
      </c>
      <c r="C129" s="4">
        <v>5480.89</v>
      </c>
      <c r="D129" s="4">
        <v>7.6</v>
      </c>
      <c r="E129" s="4" t="s">
        <v>1594</v>
      </c>
      <c r="F129" s="4" t="s">
        <v>1595</v>
      </c>
      <c r="G129" s="4" t="s">
        <v>1432</v>
      </c>
      <c r="H129" s="4" t="s">
        <v>1596</v>
      </c>
      <c r="I129" s="4">
        <v>0</v>
      </c>
      <c r="J129" s="4">
        <v>659.12</v>
      </c>
      <c r="K129" s="4">
        <f t="shared" si="4"/>
        <v>59.13</v>
      </c>
      <c r="L129" s="4">
        <f t="shared" si="5"/>
        <v>62.52</v>
      </c>
      <c r="M129" s="4">
        <f t="shared" si="6"/>
        <v>-3.3900000000000006</v>
      </c>
      <c r="N129" s="4">
        <v>7.2</v>
      </c>
      <c r="O129" s="4">
        <v>90.02</v>
      </c>
      <c r="P129" s="4">
        <v>82</v>
      </c>
      <c r="Q129" s="4">
        <v>20.7</v>
      </c>
      <c r="R129" s="4">
        <v>9.08</v>
      </c>
      <c r="S129" s="4">
        <v>18.45</v>
      </c>
      <c r="T129" s="4">
        <v>3.9</v>
      </c>
      <c r="U129" s="4">
        <v>8.32</v>
      </c>
      <c r="V129" s="4">
        <v>3507.77</v>
      </c>
      <c r="W129" s="4">
        <v>1052.23</v>
      </c>
      <c r="X129" s="4">
        <v>1325.17</v>
      </c>
      <c r="Y129" s="4">
        <v>768.21</v>
      </c>
      <c r="Z129" s="4">
        <v>8.0399999999999991</v>
      </c>
      <c r="AA129" s="4">
        <v>1.65</v>
      </c>
      <c r="AB129" s="4">
        <v>4.3</v>
      </c>
      <c r="AC129" s="4">
        <v>69.95</v>
      </c>
      <c r="AD129" s="4">
        <v>680</v>
      </c>
      <c r="AE129" s="4">
        <v>5900</v>
      </c>
      <c r="AF129" s="4">
        <v>81.93</v>
      </c>
      <c r="AG129" s="4">
        <v>0.59</v>
      </c>
      <c r="AH129" s="4">
        <v>11.2</v>
      </c>
      <c r="AI129" s="4">
        <v>64.069999999999993</v>
      </c>
      <c r="AJ129" s="4">
        <v>60</v>
      </c>
      <c r="AK129" s="4">
        <v>9</v>
      </c>
      <c r="AL129" s="4">
        <v>9</v>
      </c>
      <c r="AM129" s="4">
        <v>0.49</v>
      </c>
      <c r="AN129" s="4">
        <v>408</v>
      </c>
      <c r="AO129" s="4">
        <v>412.41</v>
      </c>
      <c r="AP129" s="4">
        <v>376810.22</v>
      </c>
      <c r="AQ129" s="4">
        <v>288059.59000000003</v>
      </c>
      <c r="AR129" s="4" t="s">
        <v>585</v>
      </c>
      <c r="AS129" s="5">
        <f t="shared" si="0"/>
        <v>5.0656752283104991</v>
      </c>
    </row>
    <row r="130" spans="1:45" ht="14.25" customHeight="1" x14ac:dyDescent="0.55000000000000004">
      <c r="A130" s="4">
        <v>22.05</v>
      </c>
      <c r="B130" s="4">
        <v>31.13</v>
      </c>
      <c r="C130" s="4">
        <v>5517.81</v>
      </c>
      <c r="D130" s="4">
        <v>7.6</v>
      </c>
      <c r="E130" s="4" t="s">
        <v>1597</v>
      </c>
      <c r="F130" s="4" t="s">
        <v>1598</v>
      </c>
      <c r="G130" s="4" t="s">
        <v>1560</v>
      </c>
      <c r="H130" s="4" t="s">
        <v>1599</v>
      </c>
      <c r="I130" s="4">
        <v>0</v>
      </c>
      <c r="J130" s="4">
        <v>632.21</v>
      </c>
      <c r="K130" s="4">
        <f t="shared" si="4"/>
        <v>58.34</v>
      </c>
      <c r="L130" s="4">
        <f t="shared" si="5"/>
        <v>59.010000000000005</v>
      </c>
      <c r="M130" s="4">
        <f t="shared" si="6"/>
        <v>-0.67000000000000171</v>
      </c>
      <c r="N130" s="4">
        <v>7.21</v>
      </c>
      <c r="O130" s="4">
        <v>89.97</v>
      </c>
      <c r="P130" s="4">
        <v>91</v>
      </c>
      <c r="Q130" s="4">
        <v>19.3</v>
      </c>
      <c r="R130" s="4">
        <v>9.09</v>
      </c>
      <c r="S130" s="4">
        <v>18.2</v>
      </c>
      <c r="T130" s="4">
        <v>3.84</v>
      </c>
      <c r="U130" s="4">
        <v>8.73</v>
      </c>
      <c r="V130" s="4">
        <v>3531.4</v>
      </c>
      <c r="W130" s="4">
        <v>1063.73</v>
      </c>
      <c r="X130" s="4">
        <v>1372</v>
      </c>
      <c r="Y130" s="4">
        <v>784.29</v>
      </c>
      <c r="Z130" s="4">
        <v>11.87</v>
      </c>
      <c r="AA130" s="4">
        <v>1.67</v>
      </c>
      <c r="AB130" s="4">
        <v>4.2699999999999996</v>
      </c>
      <c r="AC130" s="4">
        <v>70.27</v>
      </c>
      <c r="AD130" s="4">
        <v>680</v>
      </c>
      <c r="AE130" s="4">
        <v>5900</v>
      </c>
      <c r="AF130" s="4">
        <v>82.02</v>
      </c>
      <c r="AG130" s="4">
        <v>0.59</v>
      </c>
      <c r="AH130" s="4">
        <v>10.61</v>
      </c>
      <c r="AI130" s="4">
        <v>95.83</v>
      </c>
      <c r="AJ130" s="4">
        <v>60</v>
      </c>
      <c r="AK130" s="4">
        <v>9</v>
      </c>
      <c r="AL130" s="4">
        <v>9</v>
      </c>
      <c r="AM130" s="4">
        <v>0.33</v>
      </c>
      <c r="AN130" s="4">
        <v>408</v>
      </c>
      <c r="AO130" s="4">
        <v>410.95</v>
      </c>
      <c r="AP130" s="4">
        <v>375294.47</v>
      </c>
      <c r="AQ130" s="4">
        <v>348734.9</v>
      </c>
      <c r="AR130" s="4" t="s">
        <v>589</v>
      </c>
      <c r="AS130" s="5">
        <f t="shared" si="0"/>
        <v>1.515957191780819</v>
      </c>
    </row>
    <row r="131" spans="1:45" ht="14.25" customHeight="1" x14ac:dyDescent="0.55000000000000004">
      <c r="A131" s="4">
        <v>22.6</v>
      </c>
      <c r="B131" s="4">
        <v>31.7</v>
      </c>
      <c r="C131" s="4">
        <v>5514.38</v>
      </c>
      <c r="D131" s="4">
        <v>7.56</v>
      </c>
      <c r="E131" s="4" t="s">
        <v>1600</v>
      </c>
      <c r="F131" s="4" t="s">
        <v>1601</v>
      </c>
      <c r="G131" s="4" t="s">
        <v>1602</v>
      </c>
      <c r="H131" s="4" t="s">
        <v>1603</v>
      </c>
      <c r="I131" s="4">
        <v>0</v>
      </c>
      <c r="J131" s="4">
        <v>698.11</v>
      </c>
      <c r="K131" s="4">
        <f t="shared" ref="K131:K194" si="7">IF(E131=0,0,
VALUE(MID(E131,2,FIND(",",E131)-2))+
VALUE(MID(F131,2,FIND(",",F131)-2))+
VALUE(MID(G131,2,FIND(",",G131)-2))
)</f>
        <v>64.239999999999995</v>
      </c>
      <c r="L131" s="4">
        <f t="shared" ref="L131:L194" si="8">IF(E131=0,0,
VALUE(MID(E131,FIND(",",E131)+1,FIND("]",E131)-FIND(",",E131)-1))+
VALUE(MID(F131,FIND(",",F131)+1,FIND("]",F131)-FIND(",",F131)-1))+
VALUE(MID(G131,FIND(",",G131)+1,FIND("]",G131)-FIND(",",G131)-1))
)</f>
        <v>68.62</v>
      </c>
      <c r="M131" s="4">
        <f t="shared" ref="M131:M194" si="9">(K131-L131)</f>
        <v>-4.3800000000000097</v>
      </c>
      <c r="N131" s="4">
        <v>7.26</v>
      </c>
      <c r="O131" s="4">
        <v>89.89</v>
      </c>
      <c r="P131" s="4">
        <v>82</v>
      </c>
      <c r="Q131" s="4">
        <v>21.2</v>
      </c>
      <c r="R131" s="4">
        <v>9.1</v>
      </c>
      <c r="S131" s="4">
        <v>18.940000000000001</v>
      </c>
      <c r="T131" s="4">
        <v>3.66</v>
      </c>
      <c r="U131" s="4">
        <v>7.9</v>
      </c>
      <c r="V131" s="4">
        <v>3529.2</v>
      </c>
      <c r="W131" s="4">
        <v>1059.05</v>
      </c>
      <c r="X131" s="4">
        <v>1328.5</v>
      </c>
      <c r="Y131" s="4">
        <v>773.01</v>
      </c>
      <c r="Z131" s="4">
        <v>6.09</v>
      </c>
      <c r="AA131" s="4">
        <v>1.62</v>
      </c>
      <c r="AB131" s="4">
        <v>4.33</v>
      </c>
      <c r="AC131" s="4">
        <v>71.31</v>
      </c>
      <c r="AD131" s="4">
        <v>680</v>
      </c>
      <c r="AE131" s="4">
        <v>5900</v>
      </c>
      <c r="AF131" s="4">
        <v>82.18</v>
      </c>
      <c r="AG131" s="4">
        <v>0.59</v>
      </c>
      <c r="AH131" s="4">
        <v>11.91</v>
      </c>
      <c r="AI131" s="4">
        <v>44.64</v>
      </c>
      <c r="AJ131" s="4">
        <v>60</v>
      </c>
      <c r="AK131" s="4">
        <v>9</v>
      </c>
      <c r="AL131" s="4">
        <v>9</v>
      </c>
      <c r="AM131" s="4">
        <v>0.7</v>
      </c>
      <c r="AN131" s="4">
        <v>408</v>
      </c>
      <c r="AO131" s="4">
        <v>414.33</v>
      </c>
      <c r="AP131" s="4">
        <v>403858.19</v>
      </c>
      <c r="AQ131" s="4">
        <v>190831</v>
      </c>
      <c r="AR131" s="4" t="s">
        <v>1604</v>
      </c>
      <c r="AS131" s="5">
        <f t="shared" si="0"/>
        <v>12.159086187214612</v>
      </c>
    </row>
    <row r="132" spans="1:45" ht="14.25" customHeight="1" x14ac:dyDescent="0.55000000000000004">
      <c r="A132" s="4">
        <v>22.41</v>
      </c>
      <c r="B132" s="4">
        <v>31.2</v>
      </c>
      <c r="C132" s="4">
        <v>5492.1</v>
      </c>
      <c r="D132" s="4">
        <v>7.61</v>
      </c>
      <c r="E132" s="4" t="s">
        <v>1605</v>
      </c>
      <c r="F132" s="4" t="s">
        <v>1606</v>
      </c>
      <c r="G132" s="4" t="s">
        <v>1607</v>
      </c>
      <c r="H132" s="4" t="s">
        <v>1608</v>
      </c>
      <c r="I132" s="4">
        <v>0</v>
      </c>
      <c r="J132" s="4">
        <v>543.62</v>
      </c>
      <c r="K132" s="4">
        <f t="shared" si="7"/>
        <v>46.04</v>
      </c>
      <c r="L132" s="4">
        <f t="shared" si="8"/>
        <v>51.379999999999995</v>
      </c>
      <c r="M132" s="4">
        <f t="shared" si="9"/>
        <v>-5.3399999999999963</v>
      </c>
      <c r="N132" s="4">
        <v>7.21</v>
      </c>
      <c r="O132" s="4">
        <v>90.26</v>
      </c>
      <c r="P132" s="4">
        <v>89</v>
      </c>
      <c r="Q132" s="4">
        <v>20.2</v>
      </c>
      <c r="R132" s="4">
        <v>8.7899999999999991</v>
      </c>
      <c r="S132" s="4">
        <v>18.84</v>
      </c>
      <c r="T132" s="4">
        <v>3.57</v>
      </c>
      <c r="U132" s="4">
        <v>10.1</v>
      </c>
      <c r="V132" s="4">
        <v>3514.94</v>
      </c>
      <c r="W132" s="4">
        <v>1073.74</v>
      </c>
      <c r="X132" s="4">
        <v>1497.61</v>
      </c>
      <c r="Y132" s="4">
        <v>818</v>
      </c>
      <c r="Z132" s="4">
        <v>6.27</v>
      </c>
      <c r="AA132" s="4">
        <v>1.72</v>
      </c>
      <c r="AB132" s="4">
        <v>4.17</v>
      </c>
      <c r="AC132" s="4">
        <v>71.11</v>
      </c>
      <c r="AD132" s="4">
        <v>680</v>
      </c>
      <c r="AE132" s="4">
        <v>5900</v>
      </c>
      <c r="AF132" s="4">
        <v>79.33</v>
      </c>
      <c r="AG132" s="4">
        <v>0.59</v>
      </c>
      <c r="AH132" s="4">
        <v>8.7100000000000009</v>
      </c>
      <c r="AI132" s="4">
        <v>64.209999999999994</v>
      </c>
      <c r="AJ132" s="4">
        <v>60</v>
      </c>
      <c r="AK132" s="4">
        <v>9</v>
      </c>
      <c r="AL132" s="4">
        <v>9</v>
      </c>
      <c r="AM132" s="4">
        <v>0.49</v>
      </c>
      <c r="AN132" s="4">
        <v>408</v>
      </c>
      <c r="AO132" s="4">
        <v>412.4</v>
      </c>
      <c r="AP132" s="4">
        <v>287596.96999999997</v>
      </c>
      <c r="AQ132" s="4">
        <v>136824.64000000001</v>
      </c>
      <c r="AR132" s="4" t="s">
        <v>594</v>
      </c>
      <c r="AS132" s="5">
        <f t="shared" si="0"/>
        <v>8.6057265981735132</v>
      </c>
    </row>
    <row r="133" spans="1:45" ht="14.25" customHeight="1" x14ac:dyDescent="0.55000000000000004">
      <c r="A133" s="4">
        <v>22.16</v>
      </c>
      <c r="B133" s="4">
        <v>30.96</v>
      </c>
      <c r="C133" s="4">
        <v>5534.31</v>
      </c>
      <c r="D133" s="4">
        <v>7.6</v>
      </c>
      <c r="E133" s="4" t="s">
        <v>1609</v>
      </c>
      <c r="F133" s="4" t="s">
        <v>1610</v>
      </c>
      <c r="G133" s="4" t="s">
        <v>1591</v>
      </c>
      <c r="H133" s="4" t="s">
        <v>1611</v>
      </c>
      <c r="I133" s="4">
        <v>0</v>
      </c>
      <c r="J133" s="4">
        <v>606.38</v>
      </c>
      <c r="K133" s="4">
        <f t="shared" si="7"/>
        <v>48.93</v>
      </c>
      <c r="L133" s="4">
        <f t="shared" si="8"/>
        <v>54.459999999999994</v>
      </c>
      <c r="M133" s="4">
        <f t="shared" si="9"/>
        <v>-5.529999999999994</v>
      </c>
      <c r="N133" s="4">
        <v>7.24</v>
      </c>
      <c r="O133" s="4">
        <v>89.89</v>
      </c>
      <c r="P133" s="4">
        <v>91</v>
      </c>
      <c r="Q133" s="4">
        <v>19.899999999999999</v>
      </c>
      <c r="R133" s="4">
        <v>8.8000000000000007</v>
      </c>
      <c r="S133" s="4">
        <v>18.79</v>
      </c>
      <c r="T133" s="4">
        <v>3.37</v>
      </c>
      <c r="U133" s="4">
        <v>9.1300000000000008</v>
      </c>
      <c r="V133" s="4">
        <v>3541.96</v>
      </c>
      <c r="W133" s="4">
        <v>1075.04</v>
      </c>
      <c r="X133" s="4">
        <v>1441.36</v>
      </c>
      <c r="Y133" s="4">
        <v>806.25</v>
      </c>
      <c r="Z133" s="4">
        <v>6.29</v>
      </c>
      <c r="AA133" s="4">
        <v>1.69</v>
      </c>
      <c r="AB133" s="4">
        <v>4.22</v>
      </c>
      <c r="AC133" s="4">
        <v>72.31</v>
      </c>
      <c r="AD133" s="4">
        <v>680</v>
      </c>
      <c r="AE133" s="4">
        <v>5900</v>
      </c>
      <c r="AF133" s="4">
        <v>79.400000000000006</v>
      </c>
      <c r="AG133" s="4">
        <v>0.59</v>
      </c>
      <c r="AH133" s="4">
        <v>9.77</v>
      </c>
      <c r="AI133" s="4">
        <v>60.57</v>
      </c>
      <c r="AJ133" s="4">
        <v>60</v>
      </c>
      <c r="AK133" s="4">
        <v>9</v>
      </c>
      <c r="AL133" s="4">
        <v>9</v>
      </c>
      <c r="AM133" s="4">
        <v>0.52</v>
      </c>
      <c r="AN133" s="4">
        <v>408</v>
      </c>
      <c r="AO133" s="4">
        <v>412.67</v>
      </c>
      <c r="AP133" s="4">
        <v>291769.89</v>
      </c>
      <c r="AQ133" s="4">
        <v>154544.07999999999</v>
      </c>
      <c r="AR133" s="4" t="s">
        <v>598</v>
      </c>
      <c r="AS133" s="5">
        <f t="shared" si="0"/>
        <v>7.832523401826486</v>
      </c>
    </row>
    <row r="134" spans="1:45" ht="14.25" customHeight="1" x14ac:dyDescent="0.55000000000000004">
      <c r="A134" s="4">
        <v>21.55</v>
      </c>
      <c r="B134" s="4">
        <v>30.52</v>
      </c>
      <c r="C134" s="4">
        <v>5538.19</v>
      </c>
      <c r="D134" s="4">
        <v>7.59</v>
      </c>
      <c r="E134" s="4" t="s">
        <v>1612</v>
      </c>
      <c r="F134" s="4" t="s">
        <v>1613</v>
      </c>
      <c r="G134" s="4" t="s">
        <v>1614</v>
      </c>
      <c r="H134" s="4" t="s">
        <v>1615</v>
      </c>
      <c r="I134" s="4">
        <v>0</v>
      </c>
      <c r="J134" s="4">
        <v>932.9</v>
      </c>
      <c r="K134" s="4">
        <f t="shared" si="7"/>
        <v>63.61</v>
      </c>
      <c r="L134" s="4">
        <f t="shared" si="8"/>
        <v>64.16</v>
      </c>
      <c r="M134" s="4">
        <f t="shared" si="9"/>
        <v>-0.54999999999999716</v>
      </c>
      <c r="N134" s="4">
        <v>7.49</v>
      </c>
      <c r="O134" s="4">
        <v>90.17</v>
      </c>
      <c r="P134" s="4">
        <v>69</v>
      </c>
      <c r="Q134" s="4">
        <v>21.8</v>
      </c>
      <c r="R134" s="4">
        <v>8.9600000000000009</v>
      </c>
      <c r="S134" s="4">
        <v>17.829999999999998</v>
      </c>
      <c r="T134" s="4">
        <v>3.73</v>
      </c>
      <c r="U134" s="4">
        <v>5.94</v>
      </c>
      <c r="V134" s="4">
        <v>3544.44</v>
      </c>
      <c r="W134" s="4">
        <v>1058.42</v>
      </c>
      <c r="X134" s="4">
        <v>1263.72</v>
      </c>
      <c r="Y134" s="4">
        <v>760.71</v>
      </c>
      <c r="Z134" s="4">
        <v>6.44</v>
      </c>
      <c r="AA134" s="4">
        <v>1.61</v>
      </c>
      <c r="AB134" s="4">
        <v>4.37</v>
      </c>
      <c r="AC134" s="4">
        <v>70.62</v>
      </c>
      <c r="AD134" s="4">
        <v>680</v>
      </c>
      <c r="AE134" s="4">
        <v>5900</v>
      </c>
      <c r="AF134" s="4">
        <v>80.91</v>
      </c>
      <c r="AG134" s="4">
        <v>0.59</v>
      </c>
      <c r="AH134" s="4">
        <v>16.39</v>
      </c>
      <c r="AI134" s="4">
        <v>47.74</v>
      </c>
      <c r="AJ134" s="4">
        <v>60</v>
      </c>
      <c r="AK134" s="4">
        <v>9</v>
      </c>
      <c r="AL134" s="4">
        <v>9</v>
      </c>
      <c r="AM134" s="4">
        <v>0.66</v>
      </c>
      <c r="AN134" s="4">
        <v>408</v>
      </c>
      <c r="AO134" s="4">
        <v>413.92</v>
      </c>
      <c r="AP134" s="4">
        <v>321789.46999999997</v>
      </c>
      <c r="AQ134" s="4">
        <v>172859.81</v>
      </c>
      <c r="AR134" s="4" t="s">
        <v>603</v>
      </c>
      <c r="AS134" s="5">
        <f t="shared" si="0"/>
        <v>8.5005513698630129</v>
      </c>
    </row>
    <row r="135" spans="1:45" ht="14.25" customHeight="1" x14ac:dyDescent="0.55000000000000004">
      <c r="A135" s="4">
        <v>22.56</v>
      </c>
      <c r="B135" s="4">
        <v>31.51</v>
      </c>
      <c r="C135" s="4">
        <v>5478.79</v>
      </c>
      <c r="D135" s="4">
        <v>7.6</v>
      </c>
      <c r="E135" s="4" t="s">
        <v>1616</v>
      </c>
      <c r="F135" s="4" t="s">
        <v>864</v>
      </c>
      <c r="G135" s="4" t="s">
        <v>1617</v>
      </c>
      <c r="H135" s="4" t="s">
        <v>1618</v>
      </c>
      <c r="I135" s="4">
        <v>0</v>
      </c>
      <c r="J135" s="4">
        <v>755.68</v>
      </c>
      <c r="K135" s="4">
        <f t="shared" si="7"/>
        <v>58.53</v>
      </c>
      <c r="L135" s="4">
        <f t="shared" si="8"/>
        <v>58.53</v>
      </c>
      <c r="M135" s="4">
        <f t="shared" si="9"/>
        <v>0</v>
      </c>
      <c r="N135" s="4">
        <v>7.33</v>
      </c>
      <c r="O135" s="4">
        <v>89.88</v>
      </c>
      <c r="P135" s="4">
        <v>67</v>
      </c>
      <c r="Q135" s="4">
        <v>22.7</v>
      </c>
      <c r="R135" s="4">
        <v>8.9499999999999993</v>
      </c>
      <c r="S135" s="4">
        <v>18.39</v>
      </c>
      <c r="T135" s="4">
        <v>4.17</v>
      </c>
      <c r="U135" s="4">
        <v>7.25</v>
      </c>
      <c r="V135" s="4">
        <v>3506.43</v>
      </c>
      <c r="W135" s="4">
        <v>1052.28</v>
      </c>
      <c r="X135" s="4">
        <v>1310.57</v>
      </c>
      <c r="Y135" s="4">
        <v>767.11</v>
      </c>
      <c r="Z135" s="4">
        <v>26.33</v>
      </c>
      <c r="AA135" s="4">
        <v>1.65</v>
      </c>
      <c r="AB135" s="4">
        <v>4.3</v>
      </c>
      <c r="AC135" s="4">
        <v>68.209999999999994</v>
      </c>
      <c r="AD135" s="4">
        <v>680</v>
      </c>
      <c r="AE135" s="4">
        <v>5900</v>
      </c>
      <c r="AF135" s="4">
        <v>80.77</v>
      </c>
      <c r="AG135" s="4">
        <v>0.59</v>
      </c>
      <c r="AH135" s="4">
        <v>12.92</v>
      </c>
      <c r="AI135" s="4">
        <v>211.99</v>
      </c>
      <c r="AJ135" s="4">
        <v>60</v>
      </c>
      <c r="AK135" s="4">
        <v>9</v>
      </c>
      <c r="AL135" s="4">
        <v>9</v>
      </c>
      <c r="AM135" s="4">
        <v>0.15</v>
      </c>
      <c r="AN135" s="4">
        <v>408</v>
      </c>
      <c r="AO135" s="4">
        <v>409.33</v>
      </c>
      <c r="AP135" s="4">
        <v>301774.36</v>
      </c>
      <c r="AQ135" s="4">
        <v>301774.36</v>
      </c>
      <c r="AR135" s="4" t="s">
        <v>607</v>
      </c>
      <c r="AS135" s="5">
        <f t="shared" si="0"/>
        <v>0</v>
      </c>
    </row>
    <row r="136" spans="1:45" ht="14.25" customHeight="1" x14ac:dyDescent="0.55000000000000004">
      <c r="A136" s="4">
        <v>21.66</v>
      </c>
      <c r="B136" s="4">
        <v>30.7</v>
      </c>
      <c r="C136" s="4">
        <v>5551</v>
      </c>
      <c r="D136" s="4">
        <v>7.59</v>
      </c>
      <c r="E136" s="4" t="s">
        <v>1619</v>
      </c>
      <c r="F136" s="4" t="s">
        <v>1620</v>
      </c>
      <c r="G136" s="4" t="s">
        <v>1145</v>
      </c>
      <c r="H136" s="4" t="s">
        <v>1621</v>
      </c>
      <c r="I136" s="4">
        <v>0</v>
      </c>
      <c r="J136" s="4">
        <v>971.31</v>
      </c>
      <c r="K136" s="4">
        <f t="shared" si="7"/>
        <v>66.400000000000006</v>
      </c>
      <c r="L136" s="4">
        <f t="shared" si="8"/>
        <v>66.650000000000006</v>
      </c>
      <c r="M136" s="4">
        <f t="shared" si="9"/>
        <v>-0.25</v>
      </c>
      <c r="N136" s="4">
        <v>7.5</v>
      </c>
      <c r="O136" s="4">
        <v>89.96</v>
      </c>
      <c r="P136" s="4">
        <v>70</v>
      </c>
      <c r="Q136" s="4">
        <v>21.7</v>
      </c>
      <c r="R136" s="4">
        <v>9.0500000000000007</v>
      </c>
      <c r="S136" s="4">
        <v>17.86</v>
      </c>
      <c r="T136" s="4">
        <v>3.79</v>
      </c>
      <c r="U136" s="4">
        <v>5.71</v>
      </c>
      <c r="V136" s="4">
        <v>3552.64</v>
      </c>
      <c r="W136" s="4">
        <v>1058.31</v>
      </c>
      <c r="X136" s="4">
        <v>1244.17</v>
      </c>
      <c r="Y136" s="4">
        <v>756.09</v>
      </c>
      <c r="Z136" s="4">
        <v>6.48</v>
      </c>
      <c r="AA136" s="4">
        <v>1.61</v>
      </c>
      <c r="AB136" s="4">
        <v>4.38</v>
      </c>
      <c r="AC136" s="4">
        <v>70.459999999999994</v>
      </c>
      <c r="AD136" s="4">
        <v>680</v>
      </c>
      <c r="AE136" s="4">
        <v>5900</v>
      </c>
      <c r="AF136" s="4">
        <v>81.680000000000007</v>
      </c>
      <c r="AG136" s="4">
        <v>0.59</v>
      </c>
      <c r="AH136" s="4">
        <v>17.32</v>
      </c>
      <c r="AI136" s="4">
        <v>45.95</v>
      </c>
      <c r="AJ136" s="4">
        <v>60</v>
      </c>
      <c r="AK136" s="4">
        <v>9</v>
      </c>
      <c r="AL136" s="4">
        <v>9</v>
      </c>
      <c r="AM136" s="4">
        <v>0.68</v>
      </c>
      <c r="AN136" s="4">
        <v>408</v>
      </c>
      <c r="AO136" s="4">
        <v>414.15</v>
      </c>
      <c r="AP136" s="4">
        <v>330965.92</v>
      </c>
      <c r="AQ136" s="4">
        <v>193252.12</v>
      </c>
      <c r="AR136" s="4" t="s">
        <v>612</v>
      </c>
      <c r="AS136" s="5">
        <f t="shared" si="0"/>
        <v>7.8603767123287662</v>
      </c>
    </row>
    <row r="137" spans="1:45" ht="14.25" customHeight="1" x14ac:dyDescent="0.55000000000000004">
      <c r="A137" s="4">
        <v>21.74</v>
      </c>
      <c r="B137" s="4">
        <v>30.56</v>
      </c>
      <c r="C137" s="4">
        <v>5552.1</v>
      </c>
      <c r="D137" s="4">
        <v>7.61</v>
      </c>
      <c r="E137" s="4" t="s">
        <v>1622</v>
      </c>
      <c r="F137" s="4" t="s">
        <v>1623</v>
      </c>
      <c r="G137" s="4" t="s">
        <v>1624</v>
      </c>
      <c r="H137" s="4" t="s">
        <v>1625</v>
      </c>
      <c r="I137" s="4">
        <v>0</v>
      </c>
      <c r="J137" s="4">
        <v>1016.02</v>
      </c>
      <c r="K137" s="4">
        <f t="shared" si="7"/>
        <v>66.300000000000011</v>
      </c>
      <c r="L137" s="4">
        <f t="shared" si="8"/>
        <v>67.56</v>
      </c>
      <c r="M137" s="4">
        <f t="shared" si="9"/>
        <v>-1.2599999999999909</v>
      </c>
      <c r="N137" s="4">
        <v>7.49</v>
      </c>
      <c r="O137" s="4">
        <v>89.98</v>
      </c>
      <c r="P137" s="4">
        <v>71</v>
      </c>
      <c r="Q137" s="4">
        <v>21.7</v>
      </c>
      <c r="R137" s="4">
        <v>8.82</v>
      </c>
      <c r="S137" s="4">
        <v>17.989999999999998</v>
      </c>
      <c r="T137" s="4">
        <v>3.75</v>
      </c>
      <c r="U137" s="4">
        <v>5.46</v>
      </c>
      <c r="V137" s="4">
        <v>3553.35</v>
      </c>
      <c r="W137" s="4">
        <v>1054.3599999999999</v>
      </c>
      <c r="X137" s="4">
        <v>1210.01</v>
      </c>
      <c r="Y137" s="4">
        <v>746.09</v>
      </c>
      <c r="Z137" s="4">
        <v>5.89</v>
      </c>
      <c r="AA137" s="4">
        <v>1.61</v>
      </c>
      <c r="AB137" s="4">
        <v>4.3899999999999997</v>
      </c>
      <c r="AC137" s="4">
        <v>70.2</v>
      </c>
      <c r="AD137" s="4">
        <v>680</v>
      </c>
      <c r="AE137" s="4">
        <v>5900</v>
      </c>
      <c r="AF137" s="4">
        <v>79.64</v>
      </c>
      <c r="AG137" s="4">
        <v>0.59</v>
      </c>
      <c r="AH137" s="4">
        <v>17.84</v>
      </c>
      <c r="AI137" s="4">
        <v>41.84</v>
      </c>
      <c r="AJ137" s="4">
        <v>60</v>
      </c>
      <c r="AK137" s="4">
        <v>9</v>
      </c>
      <c r="AL137" s="4">
        <v>9</v>
      </c>
      <c r="AM137" s="4">
        <v>0.75</v>
      </c>
      <c r="AN137" s="4">
        <v>408</v>
      </c>
      <c r="AO137" s="4">
        <v>414.76</v>
      </c>
      <c r="AP137" s="4">
        <v>330424.19</v>
      </c>
      <c r="AQ137" s="4">
        <v>183671.18</v>
      </c>
      <c r="AR137" s="4" t="s">
        <v>617</v>
      </c>
      <c r="AS137" s="5">
        <f t="shared" si="0"/>
        <v>8.3763133561643848</v>
      </c>
    </row>
    <row r="138" spans="1:45" ht="14.25" customHeight="1" x14ac:dyDescent="0.55000000000000004">
      <c r="A138" s="4">
        <v>21.78</v>
      </c>
      <c r="B138" s="4">
        <v>30.72</v>
      </c>
      <c r="C138" s="4">
        <v>5547.17</v>
      </c>
      <c r="D138" s="4">
        <v>7.6</v>
      </c>
      <c r="E138" s="4" t="s">
        <v>1626</v>
      </c>
      <c r="F138" s="4" t="s">
        <v>1627</v>
      </c>
      <c r="G138" s="4" t="s">
        <v>1628</v>
      </c>
      <c r="H138" s="4" t="s">
        <v>1629</v>
      </c>
      <c r="I138" s="4">
        <v>0</v>
      </c>
      <c r="J138" s="4">
        <v>972.39</v>
      </c>
      <c r="K138" s="4">
        <f t="shared" si="7"/>
        <v>66.95</v>
      </c>
      <c r="L138" s="4">
        <f t="shared" si="8"/>
        <v>67.31</v>
      </c>
      <c r="M138" s="4">
        <f t="shared" si="9"/>
        <v>-0.35999999999999943</v>
      </c>
      <c r="N138" s="4">
        <v>7.5</v>
      </c>
      <c r="O138" s="4">
        <v>89.98</v>
      </c>
      <c r="P138" s="4">
        <v>69</v>
      </c>
      <c r="Q138" s="4">
        <v>22</v>
      </c>
      <c r="R138" s="4">
        <v>8.94</v>
      </c>
      <c r="S138" s="4">
        <v>18.010000000000002</v>
      </c>
      <c r="T138" s="4">
        <v>3.77</v>
      </c>
      <c r="U138" s="4">
        <v>5.7</v>
      </c>
      <c r="V138" s="4">
        <v>3550.19</v>
      </c>
      <c r="W138" s="4">
        <v>1057.71</v>
      </c>
      <c r="X138" s="4">
        <v>1244.1600000000001</v>
      </c>
      <c r="Y138" s="4">
        <v>755.86</v>
      </c>
      <c r="Z138" s="4">
        <v>6.47</v>
      </c>
      <c r="AA138" s="4">
        <v>1.62</v>
      </c>
      <c r="AB138" s="4">
        <v>4.37</v>
      </c>
      <c r="AC138" s="4">
        <v>70.36</v>
      </c>
      <c r="AD138" s="4">
        <v>680</v>
      </c>
      <c r="AE138" s="4">
        <v>5900</v>
      </c>
      <c r="AF138" s="4">
        <v>80.739999999999995</v>
      </c>
      <c r="AG138" s="4">
        <v>0.59</v>
      </c>
      <c r="AH138" s="4">
        <v>17.16</v>
      </c>
      <c r="AI138" s="4">
        <v>45.5</v>
      </c>
      <c r="AJ138" s="4">
        <v>60</v>
      </c>
      <c r="AK138" s="4">
        <v>9</v>
      </c>
      <c r="AL138" s="4">
        <v>9</v>
      </c>
      <c r="AM138" s="4">
        <v>0.69</v>
      </c>
      <c r="AN138" s="4">
        <v>408</v>
      </c>
      <c r="AO138" s="4">
        <v>414.21</v>
      </c>
      <c r="AP138" s="4">
        <v>331476.53999999998</v>
      </c>
      <c r="AQ138" s="4">
        <v>194327.47</v>
      </c>
      <c r="AR138" s="4" t="s">
        <v>622</v>
      </c>
      <c r="AS138" s="5">
        <f t="shared" si="0"/>
        <v>7.8281432648401816</v>
      </c>
    </row>
    <row r="139" spans="1:45" ht="14.25" customHeight="1" x14ac:dyDescent="0.55000000000000004">
      <c r="A139" s="4">
        <v>22.07</v>
      </c>
      <c r="B139" s="4">
        <v>31.09</v>
      </c>
      <c r="C139" s="4">
        <v>5548.01</v>
      </c>
      <c r="D139" s="4">
        <v>7.6</v>
      </c>
      <c r="E139" s="4" t="s">
        <v>1630</v>
      </c>
      <c r="F139" s="4" t="s">
        <v>1631</v>
      </c>
      <c r="G139" s="4" t="s">
        <v>1632</v>
      </c>
      <c r="H139" s="4" t="s">
        <v>1633</v>
      </c>
      <c r="I139" s="4">
        <v>0</v>
      </c>
      <c r="J139" s="4">
        <v>951.85</v>
      </c>
      <c r="K139" s="4">
        <f t="shared" si="7"/>
        <v>64.650000000000006</v>
      </c>
      <c r="L139" s="4">
        <f t="shared" si="8"/>
        <v>64.16</v>
      </c>
      <c r="M139" s="4">
        <f t="shared" si="9"/>
        <v>0.49000000000000909</v>
      </c>
      <c r="N139" s="4">
        <v>7.5</v>
      </c>
      <c r="O139" s="4">
        <v>89.94</v>
      </c>
      <c r="P139" s="4">
        <v>75</v>
      </c>
      <c r="Q139" s="4">
        <v>21.7</v>
      </c>
      <c r="R139" s="4">
        <v>9.02</v>
      </c>
      <c r="S139" s="4">
        <v>18.52</v>
      </c>
      <c r="T139" s="4">
        <v>3.56</v>
      </c>
      <c r="U139" s="4">
        <v>5.83</v>
      </c>
      <c r="V139" s="4">
        <v>3550.72</v>
      </c>
      <c r="W139" s="4">
        <v>1059.31</v>
      </c>
      <c r="X139" s="4">
        <v>1256.8</v>
      </c>
      <c r="Y139" s="4">
        <v>759.54</v>
      </c>
      <c r="Z139" s="4">
        <v>8.56</v>
      </c>
      <c r="AA139" s="4">
        <v>1.63</v>
      </c>
      <c r="AB139" s="4">
        <v>4.3499999999999996</v>
      </c>
      <c r="AC139" s="4">
        <v>71.7</v>
      </c>
      <c r="AD139" s="4">
        <v>680</v>
      </c>
      <c r="AE139" s="4">
        <v>5900</v>
      </c>
      <c r="AF139" s="4">
        <v>81.39</v>
      </c>
      <c r="AG139" s="4">
        <v>0.59</v>
      </c>
      <c r="AH139" s="4">
        <v>16.86</v>
      </c>
      <c r="AI139" s="4">
        <v>62.43</v>
      </c>
      <c r="AJ139" s="4">
        <v>60</v>
      </c>
      <c r="AK139" s="4">
        <v>9</v>
      </c>
      <c r="AL139" s="4">
        <v>9</v>
      </c>
      <c r="AM139" s="4">
        <v>0.5</v>
      </c>
      <c r="AN139" s="4">
        <v>408</v>
      </c>
      <c r="AO139" s="4">
        <v>412.53</v>
      </c>
      <c r="AP139" s="4">
        <v>307086.95</v>
      </c>
      <c r="AQ139" s="4">
        <v>287246.86</v>
      </c>
      <c r="AR139" s="4" t="s">
        <v>627</v>
      </c>
      <c r="AS139" s="5">
        <f t="shared" si="0"/>
        <v>1.1324252283105039</v>
      </c>
    </row>
    <row r="140" spans="1:45" ht="14.25" customHeight="1" x14ac:dyDescent="0.55000000000000004">
      <c r="A140" s="4">
        <v>21.84</v>
      </c>
      <c r="B140" s="4">
        <v>30.36</v>
      </c>
      <c r="C140" s="4">
        <v>5558.86</v>
      </c>
      <c r="D140" s="4">
        <v>7.6</v>
      </c>
      <c r="E140" s="4" t="s">
        <v>1634</v>
      </c>
      <c r="F140" s="4" t="s">
        <v>1635</v>
      </c>
      <c r="G140" s="4" t="s">
        <v>430</v>
      </c>
      <c r="H140" s="4" t="s">
        <v>640</v>
      </c>
      <c r="I140" s="4">
        <v>0</v>
      </c>
      <c r="J140" s="4">
        <v>1062.82</v>
      </c>
      <c r="K140" s="4">
        <f t="shared" si="7"/>
        <v>69.509999999999991</v>
      </c>
      <c r="L140" s="4">
        <f t="shared" si="8"/>
        <v>69.509999999999991</v>
      </c>
      <c r="M140" s="4">
        <f t="shared" si="9"/>
        <v>0</v>
      </c>
      <c r="N140" s="4">
        <v>7.5</v>
      </c>
      <c r="O140" s="4">
        <v>89.97</v>
      </c>
      <c r="P140" s="4">
        <v>71</v>
      </c>
      <c r="Q140" s="4">
        <v>21.6</v>
      </c>
      <c r="R140" s="4">
        <v>8.52</v>
      </c>
      <c r="S140" s="4">
        <v>17.899999999999999</v>
      </c>
      <c r="T140" s="4">
        <v>3.94</v>
      </c>
      <c r="U140" s="4">
        <v>5.23</v>
      </c>
      <c r="V140" s="4">
        <v>3557.67</v>
      </c>
      <c r="W140" s="4">
        <v>1052.8399999999999</v>
      </c>
      <c r="X140" s="4">
        <v>1187.21</v>
      </c>
      <c r="Y140" s="4">
        <v>740.06</v>
      </c>
      <c r="Z140" s="4">
        <v>6.95</v>
      </c>
      <c r="AA140" s="4">
        <v>1.59</v>
      </c>
      <c r="AB140" s="4">
        <v>4.41</v>
      </c>
      <c r="AC140" s="4">
        <v>68.400000000000006</v>
      </c>
      <c r="AD140" s="4">
        <v>680</v>
      </c>
      <c r="AE140" s="4">
        <v>5900</v>
      </c>
      <c r="AF140" s="4">
        <v>76.95</v>
      </c>
      <c r="AG140" s="4">
        <v>0.59</v>
      </c>
      <c r="AH140" s="4">
        <v>18.190000000000001</v>
      </c>
      <c r="AI140" s="4">
        <v>47.13</v>
      </c>
      <c r="AJ140" s="4">
        <v>60</v>
      </c>
      <c r="AK140" s="4">
        <v>9</v>
      </c>
      <c r="AL140" s="4">
        <v>9</v>
      </c>
      <c r="AM140" s="4">
        <v>0.67</v>
      </c>
      <c r="AN140" s="4">
        <v>408</v>
      </c>
      <c r="AO140" s="4">
        <v>414</v>
      </c>
      <c r="AP140" s="4">
        <v>333335.56</v>
      </c>
      <c r="AQ140" s="4">
        <v>333335.56</v>
      </c>
      <c r="AR140" s="4" t="s">
        <v>631</v>
      </c>
      <c r="AS140" s="5">
        <f t="shared" si="0"/>
        <v>0</v>
      </c>
    </row>
    <row r="141" spans="1:45" ht="14.25" customHeight="1" x14ac:dyDescent="0.55000000000000004">
      <c r="A141" s="4">
        <v>22.28</v>
      </c>
      <c r="B141" s="4">
        <v>31.27</v>
      </c>
      <c r="C141" s="4">
        <v>5464.31</v>
      </c>
      <c r="D141" s="4">
        <v>7.59</v>
      </c>
      <c r="E141" s="4" t="s">
        <v>1636</v>
      </c>
      <c r="F141" s="4" t="s">
        <v>1637</v>
      </c>
      <c r="G141" s="4" t="s">
        <v>1638</v>
      </c>
      <c r="H141" s="4" t="s">
        <v>1639</v>
      </c>
      <c r="I141" s="4">
        <v>0</v>
      </c>
      <c r="J141" s="4">
        <v>651.14</v>
      </c>
      <c r="K141" s="4">
        <f t="shared" si="7"/>
        <v>59.84</v>
      </c>
      <c r="L141" s="4">
        <f t="shared" si="8"/>
        <v>65.489999999999995</v>
      </c>
      <c r="M141" s="4">
        <f t="shared" si="9"/>
        <v>-5.6499999999999915</v>
      </c>
      <c r="N141" s="4">
        <v>7.22</v>
      </c>
      <c r="O141" s="4">
        <v>90.01</v>
      </c>
      <c r="P141" s="4">
        <v>69</v>
      </c>
      <c r="Q141" s="4">
        <v>22.4</v>
      </c>
      <c r="R141" s="4">
        <v>8.99</v>
      </c>
      <c r="S141" s="4">
        <v>18.38</v>
      </c>
      <c r="T141" s="4">
        <v>3.89</v>
      </c>
      <c r="U141" s="4">
        <v>8.39</v>
      </c>
      <c r="V141" s="4">
        <v>3497.16</v>
      </c>
      <c r="W141" s="4">
        <v>1051.29</v>
      </c>
      <c r="X141" s="4">
        <v>1339.19</v>
      </c>
      <c r="Y141" s="4">
        <v>771.31</v>
      </c>
      <c r="Z141" s="4">
        <v>6.85</v>
      </c>
      <c r="AA141" s="4">
        <v>1.65</v>
      </c>
      <c r="AB141" s="4">
        <v>4.3</v>
      </c>
      <c r="AC141" s="4">
        <v>69.78</v>
      </c>
      <c r="AD141" s="4">
        <v>680</v>
      </c>
      <c r="AE141" s="4">
        <v>5900</v>
      </c>
      <c r="AF141" s="4">
        <v>81.16</v>
      </c>
      <c r="AG141" s="4">
        <v>0.59</v>
      </c>
      <c r="AH141" s="4">
        <v>10.98</v>
      </c>
      <c r="AI141" s="4">
        <v>53.97</v>
      </c>
      <c r="AJ141" s="4">
        <v>60</v>
      </c>
      <c r="AK141" s="4">
        <v>9</v>
      </c>
      <c r="AL141" s="4">
        <v>9</v>
      </c>
      <c r="AM141" s="4">
        <v>0.57999999999999996</v>
      </c>
      <c r="AN141" s="4">
        <v>408</v>
      </c>
      <c r="AO141" s="4">
        <v>413.24</v>
      </c>
      <c r="AP141" s="4">
        <v>368419.37</v>
      </c>
      <c r="AQ141" s="4">
        <v>248073.45</v>
      </c>
      <c r="AR141" s="4" t="s">
        <v>636</v>
      </c>
      <c r="AS141" s="5">
        <f t="shared" si="0"/>
        <v>6.869059360730593</v>
      </c>
    </row>
    <row r="142" spans="1:45" ht="14.25" customHeight="1" x14ac:dyDescent="0.55000000000000004">
      <c r="A142" s="4">
        <v>22</v>
      </c>
      <c r="B142" s="4">
        <v>30.51</v>
      </c>
      <c r="C142" s="4">
        <v>5556.16</v>
      </c>
      <c r="D142" s="4">
        <v>7.6</v>
      </c>
      <c r="E142" s="4" t="s">
        <v>1640</v>
      </c>
      <c r="F142" s="4" t="s">
        <v>1641</v>
      </c>
      <c r="G142" s="4" t="s">
        <v>320</v>
      </c>
      <c r="H142" s="4" t="s">
        <v>640</v>
      </c>
      <c r="I142" s="4">
        <v>0</v>
      </c>
      <c r="J142" s="4">
        <v>1052.1600000000001</v>
      </c>
      <c r="K142" s="4">
        <f t="shared" si="7"/>
        <v>68.490000000000009</v>
      </c>
      <c r="L142" s="4">
        <f t="shared" si="8"/>
        <v>68.490000000000009</v>
      </c>
      <c r="M142" s="4">
        <f t="shared" si="9"/>
        <v>0</v>
      </c>
      <c r="N142" s="4">
        <v>7.5</v>
      </c>
      <c r="O142" s="4">
        <v>90.04</v>
      </c>
      <c r="P142" s="4">
        <v>68</v>
      </c>
      <c r="Q142" s="4">
        <v>22</v>
      </c>
      <c r="R142" s="4">
        <v>8.51</v>
      </c>
      <c r="S142" s="4">
        <v>17.88</v>
      </c>
      <c r="T142" s="4">
        <v>4.13</v>
      </c>
      <c r="U142" s="4">
        <v>5.28</v>
      </c>
      <c r="V142" s="4">
        <v>3555.95</v>
      </c>
      <c r="W142" s="4">
        <v>1052.8699999999999</v>
      </c>
      <c r="X142" s="4">
        <v>1191.3699999999999</v>
      </c>
      <c r="Y142" s="4">
        <v>741.03</v>
      </c>
      <c r="Z142" s="4">
        <v>6.85</v>
      </c>
      <c r="AA142" s="4">
        <v>1.6</v>
      </c>
      <c r="AB142" s="4">
        <v>4.4000000000000004</v>
      </c>
      <c r="AC142" s="4">
        <v>67.34</v>
      </c>
      <c r="AD142" s="4">
        <v>680</v>
      </c>
      <c r="AE142" s="4">
        <v>5900</v>
      </c>
      <c r="AF142" s="4">
        <v>76.81</v>
      </c>
      <c r="AG142" s="4">
        <v>0.59</v>
      </c>
      <c r="AH142" s="4">
        <v>17.940000000000001</v>
      </c>
      <c r="AI142" s="4">
        <v>47.11</v>
      </c>
      <c r="AJ142" s="4">
        <v>60</v>
      </c>
      <c r="AK142" s="4">
        <v>9</v>
      </c>
      <c r="AL142" s="4">
        <v>9</v>
      </c>
      <c r="AM142" s="4">
        <v>0.67</v>
      </c>
      <c r="AN142" s="4">
        <v>408</v>
      </c>
      <c r="AO142" s="4">
        <v>414</v>
      </c>
      <c r="AP142" s="4">
        <v>332336.01</v>
      </c>
      <c r="AQ142" s="4">
        <v>332336.01</v>
      </c>
      <c r="AR142" s="4" t="s">
        <v>641</v>
      </c>
      <c r="AS142" s="5">
        <f t="shared" si="0"/>
        <v>0</v>
      </c>
    </row>
    <row r="143" spans="1:45" ht="14.25" customHeight="1" x14ac:dyDescent="0.55000000000000004">
      <c r="A143" s="4">
        <v>21.74</v>
      </c>
      <c r="B143" s="4">
        <v>30.74</v>
      </c>
      <c r="C143" s="4">
        <v>5543.42</v>
      </c>
      <c r="D143" s="4">
        <v>7.61</v>
      </c>
      <c r="E143" s="4" t="s">
        <v>1642</v>
      </c>
      <c r="F143" s="4" t="s">
        <v>1643</v>
      </c>
      <c r="G143" s="4" t="s">
        <v>1644</v>
      </c>
      <c r="H143" s="4" t="s">
        <v>1645</v>
      </c>
      <c r="I143" s="4">
        <v>0</v>
      </c>
      <c r="J143" s="4">
        <v>1003.25</v>
      </c>
      <c r="K143" s="4">
        <f t="shared" si="7"/>
        <v>71.010000000000005</v>
      </c>
      <c r="L143" s="4">
        <f t="shared" si="8"/>
        <v>73.600000000000009</v>
      </c>
      <c r="M143" s="4">
        <f t="shared" si="9"/>
        <v>-2.5900000000000034</v>
      </c>
      <c r="N143" s="4">
        <v>7.52</v>
      </c>
      <c r="O143" s="4">
        <v>89.86</v>
      </c>
      <c r="P143" s="4">
        <v>67</v>
      </c>
      <c r="Q143" s="4">
        <v>22.3</v>
      </c>
      <c r="R143" s="4">
        <v>8.99</v>
      </c>
      <c r="S143" s="4">
        <v>18.02</v>
      </c>
      <c r="T143" s="4">
        <v>3.72</v>
      </c>
      <c r="U143" s="4">
        <v>5.53</v>
      </c>
      <c r="V143" s="4">
        <v>3547.79</v>
      </c>
      <c r="W143" s="4">
        <v>1055.56</v>
      </c>
      <c r="X143" s="4">
        <v>1229.99</v>
      </c>
      <c r="Y143" s="4">
        <v>751.69</v>
      </c>
      <c r="Z143" s="4">
        <v>6.27</v>
      </c>
      <c r="AA143" s="4">
        <v>1.61</v>
      </c>
      <c r="AB143" s="4">
        <v>4.38</v>
      </c>
      <c r="AC143" s="4">
        <v>70.739999999999995</v>
      </c>
      <c r="AD143" s="4">
        <v>680</v>
      </c>
      <c r="AE143" s="4">
        <v>5900</v>
      </c>
      <c r="AF143" s="4">
        <v>81.2</v>
      </c>
      <c r="AG143" s="4">
        <v>0.59</v>
      </c>
      <c r="AH143" s="4">
        <v>17.940000000000001</v>
      </c>
      <c r="AI143" s="4">
        <v>41.62</v>
      </c>
      <c r="AJ143" s="4">
        <v>60</v>
      </c>
      <c r="AK143" s="4">
        <v>9</v>
      </c>
      <c r="AL143" s="4">
        <v>9</v>
      </c>
      <c r="AM143" s="4">
        <v>0.75</v>
      </c>
      <c r="AN143" s="4">
        <v>408</v>
      </c>
      <c r="AO143" s="4">
        <v>414.79</v>
      </c>
      <c r="AP143" s="4">
        <v>323009.73</v>
      </c>
      <c r="AQ143" s="4">
        <v>225783.56</v>
      </c>
      <c r="AR143" s="4" t="s">
        <v>646</v>
      </c>
      <c r="AS143" s="5">
        <f t="shared" si="0"/>
        <v>5.5494389269406383</v>
      </c>
    </row>
    <row r="144" spans="1:45" ht="14.25" customHeight="1" x14ac:dyDescent="0.55000000000000004">
      <c r="A144" s="4">
        <v>22.48</v>
      </c>
      <c r="B144" s="4">
        <v>31.44</v>
      </c>
      <c r="C144" s="4">
        <v>5470.56</v>
      </c>
      <c r="D144" s="4">
        <v>7.6</v>
      </c>
      <c r="E144" s="4" t="s">
        <v>1646</v>
      </c>
      <c r="F144" s="4" t="s">
        <v>1647</v>
      </c>
      <c r="G144" s="4" t="s">
        <v>1648</v>
      </c>
      <c r="H144" s="4" t="s">
        <v>1649</v>
      </c>
      <c r="I144" s="4">
        <v>0</v>
      </c>
      <c r="J144" s="4">
        <v>623.78</v>
      </c>
      <c r="K144" s="4">
        <f t="shared" si="7"/>
        <v>58.64</v>
      </c>
      <c r="L144" s="4">
        <f t="shared" si="8"/>
        <v>63.5</v>
      </c>
      <c r="M144" s="4">
        <f t="shared" si="9"/>
        <v>-4.8599999999999994</v>
      </c>
      <c r="N144" s="4">
        <v>7.21</v>
      </c>
      <c r="O144" s="4">
        <v>90.03</v>
      </c>
      <c r="P144" s="4">
        <v>70</v>
      </c>
      <c r="Q144" s="4">
        <v>22.5</v>
      </c>
      <c r="R144" s="4">
        <v>8.9600000000000009</v>
      </c>
      <c r="S144" s="4">
        <v>18.61</v>
      </c>
      <c r="T144" s="4">
        <v>3.87</v>
      </c>
      <c r="U144" s="4">
        <v>8.77</v>
      </c>
      <c r="V144" s="4">
        <v>3501.16</v>
      </c>
      <c r="W144" s="4">
        <v>1055.44</v>
      </c>
      <c r="X144" s="4">
        <v>1368.18</v>
      </c>
      <c r="Y144" s="4">
        <v>779.71</v>
      </c>
      <c r="Z144" s="4">
        <v>7.85</v>
      </c>
      <c r="AA144" s="4">
        <v>1.67</v>
      </c>
      <c r="AB144" s="4">
        <v>4.26</v>
      </c>
      <c r="AC144" s="4">
        <v>69.86</v>
      </c>
      <c r="AD144" s="4">
        <v>680</v>
      </c>
      <c r="AE144" s="4">
        <v>5900</v>
      </c>
      <c r="AF144" s="4">
        <v>80.900000000000006</v>
      </c>
      <c r="AG144" s="4">
        <v>0.59</v>
      </c>
      <c r="AH144" s="4">
        <v>10.41</v>
      </c>
      <c r="AI144" s="4">
        <v>63.07</v>
      </c>
      <c r="AJ144" s="4">
        <v>60</v>
      </c>
      <c r="AK144" s="4">
        <v>9</v>
      </c>
      <c r="AL144" s="4">
        <v>9</v>
      </c>
      <c r="AM144" s="4">
        <v>0.5</v>
      </c>
      <c r="AN144" s="4">
        <v>408</v>
      </c>
      <c r="AO144" s="4">
        <v>412.48</v>
      </c>
      <c r="AP144" s="4">
        <v>362181.43</v>
      </c>
      <c r="AQ144" s="4">
        <v>278698.53999999998</v>
      </c>
      <c r="AR144" s="4" t="s">
        <v>651</v>
      </c>
      <c r="AS144" s="5">
        <f t="shared" si="0"/>
        <v>4.7650051369863018</v>
      </c>
    </row>
    <row r="145" spans="1:45" ht="14.25" customHeight="1" x14ac:dyDescent="0.55000000000000004">
      <c r="A145" s="4">
        <v>22.43</v>
      </c>
      <c r="B145" s="4">
        <v>31.31</v>
      </c>
      <c r="C145" s="4">
        <v>5552.86</v>
      </c>
      <c r="D145" s="4">
        <v>7.58</v>
      </c>
      <c r="E145" s="4" t="s">
        <v>1650</v>
      </c>
      <c r="F145" s="4" t="s">
        <v>1651</v>
      </c>
      <c r="G145" s="4" t="s">
        <v>1652</v>
      </c>
      <c r="H145" s="4" t="s">
        <v>1653</v>
      </c>
      <c r="I145" s="4">
        <v>0</v>
      </c>
      <c r="J145" s="4">
        <v>705.62</v>
      </c>
      <c r="K145" s="4">
        <f t="shared" si="7"/>
        <v>51.17</v>
      </c>
      <c r="L145" s="4">
        <f t="shared" si="8"/>
        <v>57</v>
      </c>
      <c r="M145" s="4">
        <f t="shared" si="9"/>
        <v>-5.8299999999999983</v>
      </c>
      <c r="N145" s="4">
        <v>7.32</v>
      </c>
      <c r="O145" s="4">
        <v>89.92</v>
      </c>
      <c r="P145" s="4">
        <v>92</v>
      </c>
      <c r="Q145" s="4">
        <v>19.899999999999999</v>
      </c>
      <c r="R145" s="4">
        <v>8.8800000000000008</v>
      </c>
      <c r="S145" s="4">
        <v>18.920000000000002</v>
      </c>
      <c r="T145" s="4">
        <v>3.51</v>
      </c>
      <c r="U145" s="4">
        <v>7.87</v>
      </c>
      <c r="V145" s="4">
        <v>3553.83</v>
      </c>
      <c r="W145" s="4">
        <v>1071.95</v>
      </c>
      <c r="X145" s="4">
        <v>1376.41</v>
      </c>
      <c r="Y145" s="4">
        <v>791.08</v>
      </c>
      <c r="Z145" s="4">
        <v>5.84</v>
      </c>
      <c r="AA145" s="4">
        <v>1.66</v>
      </c>
      <c r="AB145" s="4">
        <v>4.26</v>
      </c>
      <c r="AC145" s="4">
        <v>71.650000000000006</v>
      </c>
      <c r="AD145" s="4">
        <v>680</v>
      </c>
      <c r="AE145" s="4">
        <v>5900</v>
      </c>
      <c r="AF145" s="4">
        <v>80.16</v>
      </c>
      <c r="AG145" s="4">
        <v>0.59</v>
      </c>
      <c r="AH145" s="4">
        <v>11.67</v>
      </c>
      <c r="AI145" s="4">
        <v>53.74</v>
      </c>
      <c r="AJ145" s="4">
        <v>60</v>
      </c>
      <c r="AK145" s="4">
        <v>9</v>
      </c>
      <c r="AL145" s="4">
        <v>9</v>
      </c>
      <c r="AM145" s="4">
        <v>0.57999999999999996</v>
      </c>
      <c r="AN145" s="4">
        <v>408</v>
      </c>
      <c r="AO145" s="4">
        <v>413.26</v>
      </c>
      <c r="AP145" s="4">
        <v>280129.77</v>
      </c>
      <c r="AQ145" s="4">
        <v>140925.53</v>
      </c>
      <c r="AR145" s="4" t="s">
        <v>1654</v>
      </c>
      <c r="AS145" s="5">
        <f t="shared" si="0"/>
        <v>7.9454474885844757</v>
      </c>
    </row>
    <row r="146" spans="1:45" ht="14.25" customHeight="1" x14ac:dyDescent="0.55000000000000004">
      <c r="A146" s="4">
        <v>21.73</v>
      </c>
      <c r="B146" s="4">
        <v>30.04</v>
      </c>
      <c r="C146" s="4">
        <v>5555.96</v>
      </c>
      <c r="D146" s="4">
        <v>7.6</v>
      </c>
      <c r="E146" s="4" t="s">
        <v>1655</v>
      </c>
      <c r="F146" s="4" t="s">
        <v>1656</v>
      </c>
      <c r="G146" s="4" t="s">
        <v>1657</v>
      </c>
      <c r="H146" s="4" t="s">
        <v>1658</v>
      </c>
      <c r="I146" s="4">
        <v>0</v>
      </c>
      <c r="J146" s="4">
        <v>1071.9100000000001</v>
      </c>
      <c r="K146" s="4">
        <f t="shared" si="7"/>
        <v>66.36</v>
      </c>
      <c r="L146" s="4">
        <f t="shared" si="8"/>
        <v>67.63</v>
      </c>
      <c r="M146" s="4">
        <f t="shared" si="9"/>
        <v>-1.269999999999996</v>
      </c>
      <c r="N146" s="4">
        <v>7.48</v>
      </c>
      <c r="O146" s="4">
        <v>89.93</v>
      </c>
      <c r="P146" s="4">
        <v>71</v>
      </c>
      <c r="Q146" s="4">
        <v>21.8</v>
      </c>
      <c r="R146" s="4">
        <v>8.31</v>
      </c>
      <c r="S146" s="4">
        <v>18.09</v>
      </c>
      <c r="T146" s="4">
        <v>3.64</v>
      </c>
      <c r="U146" s="4">
        <v>5.18</v>
      </c>
      <c r="V146" s="4">
        <v>3555.82</v>
      </c>
      <c r="W146" s="4">
        <v>1050.3399999999999</v>
      </c>
      <c r="X146" s="4">
        <v>1171.6300000000001</v>
      </c>
      <c r="Y146" s="4">
        <v>735.03</v>
      </c>
      <c r="Z146" s="4">
        <v>5.89</v>
      </c>
      <c r="AA146" s="4">
        <v>1.58</v>
      </c>
      <c r="AB146" s="4">
        <v>4.43</v>
      </c>
      <c r="AC146" s="4">
        <v>69.52</v>
      </c>
      <c r="AD146" s="4">
        <v>680</v>
      </c>
      <c r="AE146" s="4">
        <v>5900</v>
      </c>
      <c r="AF146" s="4">
        <v>75.010000000000005</v>
      </c>
      <c r="AG146" s="4">
        <v>0.59</v>
      </c>
      <c r="AH146" s="4">
        <v>17.93</v>
      </c>
      <c r="AI146" s="4">
        <v>41.81</v>
      </c>
      <c r="AJ146" s="4">
        <v>60</v>
      </c>
      <c r="AK146" s="4">
        <v>9</v>
      </c>
      <c r="AL146" s="4">
        <v>9</v>
      </c>
      <c r="AM146" s="4">
        <v>0.75</v>
      </c>
      <c r="AN146" s="4">
        <v>408</v>
      </c>
      <c r="AO146" s="4">
        <v>414.76</v>
      </c>
      <c r="AP146" s="4">
        <v>330537.01</v>
      </c>
      <c r="AQ146" s="4">
        <v>218332.79999999999</v>
      </c>
      <c r="AR146" s="4" t="s">
        <v>656</v>
      </c>
      <c r="AS146" s="5">
        <f t="shared" si="0"/>
        <v>6.4043498858447503</v>
      </c>
    </row>
    <row r="147" spans="1:45" ht="14.25" customHeight="1" x14ac:dyDescent="0.55000000000000004">
      <c r="A147" s="4">
        <v>22.45</v>
      </c>
      <c r="B147" s="4">
        <v>31.54</v>
      </c>
      <c r="C147" s="4">
        <v>5458.06</v>
      </c>
      <c r="D147" s="4">
        <v>7.6</v>
      </c>
      <c r="E147" s="4" t="s">
        <v>1659</v>
      </c>
      <c r="F147" s="4" t="s">
        <v>1660</v>
      </c>
      <c r="G147" s="4" t="s">
        <v>1534</v>
      </c>
      <c r="H147" s="4" t="s">
        <v>1661</v>
      </c>
      <c r="I147" s="4">
        <v>0</v>
      </c>
      <c r="J147" s="4">
        <v>638.84</v>
      </c>
      <c r="K147" s="4">
        <f t="shared" si="7"/>
        <v>59.13</v>
      </c>
      <c r="L147" s="4">
        <f t="shared" si="8"/>
        <v>65.52000000000001</v>
      </c>
      <c r="M147" s="4">
        <f t="shared" si="9"/>
        <v>-6.3900000000000077</v>
      </c>
      <c r="N147" s="4">
        <v>7.21</v>
      </c>
      <c r="O147" s="4">
        <v>90.04</v>
      </c>
      <c r="P147" s="4">
        <v>68</v>
      </c>
      <c r="Q147" s="4">
        <v>22.1</v>
      </c>
      <c r="R147" s="4">
        <v>9.09</v>
      </c>
      <c r="S147" s="4">
        <v>17.97</v>
      </c>
      <c r="T147" s="4">
        <v>4.4800000000000004</v>
      </c>
      <c r="U147" s="4">
        <v>8.5399999999999991</v>
      </c>
      <c r="V147" s="4">
        <v>3493.16</v>
      </c>
      <c r="W147" s="4">
        <v>1051.52</v>
      </c>
      <c r="X147" s="4">
        <v>1350.67</v>
      </c>
      <c r="Y147" s="4">
        <v>774.04</v>
      </c>
      <c r="Z147" s="4">
        <v>5.87</v>
      </c>
      <c r="AA147" s="4">
        <v>1.67</v>
      </c>
      <c r="AB147" s="4">
        <v>4.2699999999999996</v>
      </c>
      <c r="AC147" s="4">
        <v>67.010000000000005</v>
      </c>
      <c r="AD147" s="4">
        <v>680</v>
      </c>
      <c r="AE147" s="4">
        <v>5900</v>
      </c>
      <c r="AF147" s="4">
        <v>82.09</v>
      </c>
      <c r="AG147" s="4">
        <v>0.59</v>
      </c>
      <c r="AH147" s="4">
        <v>10.88</v>
      </c>
      <c r="AI147" s="4">
        <v>46.76</v>
      </c>
      <c r="AJ147" s="4">
        <v>60</v>
      </c>
      <c r="AK147" s="4">
        <v>9</v>
      </c>
      <c r="AL147" s="4">
        <v>9</v>
      </c>
      <c r="AM147" s="4">
        <v>0.67</v>
      </c>
      <c r="AN147" s="4">
        <v>408</v>
      </c>
      <c r="AO147" s="4">
        <v>414.05</v>
      </c>
      <c r="AP147" s="4">
        <v>372594.83</v>
      </c>
      <c r="AQ147" s="4">
        <v>180841.42</v>
      </c>
      <c r="AR147" s="4" t="s">
        <v>1662</v>
      </c>
      <c r="AS147" s="5">
        <f t="shared" si="0"/>
        <v>10.944829337899543</v>
      </c>
    </row>
    <row r="148" spans="1:45" ht="14.25" customHeight="1" x14ac:dyDescent="0.55000000000000004">
      <c r="A148" s="4">
        <v>22.49</v>
      </c>
      <c r="B148" s="4">
        <v>31.41</v>
      </c>
      <c r="C148" s="4">
        <v>5484.36</v>
      </c>
      <c r="D148" s="4">
        <v>7.6</v>
      </c>
      <c r="E148" s="4" t="s">
        <v>1663</v>
      </c>
      <c r="F148" s="4" t="s">
        <v>1664</v>
      </c>
      <c r="G148" s="4" t="s">
        <v>1632</v>
      </c>
      <c r="H148" s="4" t="s">
        <v>1665</v>
      </c>
      <c r="I148" s="4">
        <v>0</v>
      </c>
      <c r="J148" s="4">
        <v>755.44</v>
      </c>
      <c r="K148" s="4">
        <f t="shared" si="7"/>
        <v>58.74</v>
      </c>
      <c r="L148" s="4">
        <f t="shared" si="8"/>
        <v>58.74</v>
      </c>
      <c r="M148" s="4">
        <f t="shared" si="9"/>
        <v>0</v>
      </c>
      <c r="N148" s="4">
        <v>7.33</v>
      </c>
      <c r="O148" s="4">
        <v>90.04</v>
      </c>
      <c r="P148" s="4">
        <v>70</v>
      </c>
      <c r="Q148" s="4">
        <v>22.5</v>
      </c>
      <c r="R148" s="4">
        <v>8.92</v>
      </c>
      <c r="S148" s="4">
        <v>18.61</v>
      </c>
      <c r="T148" s="4">
        <v>3.88</v>
      </c>
      <c r="U148" s="4">
        <v>7.26</v>
      </c>
      <c r="V148" s="4">
        <v>3509.99</v>
      </c>
      <c r="W148" s="4">
        <v>1053.1400000000001</v>
      </c>
      <c r="X148" s="4">
        <v>1310.4000000000001</v>
      </c>
      <c r="Y148" s="4">
        <v>767.4</v>
      </c>
      <c r="Z148" s="4">
        <v>29.21</v>
      </c>
      <c r="AA148" s="4">
        <v>1.65</v>
      </c>
      <c r="AB148" s="4">
        <v>4.3</v>
      </c>
      <c r="AC148" s="4">
        <v>69.72</v>
      </c>
      <c r="AD148" s="4">
        <v>680</v>
      </c>
      <c r="AE148" s="4">
        <v>5900</v>
      </c>
      <c r="AF148" s="4">
        <v>80.55</v>
      </c>
      <c r="AG148" s="4">
        <v>0.59</v>
      </c>
      <c r="AH148" s="4">
        <v>12.87</v>
      </c>
      <c r="AI148" s="4">
        <v>234.29</v>
      </c>
      <c r="AJ148" s="4">
        <v>60</v>
      </c>
      <c r="AK148" s="4">
        <v>9</v>
      </c>
      <c r="AL148" s="4">
        <v>9</v>
      </c>
      <c r="AM148" s="4">
        <v>0.13</v>
      </c>
      <c r="AN148" s="4">
        <v>408</v>
      </c>
      <c r="AO148" s="4">
        <v>409.21</v>
      </c>
      <c r="AP148" s="4">
        <v>301637.96999999997</v>
      </c>
      <c r="AQ148" s="4">
        <v>301637.96999999997</v>
      </c>
      <c r="AR148" s="4" t="s">
        <v>661</v>
      </c>
      <c r="AS148" s="5">
        <f t="shared" si="0"/>
        <v>0</v>
      </c>
    </row>
    <row r="149" spans="1:45" ht="14.25" customHeight="1" x14ac:dyDescent="0.55000000000000004">
      <c r="A149" s="4">
        <v>22.4</v>
      </c>
      <c r="B149" s="4">
        <v>31.36</v>
      </c>
      <c r="C149" s="4">
        <v>5553.38</v>
      </c>
      <c r="D149" s="4">
        <v>7.61</v>
      </c>
      <c r="E149" s="4" t="s">
        <v>1666</v>
      </c>
      <c r="F149" s="4" t="s">
        <v>1667</v>
      </c>
      <c r="G149" s="4" t="s">
        <v>1668</v>
      </c>
      <c r="H149" s="4" t="s">
        <v>1669</v>
      </c>
      <c r="I149" s="4">
        <v>0</v>
      </c>
      <c r="J149" s="4">
        <v>873.61</v>
      </c>
      <c r="K149" s="4">
        <f t="shared" si="7"/>
        <v>57.39</v>
      </c>
      <c r="L149" s="4">
        <f t="shared" si="8"/>
        <v>60.33</v>
      </c>
      <c r="M149" s="4">
        <f t="shared" si="9"/>
        <v>-2.9399999999999977</v>
      </c>
      <c r="N149" s="4">
        <v>7.46</v>
      </c>
      <c r="O149" s="4">
        <v>90.03</v>
      </c>
      <c r="P149" s="4">
        <v>80</v>
      </c>
      <c r="Q149" s="4">
        <v>21.1</v>
      </c>
      <c r="R149" s="4">
        <v>8.9600000000000009</v>
      </c>
      <c r="S149" s="4">
        <v>18.59</v>
      </c>
      <c r="T149" s="4">
        <v>3.81</v>
      </c>
      <c r="U149" s="4">
        <v>6.36</v>
      </c>
      <c r="V149" s="4">
        <v>3554.16</v>
      </c>
      <c r="W149" s="4">
        <v>1064.8399999999999</v>
      </c>
      <c r="X149" s="4">
        <v>1299.3499999999999</v>
      </c>
      <c r="Y149" s="4">
        <v>771.7</v>
      </c>
      <c r="Z149" s="4">
        <v>6.66</v>
      </c>
      <c r="AA149" s="4">
        <v>1.65</v>
      </c>
      <c r="AB149" s="4">
        <v>4.3</v>
      </c>
      <c r="AC149" s="4">
        <v>70.14</v>
      </c>
      <c r="AD149" s="4">
        <v>680</v>
      </c>
      <c r="AE149" s="4">
        <v>5900</v>
      </c>
      <c r="AF149" s="4">
        <v>80.88</v>
      </c>
      <c r="AG149" s="4">
        <v>0.59</v>
      </c>
      <c r="AH149" s="4">
        <v>15.1</v>
      </c>
      <c r="AI149" s="4">
        <v>54.67</v>
      </c>
      <c r="AJ149" s="4">
        <v>60</v>
      </c>
      <c r="AK149" s="4">
        <v>9</v>
      </c>
      <c r="AL149" s="4">
        <v>9</v>
      </c>
      <c r="AM149" s="4">
        <v>0.56999999999999995</v>
      </c>
      <c r="AN149" s="4">
        <v>408</v>
      </c>
      <c r="AO149" s="4">
        <v>413.17</v>
      </c>
      <c r="AP149" s="4">
        <v>276558.05</v>
      </c>
      <c r="AQ149" s="4">
        <v>185877.46</v>
      </c>
      <c r="AR149" s="4" t="s">
        <v>665</v>
      </c>
      <c r="AS149" s="5">
        <f t="shared" si="0"/>
        <v>5.1758327625570777</v>
      </c>
    </row>
    <row r="150" spans="1:45" ht="14.25" customHeight="1" x14ac:dyDescent="0.55000000000000004">
      <c r="A150" s="4">
        <v>22.83</v>
      </c>
      <c r="B150" s="4">
        <v>31.77</v>
      </c>
      <c r="C150" s="4">
        <v>5476.4</v>
      </c>
      <c r="D150" s="4">
        <v>7.6</v>
      </c>
      <c r="E150" s="4" t="s">
        <v>1670</v>
      </c>
      <c r="F150" s="4" t="s">
        <v>1671</v>
      </c>
      <c r="G150" s="4" t="s">
        <v>1129</v>
      </c>
      <c r="H150" s="4" t="s">
        <v>1672</v>
      </c>
      <c r="I150" s="4">
        <v>0</v>
      </c>
      <c r="J150" s="4">
        <v>699.52</v>
      </c>
      <c r="K150" s="4">
        <f t="shared" si="7"/>
        <v>63.83</v>
      </c>
      <c r="L150" s="4">
        <f t="shared" si="8"/>
        <v>70.5</v>
      </c>
      <c r="M150" s="4">
        <f t="shared" si="9"/>
        <v>-6.6700000000000017</v>
      </c>
      <c r="N150" s="4">
        <v>7.25</v>
      </c>
      <c r="O150" s="4">
        <v>89.9</v>
      </c>
      <c r="P150" s="4">
        <v>74</v>
      </c>
      <c r="Q150" s="4">
        <v>21.9</v>
      </c>
      <c r="R150" s="4">
        <v>8.9499999999999993</v>
      </c>
      <c r="S150" s="4">
        <v>18.57</v>
      </c>
      <c r="T150" s="4">
        <v>4.25</v>
      </c>
      <c r="U150" s="4">
        <v>7.83</v>
      </c>
      <c r="V150" s="4">
        <v>3504.9</v>
      </c>
      <c r="W150" s="4">
        <v>1050.6400000000001</v>
      </c>
      <c r="X150" s="4">
        <v>1310.93</v>
      </c>
      <c r="Y150" s="4">
        <v>765.04</v>
      </c>
      <c r="Z150" s="4">
        <v>5.89</v>
      </c>
      <c r="AA150" s="4">
        <v>1.65</v>
      </c>
      <c r="AB150" s="4">
        <v>4.29</v>
      </c>
      <c r="AC150" s="4">
        <v>67.78</v>
      </c>
      <c r="AD150" s="4">
        <v>680</v>
      </c>
      <c r="AE150" s="4">
        <v>5900</v>
      </c>
      <c r="AF150" s="4">
        <v>80.77</v>
      </c>
      <c r="AG150" s="4">
        <v>0.59</v>
      </c>
      <c r="AH150" s="4">
        <v>11.83</v>
      </c>
      <c r="AI150" s="4">
        <v>43.45</v>
      </c>
      <c r="AJ150" s="4">
        <v>60</v>
      </c>
      <c r="AK150" s="4">
        <v>9</v>
      </c>
      <c r="AL150" s="4">
        <v>9</v>
      </c>
      <c r="AM150" s="4">
        <v>0.72</v>
      </c>
      <c r="AN150" s="4">
        <v>408</v>
      </c>
      <c r="AO150" s="4">
        <v>414.51</v>
      </c>
      <c r="AP150" s="4">
        <v>385037.34</v>
      </c>
      <c r="AQ150" s="4">
        <v>206635.4</v>
      </c>
      <c r="AR150" s="4" t="s">
        <v>1673</v>
      </c>
      <c r="AS150" s="5">
        <f t="shared" si="0"/>
        <v>10.182759132420093</v>
      </c>
    </row>
    <row r="151" spans="1:45" ht="14.25" customHeight="1" x14ac:dyDescent="0.55000000000000004">
      <c r="A151" s="4">
        <v>22.35</v>
      </c>
      <c r="B151" s="4">
        <v>31.32</v>
      </c>
      <c r="C151" s="4">
        <v>5566.05</v>
      </c>
      <c r="D151" s="4">
        <v>7.61</v>
      </c>
      <c r="E151" s="4" t="s">
        <v>1674</v>
      </c>
      <c r="F151" s="4" t="s">
        <v>1675</v>
      </c>
      <c r="G151" s="4" t="s">
        <v>1676</v>
      </c>
      <c r="H151" s="4" t="s">
        <v>1677</v>
      </c>
      <c r="I151" s="4">
        <v>0</v>
      </c>
      <c r="J151" s="4">
        <v>840.53</v>
      </c>
      <c r="K151" s="4">
        <f t="shared" si="7"/>
        <v>55.629999999999995</v>
      </c>
      <c r="L151" s="4">
        <f t="shared" si="8"/>
        <v>61.22</v>
      </c>
      <c r="M151" s="4">
        <f t="shared" si="9"/>
        <v>-5.5900000000000034</v>
      </c>
      <c r="N151" s="4">
        <v>7.44</v>
      </c>
      <c r="O151" s="4">
        <v>89.85</v>
      </c>
      <c r="P151" s="4">
        <v>92</v>
      </c>
      <c r="Q151" s="4">
        <v>20</v>
      </c>
      <c r="R151" s="4">
        <v>8.9700000000000006</v>
      </c>
      <c r="S151" s="4">
        <v>19.02</v>
      </c>
      <c r="T151" s="4">
        <v>3.33</v>
      </c>
      <c r="U151" s="4">
        <v>6.62</v>
      </c>
      <c r="V151" s="4">
        <v>3562.27</v>
      </c>
      <c r="W151" s="4">
        <v>1069.08</v>
      </c>
      <c r="X151" s="4">
        <v>1319.57</v>
      </c>
      <c r="Y151" s="4">
        <v>778.11</v>
      </c>
      <c r="Z151" s="4">
        <v>5.91</v>
      </c>
      <c r="AA151" s="4">
        <v>1.67</v>
      </c>
      <c r="AB151" s="4">
        <v>4.28</v>
      </c>
      <c r="AC151" s="4">
        <v>72.91</v>
      </c>
      <c r="AD151" s="4">
        <v>680</v>
      </c>
      <c r="AE151" s="4">
        <v>5900</v>
      </c>
      <c r="AF151" s="4">
        <v>80.98</v>
      </c>
      <c r="AG151" s="4">
        <v>0.59</v>
      </c>
      <c r="AH151" s="4">
        <v>14.4</v>
      </c>
      <c r="AI151" s="4">
        <v>50.04</v>
      </c>
      <c r="AJ151" s="4">
        <v>60</v>
      </c>
      <c r="AK151" s="4">
        <v>9</v>
      </c>
      <c r="AL151" s="4">
        <v>9</v>
      </c>
      <c r="AM151" s="4">
        <v>0.63</v>
      </c>
      <c r="AN151" s="4">
        <v>408</v>
      </c>
      <c r="AO151" s="4">
        <v>413.65</v>
      </c>
      <c r="AP151" s="4">
        <v>260433.24</v>
      </c>
      <c r="AQ151" s="4">
        <v>157084.95000000001</v>
      </c>
      <c r="AR151" s="4" t="s">
        <v>1678</v>
      </c>
      <c r="AS151" s="5">
        <f t="shared" si="0"/>
        <v>5.8988749999999985</v>
      </c>
    </row>
    <row r="152" spans="1:45" ht="14.25" customHeight="1" x14ac:dyDescent="0.55000000000000004">
      <c r="A152" s="4">
        <v>21.85</v>
      </c>
      <c r="B152" s="4">
        <v>30.82</v>
      </c>
      <c r="C152" s="4">
        <v>5551.18</v>
      </c>
      <c r="D152" s="4">
        <v>7.6</v>
      </c>
      <c r="E152" s="4" t="s">
        <v>1679</v>
      </c>
      <c r="F152" s="4" t="s">
        <v>1680</v>
      </c>
      <c r="G152" s="4" t="s">
        <v>1681</v>
      </c>
      <c r="H152" s="4" t="s">
        <v>1682</v>
      </c>
      <c r="I152" s="4">
        <v>0</v>
      </c>
      <c r="J152" s="4">
        <v>965.25</v>
      </c>
      <c r="K152" s="4">
        <f t="shared" si="7"/>
        <v>65.67</v>
      </c>
      <c r="L152" s="4">
        <f t="shared" si="8"/>
        <v>63.089999999999996</v>
      </c>
      <c r="M152" s="4">
        <f t="shared" si="9"/>
        <v>2.5800000000000054</v>
      </c>
      <c r="N152" s="4">
        <v>7.5</v>
      </c>
      <c r="O152" s="4">
        <v>90.02</v>
      </c>
      <c r="P152" s="4">
        <v>73</v>
      </c>
      <c r="Q152" s="4">
        <v>21.5</v>
      </c>
      <c r="R152" s="4">
        <v>8.98</v>
      </c>
      <c r="S152" s="4">
        <v>18.07</v>
      </c>
      <c r="T152" s="4">
        <v>3.78</v>
      </c>
      <c r="U152" s="4">
        <v>5.75</v>
      </c>
      <c r="V152" s="4">
        <v>3552.76</v>
      </c>
      <c r="W152" s="4">
        <v>1058.75</v>
      </c>
      <c r="X152" s="4">
        <v>1247.76</v>
      </c>
      <c r="Y152" s="4">
        <v>757.13</v>
      </c>
      <c r="Z152" s="4">
        <v>8.85</v>
      </c>
      <c r="AA152" s="4">
        <v>1.61</v>
      </c>
      <c r="AB152" s="4">
        <v>4.37</v>
      </c>
      <c r="AC152" s="4">
        <v>70.36</v>
      </c>
      <c r="AD152" s="4">
        <v>680</v>
      </c>
      <c r="AE152" s="4">
        <v>5900</v>
      </c>
      <c r="AF152" s="4">
        <v>81.02</v>
      </c>
      <c r="AG152" s="4">
        <v>0.59</v>
      </c>
      <c r="AH152" s="4">
        <v>17.05</v>
      </c>
      <c r="AI152" s="4">
        <v>63.49</v>
      </c>
      <c r="AJ152" s="4">
        <v>60</v>
      </c>
      <c r="AK152" s="4">
        <v>9</v>
      </c>
      <c r="AL152" s="4">
        <v>9</v>
      </c>
      <c r="AM152" s="4">
        <v>0.49</v>
      </c>
      <c r="AN152" s="4">
        <v>408</v>
      </c>
      <c r="AO152" s="4">
        <v>412.45</v>
      </c>
      <c r="AP152" s="4">
        <v>329481.53999999998</v>
      </c>
      <c r="AQ152" s="4">
        <v>284588.43</v>
      </c>
      <c r="AR152" s="4" t="s">
        <v>670</v>
      </c>
      <c r="AS152" s="5">
        <f t="shared" si="0"/>
        <v>2.5623921232876703</v>
      </c>
    </row>
    <row r="153" spans="1:45" ht="14.25" customHeight="1" x14ac:dyDescent="0.55000000000000004">
      <c r="A153" s="4">
        <v>21.74</v>
      </c>
      <c r="B153" s="4">
        <v>30.66</v>
      </c>
      <c r="C153" s="4">
        <v>5545.72</v>
      </c>
      <c r="D153" s="4">
        <v>7.61</v>
      </c>
      <c r="E153" s="4" t="s">
        <v>1683</v>
      </c>
      <c r="F153" s="4" t="s">
        <v>1684</v>
      </c>
      <c r="G153" s="4" t="s">
        <v>1685</v>
      </c>
      <c r="H153" s="4" t="s">
        <v>1686</v>
      </c>
      <c r="I153" s="4">
        <v>0</v>
      </c>
      <c r="J153" s="4">
        <v>958.8</v>
      </c>
      <c r="K153" s="4">
        <f t="shared" si="7"/>
        <v>65.25</v>
      </c>
      <c r="L153" s="4">
        <f t="shared" si="8"/>
        <v>65.430000000000007</v>
      </c>
      <c r="M153" s="4">
        <f t="shared" si="9"/>
        <v>-0.18000000000000682</v>
      </c>
      <c r="N153" s="4">
        <v>7.49</v>
      </c>
      <c r="O153" s="4">
        <v>89.93</v>
      </c>
      <c r="P153" s="4">
        <v>68</v>
      </c>
      <c r="Q153" s="4">
        <v>22</v>
      </c>
      <c r="R153" s="4">
        <v>8.91</v>
      </c>
      <c r="S153" s="4">
        <v>17.88</v>
      </c>
      <c r="T153" s="4">
        <v>3.86</v>
      </c>
      <c r="U153" s="4">
        <v>5.78</v>
      </c>
      <c r="V153" s="4">
        <v>3549.26</v>
      </c>
      <c r="W153" s="4">
        <v>1058.19</v>
      </c>
      <c r="X153" s="4">
        <v>1250.6300000000001</v>
      </c>
      <c r="Y153" s="4">
        <v>757.56</v>
      </c>
      <c r="Z153" s="4">
        <v>6.48</v>
      </c>
      <c r="AA153" s="4">
        <v>1.62</v>
      </c>
      <c r="AB153" s="4">
        <v>4.3600000000000003</v>
      </c>
      <c r="AC153" s="4">
        <v>69.760000000000005</v>
      </c>
      <c r="AD153" s="4">
        <v>680</v>
      </c>
      <c r="AE153" s="4">
        <v>5900</v>
      </c>
      <c r="AF153" s="4">
        <v>80.47</v>
      </c>
      <c r="AG153" s="4">
        <v>0.59</v>
      </c>
      <c r="AH153" s="4">
        <v>16.82</v>
      </c>
      <c r="AI153" s="4">
        <v>46.82</v>
      </c>
      <c r="AJ153" s="4">
        <v>60</v>
      </c>
      <c r="AK153" s="4">
        <v>9</v>
      </c>
      <c r="AL153" s="4">
        <v>9</v>
      </c>
      <c r="AM153" s="4">
        <v>0.67</v>
      </c>
      <c r="AN153" s="4">
        <v>408</v>
      </c>
      <c r="AO153" s="4">
        <v>414.04</v>
      </c>
      <c r="AP153" s="4">
        <v>327766.87</v>
      </c>
      <c r="AQ153" s="4">
        <v>184442.71</v>
      </c>
      <c r="AR153" s="4" t="s">
        <v>675</v>
      </c>
      <c r="AS153" s="5">
        <f t="shared" si="0"/>
        <v>8.1806027397260284</v>
      </c>
    </row>
    <row r="154" spans="1:45" ht="14.25" customHeight="1" x14ac:dyDescent="0.55000000000000004">
      <c r="A154" s="4">
        <v>22.31</v>
      </c>
      <c r="B154" s="4">
        <v>31.25</v>
      </c>
      <c r="C154" s="4">
        <v>5554.54</v>
      </c>
      <c r="D154" s="4">
        <v>7.6</v>
      </c>
      <c r="E154" s="4" t="s">
        <v>1687</v>
      </c>
      <c r="F154" s="4" t="s">
        <v>1688</v>
      </c>
      <c r="G154" s="4" t="s">
        <v>1617</v>
      </c>
      <c r="H154" s="4" t="s">
        <v>1689</v>
      </c>
      <c r="I154" s="4">
        <v>0</v>
      </c>
      <c r="J154" s="4">
        <v>909.75</v>
      </c>
      <c r="K154" s="4">
        <f t="shared" si="7"/>
        <v>61.319999999999993</v>
      </c>
      <c r="L154" s="4">
        <f t="shared" si="8"/>
        <v>62.17</v>
      </c>
      <c r="M154" s="4">
        <f t="shared" si="9"/>
        <v>-0.85000000000000853</v>
      </c>
      <c r="N154" s="4">
        <v>7.47</v>
      </c>
      <c r="O154" s="4">
        <v>89.93</v>
      </c>
      <c r="P154" s="4">
        <v>79</v>
      </c>
      <c r="Q154" s="4">
        <v>21.5</v>
      </c>
      <c r="R154" s="4">
        <v>8.9499999999999993</v>
      </c>
      <c r="S154" s="4">
        <v>18.84</v>
      </c>
      <c r="T154" s="4">
        <v>3.47</v>
      </c>
      <c r="U154" s="4">
        <v>6.11</v>
      </c>
      <c r="V154" s="4">
        <v>3554.91</v>
      </c>
      <c r="W154" s="4">
        <v>1062.46</v>
      </c>
      <c r="X154" s="4">
        <v>1276.55</v>
      </c>
      <c r="Y154" s="4">
        <v>765.35</v>
      </c>
      <c r="Z154" s="4">
        <v>8.39</v>
      </c>
      <c r="AA154" s="4">
        <v>1.64</v>
      </c>
      <c r="AB154" s="4">
        <v>4.33</v>
      </c>
      <c r="AC154" s="4">
        <v>72.069999999999993</v>
      </c>
      <c r="AD154" s="4">
        <v>680</v>
      </c>
      <c r="AE154" s="4">
        <v>5900</v>
      </c>
      <c r="AF154" s="4">
        <v>80.75</v>
      </c>
      <c r="AG154" s="4">
        <v>0.59</v>
      </c>
      <c r="AH154" s="4">
        <v>15.82</v>
      </c>
      <c r="AI154" s="4">
        <v>64.44</v>
      </c>
      <c r="AJ154" s="4">
        <v>60</v>
      </c>
      <c r="AK154" s="4">
        <v>9</v>
      </c>
      <c r="AL154" s="4">
        <v>9</v>
      </c>
      <c r="AM154" s="4">
        <v>0.49</v>
      </c>
      <c r="AN154" s="4">
        <v>408</v>
      </c>
      <c r="AO154" s="4">
        <v>412.39</v>
      </c>
      <c r="AP154" s="4">
        <v>292573.11</v>
      </c>
      <c r="AQ154" s="4">
        <v>273154.05</v>
      </c>
      <c r="AR154" s="4" t="s">
        <v>679</v>
      </c>
      <c r="AS154" s="5">
        <f t="shared" si="0"/>
        <v>1.1083938356164382</v>
      </c>
    </row>
    <row r="155" spans="1:45" ht="14.25" customHeight="1" x14ac:dyDescent="0.55000000000000004">
      <c r="A155" s="4">
        <v>21.84</v>
      </c>
      <c r="B155" s="4">
        <v>30.8</v>
      </c>
      <c r="C155" s="4">
        <v>5546.62</v>
      </c>
      <c r="D155" s="4">
        <v>7.61</v>
      </c>
      <c r="E155" s="4" t="s">
        <v>1690</v>
      </c>
      <c r="F155" s="4" t="s">
        <v>1691</v>
      </c>
      <c r="G155" s="4" t="s">
        <v>1137</v>
      </c>
      <c r="H155" s="4" t="s">
        <v>1692</v>
      </c>
      <c r="I155" s="4">
        <v>0</v>
      </c>
      <c r="J155" s="4">
        <v>967.78</v>
      </c>
      <c r="K155" s="4">
        <f t="shared" si="7"/>
        <v>66.19</v>
      </c>
      <c r="L155" s="4">
        <f t="shared" si="8"/>
        <v>66.400000000000006</v>
      </c>
      <c r="M155" s="4">
        <f t="shared" si="9"/>
        <v>-0.21000000000000796</v>
      </c>
      <c r="N155" s="4">
        <v>7.5</v>
      </c>
      <c r="O155" s="4">
        <v>90</v>
      </c>
      <c r="P155" s="4">
        <v>73</v>
      </c>
      <c r="Q155" s="4">
        <v>21.8</v>
      </c>
      <c r="R155" s="4">
        <v>8.9499999999999993</v>
      </c>
      <c r="S155" s="4">
        <v>18.350000000000001</v>
      </c>
      <c r="T155" s="4">
        <v>3.49</v>
      </c>
      <c r="U155" s="4">
        <v>5.73</v>
      </c>
      <c r="V155" s="4">
        <v>3549.84</v>
      </c>
      <c r="W155" s="4">
        <v>1057.79</v>
      </c>
      <c r="X155" s="4">
        <v>1245.81</v>
      </c>
      <c r="Y155" s="4">
        <v>756.26</v>
      </c>
      <c r="Z155" s="4">
        <v>6.48</v>
      </c>
      <c r="AA155" s="4">
        <v>1.63</v>
      </c>
      <c r="AB155" s="4">
        <v>4.3600000000000003</v>
      </c>
      <c r="AC155" s="4">
        <v>71.930000000000007</v>
      </c>
      <c r="AD155" s="4">
        <v>680</v>
      </c>
      <c r="AE155" s="4">
        <v>5900</v>
      </c>
      <c r="AF155" s="4">
        <v>80.819999999999993</v>
      </c>
      <c r="AG155" s="4">
        <v>0.59</v>
      </c>
      <c r="AH155" s="4">
        <v>17.079999999999998</v>
      </c>
      <c r="AI155" s="4">
        <v>46.13</v>
      </c>
      <c r="AJ155" s="4">
        <v>60</v>
      </c>
      <c r="AK155" s="4">
        <v>9</v>
      </c>
      <c r="AL155" s="4">
        <v>9</v>
      </c>
      <c r="AM155" s="4">
        <v>0.68</v>
      </c>
      <c r="AN155" s="4">
        <v>408</v>
      </c>
      <c r="AO155" s="4">
        <v>414.13</v>
      </c>
      <c r="AP155" s="4">
        <v>330448.26</v>
      </c>
      <c r="AQ155" s="4">
        <v>190508.62</v>
      </c>
      <c r="AR155" s="4" t="s">
        <v>683</v>
      </c>
      <c r="AS155" s="5">
        <f t="shared" si="0"/>
        <v>7.987422374429225</v>
      </c>
    </row>
    <row r="156" spans="1:45" ht="14.25" customHeight="1" x14ac:dyDescent="0.55000000000000004">
      <c r="A156" s="4">
        <v>22.38</v>
      </c>
      <c r="B156" s="4">
        <v>31.32</v>
      </c>
      <c r="C156" s="4">
        <v>5553.21</v>
      </c>
      <c r="D156" s="4">
        <v>7.61</v>
      </c>
      <c r="E156" s="4" t="s">
        <v>1693</v>
      </c>
      <c r="F156" s="4" t="s">
        <v>1694</v>
      </c>
      <c r="G156" s="4" t="s">
        <v>1695</v>
      </c>
      <c r="H156" s="4" t="s">
        <v>1696</v>
      </c>
      <c r="I156" s="4">
        <v>0</v>
      </c>
      <c r="J156" s="4">
        <v>919.3</v>
      </c>
      <c r="K156" s="4">
        <f t="shared" si="7"/>
        <v>63.12</v>
      </c>
      <c r="L156" s="4">
        <f t="shared" si="8"/>
        <v>65.12</v>
      </c>
      <c r="M156" s="4">
        <f t="shared" si="9"/>
        <v>-2.0000000000000071</v>
      </c>
      <c r="N156" s="4">
        <v>7.49</v>
      </c>
      <c r="O156" s="4">
        <v>89.99</v>
      </c>
      <c r="P156" s="4">
        <v>76</v>
      </c>
      <c r="Q156" s="4">
        <v>21.8</v>
      </c>
      <c r="R156" s="4">
        <v>8.94</v>
      </c>
      <c r="S156" s="4">
        <v>18.739999999999998</v>
      </c>
      <c r="T156" s="4">
        <v>3.64</v>
      </c>
      <c r="U156" s="4">
        <v>6.04</v>
      </c>
      <c r="V156" s="4">
        <v>3554.06</v>
      </c>
      <c r="W156" s="4">
        <v>1062.56</v>
      </c>
      <c r="X156" s="4">
        <v>1277.79</v>
      </c>
      <c r="Y156" s="4">
        <v>765.88</v>
      </c>
      <c r="Z156" s="4">
        <v>6.78</v>
      </c>
      <c r="AA156" s="4">
        <v>1.65</v>
      </c>
      <c r="AB156" s="4">
        <v>4.3099999999999996</v>
      </c>
      <c r="AC156" s="4">
        <v>71.05</v>
      </c>
      <c r="AD156" s="4">
        <v>680</v>
      </c>
      <c r="AE156" s="4">
        <v>5900</v>
      </c>
      <c r="AF156" s="4">
        <v>80.7</v>
      </c>
      <c r="AG156" s="4">
        <v>0.59</v>
      </c>
      <c r="AH156" s="4">
        <v>16.010000000000002</v>
      </c>
      <c r="AI156" s="4">
        <v>50.65</v>
      </c>
      <c r="AJ156" s="4">
        <v>60</v>
      </c>
      <c r="AK156" s="4">
        <v>9</v>
      </c>
      <c r="AL156" s="4">
        <v>9</v>
      </c>
      <c r="AM156" s="4">
        <v>0.62</v>
      </c>
      <c r="AN156" s="4">
        <v>408</v>
      </c>
      <c r="AO156" s="4">
        <v>413.58</v>
      </c>
      <c r="AP156" s="4">
        <v>300336.5</v>
      </c>
      <c r="AQ156" s="4">
        <v>206517.48</v>
      </c>
      <c r="AR156" s="4" t="s">
        <v>687</v>
      </c>
      <c r="AS156" s="5">
        <f t="shared" si="0"/>
        <v>5.354966894977168</v>
      </c>
    </row>
    <row r="157" spans="1:45" ht="14.25" customHeight="1" x14ac:dyDescent="0.55000000000000004">
      <c r="A157" s="4">
        <v>22.54</v>
      </c>
      <c r="B157" s="4">
        <v>31.49</v>
      </c>
      <c r="C157" s="4">
        <v>5560.7</v>
      </c>
      <c r="D157" s="4">
        <v>7.6</v>
      </c>
      <c r="E157" s="4" t="s">
        <v>1697</v>
      </c>
      <c r="F157" s="4" t="s">
        <v>1698</v>
      </c>
      <c r="G157" s="4" t="s">
        <v>1176</v>
      </c>
      <c r="H157" s="4" t="s">
        <v>1699</v>
      </c>
      <c r="I157" s="4">
        <v>0</v>
      </c>
      <c r="J157" s="4">
        <v>902.08</v>
      </c>
      <c r="K157" s="4">
        <f t="shared" si="7"/>
        <v>59.349999999999994</v>
      </c>
      <c r="L157" s="4">
        <f t="shared" si="8"/>
        <v>64.44</v>
      </c>
      <c r="M157" s="4">
        <f t="shared" si="9"/>
        <v>-5.0900000000000034</v>
      </c>
      <c r="N157" s="4">
        <v>7.46</v>
      </c>
      <c r="O157" s="4">
        <v>89.92</v>
      </c>
      <c r="P157" s="4">
        <v>84</v>
      </c>
      <c r="Q157" s="4">
        <v>21.2</v>
      </c>
      <c r="R157" s="4">
        <v>8.9499999999999993</v>
      </c>
      <c r="S157" s="4">
        <v>19.190000000000001</v>
      </c>
      <c r="T157" s="4">
        <v>3.35</v>
      </c>
      <c r="U157" s="4">
        <v>6.16</v>
      </c>
      <c r="V157" s="4">
        <v>3558.85</v>
      </c>
      <c r="W157" s="4">
        <v>1063.73</v>
      </c>
      <c r="X157" s="4">
        <v>1279.5</v>
      </c>
      <c r="Y157" s="4">
        <v>766.51</v>
      </c>
      <c r="Z157" s="4">
        <v>5.99</v>
      </c>
      <c r="AA157" s="4">
        <v>1.64</v>
      </c>
      <c r="AB157" s="4">
        <v>4.32</v>
      </c>
      <c r="AC157" s="4">
        <v>72.77</v>
      </c>
      <c r="AD157" s="4">
        <v>680</v>
      </c>
      <c r="AE157" s="4">
        <v>5900</v>
      </c>
      <c r="AF157" s="4">
        <v>80.78</v>
      </c>
      <c r="AG157" s="4">
        <v>0.59</v>
      </c>
      <c r="AH157" s="4">
        <v>15.64</v>
      </c>
      <c r="AI157" s="4">
        <v>47.53</v>
      </c>
      <c r="AJ157" s="4">
        <v>60</v>
      </c>
      <c r="AK157" s="4">
        <v>9</v>
      </c>
      <c r="AL157" s="4">
        <v>9</v>
      </c>
      <c r="AM157" s="4">
        <v>0.66</v>
      </c>
      <c r="AN157" s="4">
        <v>408</v>
      </c>
      <c r="AO157" s="4">
        <v>413.95</v>
      </c>
      <c r="AP157" s="4">
        <v>272090.2</v>
      </c>
      <c r="AQ157" s="4">
        <v>181075.41</v>
      </c>
      <c r="AR157" s="4" t="s">
        <v>692</v>
      </c>
      <c r="AS157" s="5">
        <f t="shared" si="0"/>
        <v>5.1949081050228312</v>
      </c>
    </row>
    <row r="158" spans="1:45" ht="14.25" customHeight="1" x14ac:dyDescent="0.55000000000000004">
      <c r="A158" s="4">
        <v>20.22</v>
      </c>
      <c r="B158" s="4">
        <v>28.82</v>
      </c>
      <c r="C158" s="4">
        <v>5723.31</v>
      </c>
      <c r="D158" s="4">
        <v>7.59</v>
      </c>
      <c r="E158" s="4" t="s">
        <v>1700</v>
      </c>
      <c r="F158" s="4" t="s">
        <v>1641</v>
      </c>
      <c r="G158" s="4" t="s">
        <v>320</v>
      </c>
      <c r="H158" s="4" t="s">
        <v>1701</v>
      </c>
      <c r="I158" s="4">
        <v>0</v>
      </c>
      <c r="J158" s="4">
        <v>1037.3900000000001</v>
      </c>
      <c r="K158" s="4">
        <f t="shared" si="7"/>
        <v>66.47</v>
      </c>
      <c r="L158" s="4">
        <f t="shared" si="8"/>
        <v>66.47</v>
      </c>
      <c r="M158" s="4">
        <f t="shared" si="9"/>
        <v>0</v>
      </c>
      <c r="N158" s="4">
        <v>7.49</v>
      </c>
      <c r="O158" s="4">
        <v>88.92</v>
      </c>
      <c r="P158" s="4">
        <v>64</v>
      </c>
      <c r="Q158" s="4">
        <v>19.2</v>
      </c>
      <c r="R158" s="4">
        <v>8.6</v>
      </c>
      <c r="S158" s="4">
        <v>14.79</v>
      </c>
      <c r="T158" s="4">
        <v>5.43</v>
      </c>
      <c r="U158" s="4">
        <v>5.52</v>
      </c>
      <c r="V158" s="4">
        <v>3662.92</v>
      </c>
      <c r="W158" s="4">
        <v>1085.01</v>
      </c>
      <c r="X158" s="4">
        <v>1231.9000000000001</v>
      </c>
      <c r="Y158" s="4">
        <v>764.56</v>
      </c>
      <c r="Z158" s="4">
        <v>13.3</v>
      </c>
      <c r="AA158" s="4">
        <v>1.58</v>
      </c>
      <c r="AB158" s="4">
        <v>4.43</v>
      </c>
      <c r="AC158" s="4">
        <v>61.3</v>
      </c>
      <c r="AD158" s="4">
        <v>680</v>
      </c>
      <c r="AE158" s="4">
        <v>5900</v>
      </c>
      <c r="AF158" s="4">
        <v>77.64</v>
      </c>
      <c r="AG158" s="4">
        <v>0.59</v>
      </c>
      <c r="AH158" s="4">
        <v>17.190000000000001</v>
      </c>
      <c r="AI158" s="4">
        <v>94.31</v>
      </c>
      <c r="AJ158" s="4">
        <v>60</v>
      </c>
      <c r="AK158" s="4">
        <v>9</v>
      </c>
      <c r="AL158" s="4">
        <v>9</v>
      </c>
      <c r="AM158" s="4">
        <v>0.33</v>
      </c>
      <c r="AN158" s="4">
        <v>408</v>
      </c>
      <c r="AO158" s="4">
        <v>411</v>
      </c>
      <c r="AP158" s="4">
        <v>279667.09999999998</v>
      </c>
      <c r="AQ158" s="4">
        <v>279667.09999999998</v>
      </c>
      <c r="AR158" s="4" t="s">
        <v>697</v>
      </c>
      <c r="AS158" s="5">
        <f t="shared" si="0"/>
        <v>0</v>
      </c>
    </row>
    <row r="159" spans="1:45" ht="14.25" customHeight="1" x14ac:dyDescent="0.55000000000000004">
      <c r="A159" s="4">
        <v>21.27</v>
      </c>
      <c r="B159" s="4">
        <v>29.87</v>
      </c>
      <c r="C159" s="4">
        <v>5661.41</v>
      </c>
      <c r="D159" s="4">
        <v>7.61</v>
      </c>
      <c r="E159" s="4" t="s">
        <v>1702</v>
      </c>
      <c r="F159" s="4" t="s">
        <v>1635</v>
      </c>
      <c r="G159" s="4" t="s">
        <v>1624</v>
      </c>
      <c r="H159" s="4" t="s">
        <v>1701</v>
      </c>
      <c r="I159" s="4">
        <v>0</v>
      </c>
      <c r="J159" s="4">
        <v>963.03</v>
      </c>
      <c r="K159" s="4">
        <f t="shared" si="7"/>
        <v>60.23</v>
      </c>
      <c r="L159" s="4">
        <f t="shared" si="8"/>
        <v>60.23</v>
      </c>
      <c r="M159" s="4">
        <f t="shared" si="9"/>
        <v>0</v>
      </c>
      <c r="N159" s="4">
        <v>7.46</v>
      </c>
      <c r="O159" s="4">
        <v>89.93</v>
      </c>
      <c r="P159" s="4">
        <v>74</v>
      </c>
      <c r="Q159" s="4">
        <v>18.8</v>
      </c>
      <c r="R159" s="4">
        <v>8.6</v>
      </c>
      <c r="S159" s="4">
        <v>15.65</v>
      </c>
      <c r="T159" s="4">
        <v>5.62</v>
      </c>
      <c r="U159" s="4">
        <v>5.88</v>
      </c>
      <c r="V159" s="4">
        <v>3623.3</v>
      </c>
      <c r="W159" s="4">
        <v>1077.1500000000001</v>
      </c>
      <c r="X159" s="4">
        <v>1253.68</v>
      </c>
      <c r="Y159" s="4">
        <v>766.07</v>
      </c>
      <c r="Z159" s="4">
        <v>12.05</v>
      </c>
      <c r="AA159" s="4">
        <v>1.62</v>
      </c>
      <c r="AB159" s="4">
        <v>4.37</v>
      </c>
      <c r="AC159" s="4">
        <v>60.48</v>
      </c>
      <c r="AD159" s="4">
        <v>680</v>
      </c>
      <c r="AE159" s="4">
        <v>5900</v>
      </c>
      <c r="AF159" s="4">
        <v>77.62</v>
      </c>
      <c r="AG159" s="4">
        <v>0.59</v>
      </c>
      <c r="AH159" s="4">
        <v>15.91</v>
      </c>
      <c r="AI159" s="4">
        <v>94.29</v>
      </c>
      <c r="AJ159" s="4">
        <v>60</v>
      </c>
      <c r="AK159" s="4">
        <v>9</v>
      </c>
      <c r="AL159" s="4">
        <v>9</v>
      </c>
      <c r="AM159" s="4">
        <v>0.33</v>
      </c>
      <c r="AN159" s="4">
        <v>408</v>
      </c>
      <c r="AO159" s="4">
        <v>411</v>
      </c>
      <c r="AP159" s="4">
        <v>274384.49</v>
      </c>
      <c r="AQ159" s="4">
        <v>274384.49</v>
      </c>
      <c r="AR159" s="4" t="s">
        <v>702</v>
      </c>
      <c r="AS159" s="5">
        <f t="shared" si="0"/>
        <v>0</v>
      </c>
    </row>
    <row r="160" spans="1:45" ht="14.25" customHeight="1" x14ac:dyDescent="0.55000000000000004">
      <c r="A160" s="4">
        <v>22.3</v>
      </c>
      <c r="B160" s="4">
        <v>30.75</v>
      </c>
      <c r="C160" s="4">
        <v>5612.7</v>
      </c>
      <c r="D160" s="4">
        <v>7.6</v>
      </c>
      <c r="E160" s="4" t="s">
        <v>1703</v>
      </c>
      <c r="F160" s="4" t="s">
        <v>1704</v>
      </c>
      <c r="G160" s="4" t="s">
        <v>273</v>
      </c>
      <c r="H160" s="4" t="s">
        <v>1705</v>
      </c>
      <c r="I160" s="4">
        <v>0</v>
      </c>
      <c r="J160" s="4">
        <v>1042.2</v>
      </c>
      <c r="K160" s="4">
        <f t="shared" si="7"/>
        <v>65.98</v>
      </c>
      <c r="L160" s="4">
        <f t="shared" si="8"/>
        <v>70.53</v>
      </c>
      <c r="M160" s="4">
        <f t="shared" si="9"/>
        <v>-4.5499999999999972</v>
      </c>
      <c r="N160" s="4">
        <v>7.48</v>
      </c>
      <c r="O160" s="4">
        <v>90.12</v>
      </c>
      <c r="P160" s="4">
        <v>68</v>
      </c>
      <c r="Q160" s="4">
        <v>22</v>
      </c>
      <c r="R160" s="4">
        <v>8.4499999999999993</v>
      </c>
      <c r="S160" s="4">
        <v>17.88</v>
      </c>
      <c r="T160" s="4">
        <v>4.42</v>
      </c>
      <c r="U160" s="4">
        <v>5.39</v>
      </c>
      <c r="V160" s="4">
        <v>3592.13</v>
      </c>
      <c r="W160" s="4">
        <v>1063.4000000000001</v>
      </c>
      <c r="X160" s="4">
        <v>1203</v>
      </c>
      <c r="Y160" s="4">
        <v>748.24</v>
      </c>
      <c r="Z160" s="4">
        <v>5.61</v>
      </c>
      <c r="AA160" s="4">
        <v>1.61</v>
      </c>
      <c r="AB160" s="4">
        <v>4.38</v>
      </c>
      <c r="AC160" s="4">
        <v>65.63</v>
      </c>
      <c r="AD160" s="4">
        <v>680</v>
      </c>
      <c r="AE160" s="4">
        <v>5900</v>
      </c>
      <c r="AF160" s="4">
        <v>76.260000000000005</v>
      </c>
      <c r="AG160" s="4">
        <v>0.59</v>
      </c>
      <c r="AH160" s="4">
        <v>17.39</v>
      </c>
      <c r="AI160" s="4">
        <v>40.090000000000003</v>
      </c>
      <c r="AJ160" s="4">
        <v>60</v>
      </c>
      <c r="AK160" s="4">
        <v>9</v>
      </c>
      <c r="AL160" s="4">
        <v>9</v>
      </c>
      <c r="AM160" s="4">
        <v>0.78</v>
      </c>
      <c r="AN160" s="4">
        <v>408</v>
      </c>
      <c r="AO160" s="4">
        <v>415.05</v>
      </c>
      <c r="AP160" s="4">
        <v>301820.31</v>
      </c>
      <c r="AQ160" s="4">
        <v>214479.08</v>
      </c>
      <c r="AR160" s="4" t="s">
        <v>707</v>
      </c>
      <c r="AS160" s="5">
        <f t="shared" si="0"/>
        <v>4.9852300228310504</v>
      </c>
    </row>
    <row r="161" spans="1:45" ht="14.25" customHeight="1" x14ac:dyDescent="0.55000000000000004">
      <c r="A161" s="4">
        <v>22.76</v>
      </c>
      <c r="B161" s="4">
        <v>31.25</v>
      </c>
      <c r="C161" s="4">
        <v>5640.88</v>
      </c>
      <c r="D161" s="4">
        <v>7.61</v>
      </c>
      <c r="E161" s="4" t="s">
        <v>1706</v>
      </c>
      <c r="F161" s="4" t="s">
        <v>1707</v>
      </c>
      <c r="G161" s="4" t="s">
        <v>61</v>
      </c>
      <c r="H161" s="4" t="s">
        <v>1708</v>
      </c>
      <c r="I161" s="4">
        <v>0</v>
      </c>
      <c r="J161" s="4">
        <v>910.07</v>
      </c>
      <c r="K161" s="4">
        <f t="shared" si="7"/>
        <v>53.11</v>
      </c>
      <c r="L161" s="4">
        <f t="shared" si="8"/>
        <v>56.86</v>
      </c>
      <c r="M161" s="4">
        <f t="shared" si="9"/>
        <v>-3.75</v>
      </c>
      <c r="N161" s="4">
        <v>7.41</v>
      </c>
      <c r="O161" s="4">
        <v>89.99</v>
      </c>
      <c r="P161" s="4">
        <v>72</v>
      </c>
      <c r="Q161" s="4">
        <v>21.7</v>
      </c>
      <c r="R161" s="4">
        <v>8.49</v>
      </c>
      <c r="S161" s="4">
        <v>18.13</v>
      </c>
      <c r="T161" s="4">
        <v>4.6399999999999997</v>
      </c>
      <c r="U161" s="4">
        <v>6.2</v>
      </c>
      <c r="V161" s="4">
        <v>3610.16</v>
      </c>
      <c r="W161" s="4">
        <v>1074.06</v>
      </c>
      <c r="X161" s="4">
        <v>1260.6600000000001</v>
      </c>
      <c r="Y161" s="4">
        <v>765.8</v>
      </c>
      <c r="Z161" s="4">
        <v>6.07</v>
      </c>
      <c r="AA161" s="4">
        <v>1.65</v>
      </c>
      <c r="AB161" s="4">
        <v>4.3099999999999996</v>
      </c>
      <c r="AC161" s="4">
        <v>64.69</v>
      </c>
      <c r="AD161" s="4">
        <v>680</v>
      </c>
      <c r="AE161" s="4">
        <v>5900</v>
      </c>
      <c r="AF161" s="4">
        <v>76.650000000000006</v>
      </c>
      <c r="AG161" s="4">
        <v>0.59</v>
      </c>
      <c r="AH161" s="4">
        <v>14.75</v>
      </c>
      <c r="AI161" s="4">
        <v>53.88</v>
      </c>
      <c r="AJ161" s="4">
        <v>60</v>
      </c>
      <c r="AK161" s="4">
        <v>9</v>
      </c>
      <c r="AL161" s="4">
        <v>9</v>
      </c>
      <c r="AM161" s="4">
        <v>0.57999999999999996</v>
      </c>
      <c r="AN161" s="4">
        <v>408</v>
      </c>
      <c r="AO161" s="4">
        <v>413.25</v>
      </c>
      <c r="AP161" s="4">
        <v>268059.59000000003</v>
      </c>
      <c r="AQ161" s="4">
        <v>183629.44</v>
      </c>
      <c r="AR161" s="4" t="s">
        <v>712</v>
      </c>
      <c r="AS161" s="5">
        <f t="shared" si="0"/>
        <v>4.8190724885844762</v>
      </c>
    </row>
    <row r="162" spans="1:45" ht="14.25" customHeight="1" x14ac:dyDescent="0.55000000000000004">
      <c r="A162" s="4">
        <v>20.58</v>
      </c>
      <c r="B162" s="4">
        <v>29.11</v>
      </c>
      <c r="C162" s="4">
        <v>5714.82</v>
      </c>
      <c r="D162" s="4">
        <v>7.6</v>
      </c>
      <c r="E162" s="4" t="s">
        <v>1709</v>
      </c>
      <c r="F162" s="4" t="s">
        <v>1710</v>
      </c>
      <c r="G162" s="4" t="s">
        <v>396</v>
      </c>
      <c r="H162" s="4" t="s">
        <v>1711</v>
      </c>
      <c r="I162" s="4">
        <v>0</v>
      </c>
      <c r="J162" s="4">
        <v>977.23</v>
      </c>
      <c r="K162" s="4">
        <f t="shared" si="7"/>
        <v>59.55</v>
      </c>
      <c r="L162" s="4">
        <f t="shared" si="8"/>
        <v>63.64</v>
      </c>
      <c r="M162" s="4">
        <f t="shared" si="9"/>
        <v>-4.0900000000000034</v>
      </c>
      <c r="N162" s="4">
        <v>7.45</v>
      </c>
      <c r="O162" s="4">
        <v>88.66</v>
      </c>
      <c r="P162" s="4">
        <v>67</v>
      </c>
      <c r="Q162" s="4">
        <v>19.600000000000001</v>
      </c>
      <c r="R162" s="4">
        <v>8.5299999999999994</v>
      </c>
      <c r="S162" s="4">
        <v>15.53</v>
      </c>
      <c r="T162" s="4">
        <v>5.05</v>
      </c>
      <c r="U162" s="4">
        <v>5.85</v>
      </c>
      <c r="V162" s="4">
        <v>3657.49</v>
      </c>
      <c r="W162" s="4">
        <v>1085.56</v>
      </c>
      <c r="X162" s="4">
        <v>1251.3399999999999</v>
      </c>
      <c r="Y162" s="4">
        <v>769.06</v>
      </c>
      <c r="Z162" s="4">
        <v>6.55</v>
      </c>
      <c r="AA162" s="4">
        <v>1.6</v>
      </c>
      <c r="AB162" s="4">
        <v>4.4000000000000004</v>
      </c>
      <c r="AC162" s="4">
        <v>62.83</v>
      </c>
      <c r="AD162" s="4">
        <v>680</v>
      </c>
      <c r="AE162" s="4">
        <v>5900</v>
      </c>
      <c r="AF162" s="4">
        <v>77.010000000000005</v>
      </c>
      <c r="AG162" s="4">
        <v>0.59</v>
      </c>
      <c r="AH162" s="4">
        <v>15.89</v>
      </c>
      <c r="AI162" s="4">
        <v>51.83</v>
      </c>
      <c r="AJ162" s="4">
        <v>60</v>
      </c>
      <c r="AK162" s="4">
        <v>9</v>
      </c>
      <c r="AL162" s="4">
        <v>9</v>
      </c>
      <c r="AM162" s="4">
        <v>0.61</v>
      </c>
      <c r="AN162" s="4">
        <v>408</v>
      </c>
      <c r="AO162" s="4">
        <v>413.46</v>
      </c>
      <c r="AP162" s="4">
        <v>273724.21000000002</v>
      </c>
      <c r="AQ162" s="4">
        <v>250862.42</v>
      </c>
      <c r="AR162" s="4" t="s">
        <v>717</v>
      </c>
      <c r="AS162" s="5">
        <f t="shared" si="0"/>
        <v>1.3048966894977174</v>
      </c>
    </row>
    <row r="163" spans="1:45" ht="14.25" customHeight="1" x14ac:dyDescent="0.55000000000000004">
      <c r="A163" s="4">
        <v>20.28</v>
      </c>
      <c r="B163" s="4">
        <v>28.91</v>
      </c>
      <c r="C163" s="4">
        <v>5732.74</v>
      </c>
      <c r="D163" s="4">
        <v>7.6</v>
      </c>
      <c r="E163" s="4" t="s">
        <v>1712</v>
      </c>
      <c r="F163" s="4" t="s">
        <v>1713</v>
      </c>
      <c r="G163" s="4" t="s">
        <v>363</v>
      </c>
      <c r="H163" s="4" t="s">
        <v>1714</v>
      </c>
      <c r="I163" s="4">
        <v>0</v>
      </c>
      <c r="J163" s="4">
        <v>1041.1300000000001</v>
      </c>
      <c r="K163" s="4">
        <f t="shared" si="7"/>
        <v>67.52</v>
      </c>
      <c r="L163" s="4">
        <f t="shared" si="8"/>
        <v>67.7</v>
      </c>
      <c r="M163" s="4">
        <f t="shared" si="9"/>
        <v>-0.18000000000000682</v>
      </c>
      <c r="N163" s="4">
        <v>7.49</v>
      </c>
      <c r="O163" s="4">
        <v>88.83</v>
      </c>
      <c r="P163" s="4">
        <v>56</v>
      </c>
      <c r="Q163" s="4">
        <v>20.2</v>
      </c>
      <c r="R163" s="4">
        <v>8.6300000000000008</v>
      </c>
      <c r="S163" s="4">
        <v>14.67</v>
      </c>
      <c r="T163" s="4">
        <v>5.61</v>
      </c>
      <c r="U163" s="4">
        <v>5.51</v>
      </c>
      <c r="V163" s="4">
        <v>3668.96</v>
      </c>
      <c r="W163" s="4">
        <v>1086.82</v>
      </c>
      <c r="X163" s="4">
        <v>1233.79</v>
      </c>
      <c r="Y163" s="4">
        <v>765.84</v>
      </c>
      <c r="Z163" s="4">
        <v>6.98</v>
      </c>
      <c r="AA163" s="4">
        <v>1.59</v>
      </c>
      <c r="AB163" s="4">
        <v>4.42</v>
      </c>
      <c r="AC163" s="4">
        <v>60.62</v>
      </c>
      <c r="AD163" s="4">
        <v>680</v>
      </c>
      <c r="AE163" s="4">
        <v>5900</v>
      </c>
      <c r="AF163" s="4">
        <v>77.930000000000007</v>
      </c>
      <c r="AG163" s="4">
        <v>0.59</v>
      </c>
      <c r="AH163" s="4">
        <v>17.29</v>
      </c>
      <c r="AI163" s="4">
        <v>48.73</v>
      </c>
      <c r="AJ163" s="4">
        <v>60</v>
      </c>
      <c r="AK163" s="4">
        <v>9</v>
      </c>
      <c r="AL163" s="4">
        <v>9</v>
      </c>
      <c r="AM163" s="4">
        <v>0.64</v>
      </c>
      <c r="AN163" s="4">
        <v>408</v>
      </c>
      <c r="AO163" s="4">
        <v>413.8</v>
      </c>
      <c r="AP163" s="4">
        <v>326822.40000000002</v>
      </c>
      <c r="AQ163" s="4">
        <v>272318.39</v>
      </c>
      <c r="AR163" s="4" t="s">
        <v>721</v>
      </c>
      <c r="AS163" s="5">
        <f t="shared" si="0"/>
        <v>3.1109594748858451</v>
      </c>
    </row>
    <row r="164" spans="1:45" ht="14.25" customHeight="1" x14ac:dyDescent="0.55000000000000004">
      <c r="A164" s="4">
        <v>20.96</v>
      </c>
      <c r="B164" s="4">
        <v>29.48</v>
      </c>
      <c r="C164" s="4">
        <v>5671.91</v>
      </c>
      <c r="D164" s="4">
        <v>7.59</v>
      </c>
      <c r="E164" s="4" t="s">
        <v>1715</v>
      </c>
      <c r="F164" s="4" t="s">
        <v>1716</v>
      </c>
      <c r="G164" s="4" t="s">
        <v>1717</v>
      </c>
      <c r="H164" s="4" t="s">
        <v>1718</v>
      </c>
      <c r="I164" s="4">
        <v>0</v>
      </c>
      <c r="J164" s="4">
        <v>949.48</v>
      </c>
      <c r="K164" s="4">
        <f t="shared" si="7"/>
        <v>57.46</v>
      </c>
      <c r="L164" s="4">
        <f t="shared" si="8"/>
        <v>62.949999999999996</v>
      </c>
      <c r="M164" s="4">
        <f t="shared" si="9"/>
        <v>-5.4899999999999949</v>
      </c>
      <c r="N164" s="4">
        <v>7.44</v>
      </c>
      <c r="O164" s="4">
        <v>90.07</v>
      </c>
      <c r="P164" s="4">
        <v>80</v>
      </c>
      <c r="Q164" s="4">
        <v>18.8</v>
      </c>
      <c r="R164" s="4">
        <v>8.52</v>
      </c>
      <c r="S164" s="4">
        <v>16.38</v>
      </c>
      <c r="T164" s="4">
        <v>4.58</v>
      </c>
      <c r="U164" s="4">
        <v>5.97</v>
      </c>
      <c r="V164" s="4">
        <v>3630.02</v>
      </c>
      <c r="W164" s="4">
        <v>1078.92</v>
      </c>
      <c r="X164" s="4">
        <v>1255.71</v>
      </c>
      <c r="Y164" s="4">
        <v>767.1</v>
      </c>
      <c r="Z164" s="4">
        <v>5.48</v>
      </c>
      <c r="AA164" s="4">
        <v>1.6</v>
      </c>
      <c r="AB164" s="4">
        <v>4.3899999999999997</v>
      </c>
      <c r="AC164" s="4">
        <v>65.05</v>
      </c>
      <c r="AD164" s="4">
        <v>680</v>
      </c>
      <c r="AE164" s="4">
        <v>5900</v>
      </c>
      <c r="AF164" s="4">
        <v>76.91</v>
      </c>
      <c r="AG164" s="4">
        <v>0.59</v>
      </c>
      <c r="AH164" s="4">
        <v>15.46</v>
      </c>
      <c r="AI164" s="4">
        <v>44.91</v>
      </c>
      <c r="AJ164" s="4">
        <v>60</v>
      </c>
      <c r="AK164" s="4">
        <v>9</v>
      </c>
      <c r="AL164" s="4">
        <v>9</v>
      </c>
      <c r="AM164" s="4">
        <v>0.7</v>
      </c>
      <c r="AN164" s="4">
        <v>408</v>
      </c>
      <c r="AO164" s="4">
        <v>414.3</v>
      </c>
      <c r="AP164" s="4">
        <v>271708.17</v>
      </c>
      <c r="AQ164" s="4">
        <v>170769.99</v>
      </c>
      <c r="AR164" s="4" t="s">
        <v>726</v>
      </c>
      <c r="AS164" s="5">
        <f t="shared" si="0"/>
        <v>5.761311643835616</v>
      </c>
    </row>
    <row r="165" spans="1:45" ht="14.25" customHeight="1" x14ac:dyDescent="0.55000000000000004">
      <c r="A165" s="4">
        <v>21.85</v>
      </c>
      <c r="B165" s="4">
        <v>30.45</v>
      </c>
      <c r="C165" s="4">
        <v>5659.47</v>
      </c>
      <c r="D165" s="4">
        <v>7.6</v>
      </c>
      <c r="E165" s="4" t="s">
        <v>1719</v>
      </c>
      <c r="F165" s="4" t="s">
        <v>1720</v>
      </c>
      <c r="G165" s="4" t="s">
        <v>1721</v>
      </c>
      <c r="H165" s="4" t="s">
        <v>1722</v>
      </c>
      <c r="I165" s="4">
        <v>0</v>
      </c>
      <c r="J165" s="4">
        <v>937.07</v>
      </c>
      <c r="K165" s="4">
        <f t="shared" si="7"/>
        <v>56.38</v>
      </c>
      <c r="L165" s="4">
        <f t="shared" si="8"/>
        <v>60.72</v>
      </c>
      <c r="M165" s="4">
        <f t="shared" si="9"/>
        <v>-4.3399999999999963</v>
      </c>
      <c r="N165" s="4">
        <v>7.43</v>
      </c>
      <c r="O165" s="4">
        <v>90.22</v>
      </c>
      <c r="P165" s="4">
        <v>81</v>
      </c>
      <c r="Q165" s="4">
        <v>18.8</v>
      </c>
      <c r="R165" s="4">
        <v>8.6</v>
      </c>
      <c r="S165" s="4">
        <v>16.5</v>
      </c>
      <c r="T165" s="4">
        <v>5.35</v>
      </c>
      <c r="U165" s="4">
        <v>6.04</v>
      </c>
      <c r="V165" s="4">
        <v>3622.06</v>
      </c>
      <c r="W165" s="4">
        <v>1077.07</v>
      </c>
      <c r="X165" s="4">
        <v>1258.01</v>
      </c>
      <c r="Y165" s="4">
        <v>766.77</v>
      </c>
      <c r="Z165" s="4">
        <v>6.04</v>
      </c>
      <c r="AA165" s="4">
        <v>1.62</v>
      </c>
      <c r="AB165" s="4">
        <v>4.3499999999999996</v>
      </c>
      <c r="AC165" s="4">
        <v>61.66</v>
      </c>
      <c r="AD165" s="4">
        <v>680</v>
      </c>
      <c r="AE165" s="4">
        <v>5900</v>
      </c>
      <c r="AF165" s="4">
        <v>77.67</v>
      </c>
      <c r="AG165" s="4">
        <v>0.59</v>
      </c>
      <c r="AH165" s="4">
        <v>15.41</v>
      </c>
      <c r="AI165" s="4">
        <v>50.45</v>
      </c>
      <c r="AJ165" s="4">
        <v>60</v>
      </c>
      <c r="AK165" s="4">
        <v>9</v>
      </c>
      <c r="AL165" s="4">
        <v>9</v>
      </c>
      <c r="AM165" s="4">
        <v>0.62</v>
      </c>
      <c r="AN165" s="4">
        <v>408</v>
      </c>
      <c r="AO165" s="4">
        <v>413.6</v>
      </c>
      <c r="AP165" s="4">
        <v>270994.44</v>
      </c>
      <c r="AQ165" s="4">
        <v>198160.06</v>
      </c>
      <c r="AR165" s="4" t="s">
        <v>730</v>
      </c>
      <c r="AS165" s="5">
        <f t="shared" si="0"/>
        <v>4.1572134703196353</v>
      </c>
    </row>
    <row r="166" spans="1:45" ht="14.25" customHeight="1" x14ac:dyDescent="0.55000000000000004">
      <c r="A166" s="4">
        <v>20.66</v>
      </c>
      <c r="B166" s="4">
        <v>29.21</v>
      </c>
      <c r="C166" s="4">
        <v>5724.53</v>
      </c>
      <c r="D166" s="4">
        <v>7.61</v>
      </c>
      <c r="E166" s="4" t="s">
        <v>1723</v>
      </c>
      <c r="F166" s="4" t="s">
        <v>1724</v>
      </c>
      <c r="G166" s="4" t="s">
        <v>353</v>
      </c>
      <c r="H166" s="4" t="s">
        <v>1725</v>
      </c>
      <c r="I166" s="4">
        <v>0</v>
      </c>
      <c r="J166" s="4">
        <v>973.48</v>
      </c>
      <c r="K166" s="4">
        <f t="shared" si="7"/>
        <v>59.79</v>
      </c>
      <c r="L166" s="4">
        <f t="shared" si="8"/>
        <v>65.75</v>
      </c>
      <c r="M166" s="4">
        <f t="shared" si="9"/>
        <v>-5.9600000000000009</v>
      </c>
      <c r="N166" s="4">
        <v>7.45</v>
      </c>
      <c r="O166" s="4">
        <v>89.02</v>
      </c>
      <c r="P166" s="4">
        <v>64</v>
      </c>
      <c r="Q166" s="4">
        <v>19.600000000000001</v>
      </c>
      <c r="R166" s="4">
        <v>8.56</v>
      </c>
      <c r="S166" s="4">
        <v>15.16</v>
      </c>
      <c r="T166" s="4">
        <v>5.5</v>
      </c>
      <c r="U166" s="4">
        <v>5.88</v>
      </c>
      <c r="V166" s="4">
        <v>3663.7</v>
      </c>
      <c r="W166" s="4">
        <v>1087.79</v>
      </c>
      <c r="X166" s="4">
        <v>1256.6500000000001</v>
      </c>
      <c r="Y166" s="4">
        <v>771.3</v>
      </c>
      <c r="Z166" s="4">
        <v>5.46</v>
      </c>
      <c r="AA166" s="4">
        <v>1.62</v>
      </c>
      <c r="AB166" s="4">
        <v>4.37</v>
      </c>
      <c r="AC166" s="4">
        <v>60.86</v>
      </c>
      <c r="AD166" s="4">
        <v>680</v>
      </c>
      <c r="AE166" s="4">
        <v>5900</v>
      </c>
      <c r="AF166" s="4">
        <v>77.23</v>
      </c>
      <c r="AG166" s="4">
        <v>0.59</v>
      </c>
      <c r="AH166" s="4">
        <v>15.82</v>
      </c>
      <c r="AI166" s="4">
        <v>43</v>
      </c>
      <c r="AJ166" s="4">
        <v>60</v>
      </c>
      <c r="AK166" s="4">
        <v>9</v>
      </c>
      <c r="AL166" s="4">
        <v>9</v>
      </c>
      <c r="AM166" s="4">
        <v>0.73</v>
      </c>
      <c r="AN166" s="4">
        <v>408</v>
      </c>
      <c r="AO166" s="4">
        <v>414.58</v>
      </c>
      <c r="AP166" s="4">
        <v>274514.63</v>
      </c>
      <c r="AQ166" s="4">
        <v>184496.56</v>
      </c>
      <c r="AR166" s="4" t="s">
        <v>735</v>
      </c>
      <c r="AS166" s="5">
        <f t="shared" si="0"/>
        <v>5.1380176940639277</v>
      </c>
    </row>
    <row r="167" spans="1:45" ht="14.25" customHeight="1" x14ac:dyDescent="0.55000000000000004">
      <c r="A167" s="4">
        <v>22.57</v>
      </c>
      <c r="B167" s="4">
        <v>31.13</v>
      </c>
      <c r="C167" s="4">
        <v>5635.17</v>
      </c>
      <c r="D167" s="4">
        <v>7.6</v>
      </c>
      <c r="E167" s="4" t="s">
        <v>1726</v>
      </c>
      <c r="F167" s="4" t="s">
        <v>1635</v>
      </c>
      <c r="G167" s="4" t="s">
        <v>1727</v>
      </c>
      <c r="H167" s="4" t="s">
        <v>1701</v>
      </c>
      <c r="I167" s="4">
        <v>0</v>
      </c>
      <c r="J167" s="4">
        <v>1065.68</v>
      </c>
      <c r="K167" s="4">
        <f t="shared" si="7"/>
        <v>70.78</v>
      </c>
      <c r="L167" s="4">
        <f t="shared" si="8"/>
        <v>70.78</v>
      </c>
      <c r="M167" s="4">
        <f t="shared" si="9"/>
        <v>0</v>
      </c>
      <c r="N167" s="4">
        <v>7.51</v>
      </c>
      <c r="O167" s="4">
        <v>89.86</v>
      </c>
      <c r="P167" s="4">
        <v>71</v>
      </c>
      <c r="Q167" s="4">
        <v>21.6</v>
      </c>
      <c r="R167" s="4">
        <v>8.5500000000000007</v>
      </c>
      <c r="S167" s="4">
        <v>17.899999999999999</v>
      </c>
      <c r="T167" s="4">
        <v>4.67</v>
      </c>
      <c r="U167" s="4">
        <v>5.29</v>
      </c>
      <c r="V167" s="4">
        <v>3606.51</v>
      </c>
      <c r="W167" s="4">
        <v>1067.53</v>
      </c>
      <c r="X167" s="4">
        <v>1204.97</v>
      </c>
      <c r="Y167" s="4">
        <v>750.74</v>
      </c>
      <c r="Z167" s="4">
        <v>14.16</v>
      </c>
      <c r="AA167" s="4">
        <v>1.62</v>
      </c>
      <c r="AB167" s="4">
        <v>4.3600000000000003</v>
      </c>
      <c r="AC167" s="4">
        <v>64.680000000000007</v>
      </c>
      <c r="AD167" s="4">
        <v>680</v>
      </c>
      <c r="AE167" s="4">
        <v>5900</v>
      </c>
      <c r="AF167" s="4">
        <v>77.22</v>
      </c>
      <c r="AG167" s="4">
        <v>0.59</v>
      </c>
      <c r="AH167" s="4">
        <v>18.010000000000002</v>
      </c>
      <c r="AI167" s="4">
        <v>94.26</v>
      </c>
      <c r="AJ167" s="4">
        <v>60</v>
      </c>
      <c r="AK167" s="4">
        <v>9</v>
      </c>
      <c r="AL167" s="4">
        <v>9</v>
      </c>
      <c r="AM167" s="4">
        <v>0.33</v>
      </c>
      <c r="AN167" s="4">
        <v>408</v>
      </c>
      <c r="AO167" s="4">
        <v>411</v>
      </c>
      <c r="AP167" s="4">
        <v>283605.61</v>
      </c>
      <c r="AQ167" s="4">
        <v>283605.61</v>
      </c>
      <c r="AR167" s="4" t="s">
        <v>739</v>
      </c>
      <c r="AS167" s="5">
        <f t="shared" si="0"/>
        <v>0</v>
      </c>
    </row>
    <row r="168" spans="1:45" ht="14.25" customHeight="1" x14ac:dyDescent="0.55000000000000004">
      <c r="A168" s="4">
        <v>22.43</v>
      </c>
      <c r="B168" s="4">
        <v>31.01</v>
      </c>
      <c r="C168" s="4">
        <v>5631.5</v>
      </c>
      <c r="D168" s="4">
        <v>7.59</v>
      </c>
      <c r="E168" s="4" t="s">
        <v>1728</v>
      </c>
      <c r="F168" s="4" t="s">
        <v>1729</v>
      </c>
      <c r="G168" s="4" t="s">
        <v>1730</v>
      </c>
      <c r="H168" s="4" t="s">
        <v>1731</v>
      </c>
      <c r="I168" s="4">
        <v>0</v>
      </c>
      <c r="J168" s="4">
        <v>1099.8699999999999</v>
      </c>
      <c r="K168" s="4">
        <f t="shared" si="7"/>
        <v>75.599999999999994</v>
      </c>
      <c r="L168" s="4">
        <f t="shared" si="8"/>
        <v>82.97</v>
      </c>
      <c r="M168" s="4">
        <f t="shared" si="9"/>
        <v>-7.3700000000000045</v>
      </c>
      <c r="N168" s="4">
        <v>7.53</v>
      </c>
      <c r="O168" s="4">
        <v>89.75</v>
      </c>
      <c r="P168" s="4">
        <v>64</v>
      </c>
      <c r="Q168" s="4">
        <v>22.1</v>
      </c>
      <c r="R168" s="4">
        <v>8.58</v>
      </c>
      <c r="S168" s="4">
        <v>17.440000000000001</v>
      </c>
      <c r="T168" s="4">
        <v>4.99</v>
      </c>
      <c r="U168" s="4">
        <v>5.12</v>
      </c>
      <c r="V168" s="4">
        <v>3604.16</v>
      </c>
      <c r="W168" s="4">
        <v>1065.6099999999999</v>
      </c>
      <c r="X168" s="4">
        <v>1192.5999999999999</v>
      </c>
      <c r="Y168" s="4">
        <v>747.11</v>
      </c>
      <c r="Z168" s="4">
        <v>5.47</v>
      </c>
      <c r="AA168" s="4">
        <v>1.6</v>
      </c>
      <c r="AB168" s="4">
        <v>4.38</v>
      </c>
      <c r="AC168" s="4">
        <v>63.22</v>
      </c>
      <c r="AD168" s="4">
        <v>680</v>
      </c>
      <c r="AE168" s="4">
        <v>5900</v>
      </c>
      <c r="AF168" s="4">
        <v>77.48</v>
      </c>
      <c r="AG168" s="4">
        <v>0.59</v>
      </c>
      <c r="AH168" s="4">
        <v>18.8</v>
      </c>
      <c r="AI168" s="4">
        <v>34.08</v>
      </c>
      <c r="AJ168" s="4">
        <v>60</v>
      </c>
      <c r="AK168" s="4">
        <v>9</v>
      </c>
      <c r="AL168" s="4">
        <v>9</v>
      </c>
      <c r="AM168" s="4">
        <v>0.92</v>
      </c>
      <c r="AN168" s="4">
        <v>408</v>
      </c>
      <c r="AO168" s="4">
        <v>416.3</v>
      </c>
      <c r="AP168" s="4">
        <v>302704.64000000001</v>
      </c>
      <c r="AQ168" s="4">
        <v>265225.48</v>
      </c>
      <c r="AR168" s="4" t="s">
        <v>1732</v>
      </c>
      <c r="AS168" s="5">
        <f t="shared" si="0"/>
        <v>2.1392214611872165</v>
      </c>
    </row>
    <row r="169" spans="1:45" ht="14.25" customHeight="1" x14ac:dyDescent="0.55000000000000004">
      <c r="A169" s="4">
        <v>22.21</v>
      </c>
      <c r="B169" s="4">
        <v>30.69</v>
      </c>
      <c r="C169" s="4">
        <v>5570.43</v>
      </c>
      <c r="D169" s="4">
        <v>7.6</v>
      </c>
      <c r="E169" s="4" t="s">
        <v>1733</v>
      </c>
      <c r="F169" s="4" t="s">
        <v>1635</v>
      </c>
      <c r="G169" s="4" t="s">
        <v>70</v>
      </c>
      <c r="H169" s="4" t="s">
        <v>711</v>
      </c>
      <c r="I169" s="4">
        <v>0</v>
      </c>
      <c r="J169" s="4">
        <v>965.92</v>
      </c>
      <c r="K169" s="4">
        <f t="shared" si="7"/>
        <v>57.89</v>
      </c>
      <c r="L169" s="4">
        <f t="shared" si="8"/>
        <v>57.89</v>
      </c>
      <c r="M169" s="4">
        <f t="shared" si="9"/>
        <v>0</v>
      </c>
      <c r="N169" s="4">
        <v>7.44</v>
      </c>
      <c r="O169" s="4">
        <v>90.12</v>
      </c>
      <c r="P169" s="4">
        <v>70</v>
      </c>
      <c r="Q169" s="4">
        <v>22.2</v>
      </c>
      <c r="R169" s="4">
        <v>8.49</v>
      </c>
      <c r="S169" s="4">
        <v>18.329999999999998</v>
      </c>
      <c r="T169" s="4">
        <v>3.88</v>
      </c>
      <c r="U169" s="4">
        <v>5.77</v>
      </c>
      <c r="V169" s="4">
        <v>3565.07</v>
      </c>
      <c r="W169" s="4">
        <v>1058.24</v>
      </c>
      <c r="X169" s="4">
        <v>1221.5999999999999</v>
      </c>
      <c r="Y169" s="4">
        <v>750</v>
      </c>
      <c r="Z169" s="4">
        <v>28.31</v>
      </c>
      <c r="AA169" s="4">
        <v>1.61</v>
      </c>
      <c r="AB169" s="4">
        <v>4.38</v>
      </c>
      <c r="AC169" s="4">
        <v>68.66</v>
      </c>
      <c r="AD169" s="4">
        <v>680</v>
      </c>
      <c r="AE169" s="4">
        <v>5900</v>
      </c>
      <c r="AF169" s="4">
        <v>76.64</v>
      </c>
      <c r="AG169" s="4">
        <v>0.59</v>
      </c>
      <c r="AH169" s="4">
        <v>16.079999999999998</v>
      </c>
      <c r="AI169" s="4">
        <v>230.47</v>
      </c>
      <c r="AJ169" s="4">
        <v>60</v>
      </c>
      <c r="AK169" s="4">
        <v>9</v>
      </c>
      <c r="AL169" s="4">
        <v>9</v>
      </c>
      <c r="AM169" s="4">
        <v>0.14000000000000001</v>
      </c>
      <c r="AN169" s="4">
        <v>408</v>
      </c>
      <c r="AO169" s="4">
        <v>409.23</v>
      </c>
      <c r="AP169" s="4">
        <v>242277.96</v>
      </c>
      <c r="AQ169" s="4">
        <v>242277.96</v>
      </c>
      <c r="AR169" s="4" t="s">
        <v>743</v>
      </c>
      <c r="AS169" s="5">
        <f t="shared" si="0"/>
        <v>0</v>
      </c>
    </row>
    <row r="170" spans="1:45" ht="14.25" customHeight="1" x14ac:dyDescent="0.55000000000000004">
      <c r="A170" s="4">
        <v>22.15</v>
      </c>
      <c r="B170" s="4">
        <v>30.69</v>
      </c>
      <c r="C170" s="4">
        <v>5615.38</v>
      </c>
      <c r="D170" s="4">
        <v>7.6</v>
      </c>
      <c r="E170" s="4" t="s">
        <v>1734</v>
      </c>
      <c r="F170" s="4" t="s">
        <v>763</v>
      </c>
      <c r="G170" s="4" t="s">
        <v>1735</v>
      </c>
      <c r="H170" s="4" t="s">
        <v>1736</v>
      </c>
      <c r="I170" s="4">
        <v>0</v>
      </c>
      <c r="J170" s="4">
        <v>1013.52</v>
      </c>
      <c r="K170" s="4">
        <f t="shared" si="7"/>
        <v>63.65</v>
      </c>
      <c r="L170" s="4">
        <f t="shared" si="8"/>
        <v>66.38</v>
      </c>
      <c r="M170" s="4">
        <f t="shared" si="9"/>
        <v>-2.7299999999999969</v>
      </c>
      <c r="N170" s="4">
        <v>7.47</v>
      </c>
      <c r="O170" s="4">
        <v>90.21</v>
      </c>
      <c r="P170" s="4">
        <v>62</v>
      </c>
      <c r="Q170" s="4">
        <v>22.4</v>
      </c>
      <c r="R170" s="4">
        <v>8.5399999999999991</v>
      </c>
      <c r="S170" s="4">
        <v>17.440000000000001</v>
      </c>
      <c r="T170" s="4">
        <v>4.71</v>
      </c>
      <c r="U170" s="4">
        <v>5.54</v>
      </c>
      <c r="V170" s="4">
        <v>3593.84</v>
      </c>
      <c r="W170" s="4">
        <v>1065.3699999999999</v>
      </c>
      <c r="X170" s="4">
        <v>1216.76</v>
      </c>
      <c r="Y170" s="4">
        <v>752.29</v>
      </c>
      <c r="Z170" s="4">
        <v>5.75</v>
      </c>
      <c r="AA170" s="4">
        <v>1.62</v>
      </c>
      <c r="AB170" s="4">
        <v>4.37</v>
      </c>
      <c r="AC170" s="4">
        <v>64.44</v>
      </c>
      <c r="AD170" s="4">
        <v>680</v>
      </c>
      <c r="AE170" s="4">
        <v>5900</v>
      </c>
      <c r="AF170" s="4">
        <v>77.09</v>
      </c>
      <c r="AG170" s="4">
        <v>0.59</v>
      </c>
      <c r="AH170" s="4">
        <v>16.98</v>
      </c>
      <c r="AI170" s="4">
        <v>42.6</v>
      </c>
      <c r="AJ170" s="4">
        <v>60</v>
      </c>
      <c r="AK170" s="4">
        <v>9</v>
      </c>
      <c r="AL170" s="4">
        <v>9</v>
      </c>
      <c r="AM170" s="4">
        <v>0.74</v>
      </c>
      <c r="AN170" s="4">
        <v>408</v>
      </c>
      <c r="AO170" s="4">
        <v>414.64</v>
      </c>
      <c r="AP170" s="4">
        <v>311278.37</v>
      </c>
      <c r="AQ170" s="4">
        <v>190161.97</v>
      </c>
      <c r="AR170" s="4" t="s">
        <v>747</v>
      </c>
      <c r="AS170" s="5">
        <f t="shared" si="0"/>
        <v>6.9130365296803653</v>
      </c>
    </row>
    <row r="171" spans="1:45" ht="14.25" customHeight="1" x14ac:dyDescent="0.55000000000000004">
      <c r="A171" s="4">
        <v>20.72</v>
      </c>
      <c r="B171" s="4">
        <v>29.26</v>
      </c>
      <c r="C171" s="4">
        <v>5669.63</v>
      </c>
      <c r="D171" s="4">
        <v>7.61</v>
      </c>
      <c r="E171" s="4" t="s">
        <v>1737</v>
      </c>
      <c r="F171" s="4" t="s">
        <v>1738</v>
      </c>
      <c r="G171" s="4" t="s">
        <v>911</v>
      </c>
      <c r="H171" s="4" t="s">
        <v>1739</v>
      </c>
      <c r="I171" s="4">
        <v>0</v>
      </c>
      <c r="J171" s="4">
        <v>992.96</v>
      </c>
      <c r="K171" s="4">
        <f t="shared" si="7"/>
        <v>61.36</v>
      </c>
      <c r="L171" s="4">
        <f t="shared" si="8"/>
        <v>67.62</v>
      </c>
      <c r="M171" s="4">
        <f t="shared" si="9"/>
        <v>-6.2600000000000051</v>
      </c>
      <c r="N171" s="4">
        <v>7.46</v>
      </c>
      <c r="O171" s="4">
        <v>89.95</v>
      </c>
      <c r="P171" s="4">
        <v>73</v>
      </c>
      <c r="Q171" s="4">
        <v>18.600000000000001</v>
      </c>
      <c r="R171" s="4">
        <v>8.5399999999999991</v>
      </c>
      <c r="S171" s="4">
        <v>15.34</v>
      </c>
      <c r="T171" s="4">
        <v>5.38</v>
      </c>
      <c r="U171" s="4">
        <v>5.71</v>
      </c>
      <c r="V171" s="4">
        <v>3628.56</v>
      </c>
      <c r="W171" s="4">
        <v>1076.49</v>
      </c>
      <c r="X171" s="4">
        <v>1236.3800000000001</v>
      </c>
      <c r="Y171" s="4">
        <v>761.67</v>
      </c>
      <c r="Z171" s="4">
        <v>5.44</v>
      </c>
      <c r="AA171" s="4">
        <v>1.6</v>
      </c>
      <c r="AB171" s="4">
        <v>4.4000000000000004</v>
      </c>
      <c r="AC171" s="4">
        <v>61.33</v>
      </c>
      <c r="AD171" s="4">
        <v>680</v>
      </c>
      <c r="AE171" s="4">
        <v>5900</v>
      </c>
      <c r="AF171" s="4">
        <v>77.06</v>
      </c>
      <c r="AG171" s="4">
        <v>0.59</v>
      </c>
      <c r="AH171" s="4">
        <v>16.36</v>
      </c>
      <c r="AI171" s="4">
        <v>41.81</v>
      </c>
      <c r="AJ171" s="4">
        <v>60</v>
      </c>
      <c r="AK171" s="4">
        <v>9</v>
      </c>
      <c r="AL171" s="4">
        <v>9</v>
      </c>
      <c r="AM171" s="4">
        <v>0.75</v>
      </c>
      <c r="AN171" s="4">
        <v>408</v>
      </c>
      <c r="AO171" s="4">
        <v>414.76</v>
      </c>
      <c r="AP171" s="4">
        <v>275163.03000000003</v>
      </c>
      <c r="AQ171" s="4">
        <v>194705.07</v>
      </c>
      <c r="AR171" s="4" t="s">
        <v>752</v>
      </c>
      <c r="AS171" s="5">
        <f t="shared" si="0"/>
        <v>4.5923493150684944</v>
      </c>
    </row>
    <row r="172" spans="1:45" ht="14.25" customHeight="1" x14ac:dyDescent="0.55000000000000004">
      <c r="A172" s="4">
        <v>22.78</v>
      </c>
      <c r="B172" s="4">
        <v>31.23</v>
      </c>
      <c r="C172" s="4">
        <v>5615.41</v>
      </c>
      <c r="D172" s="4">
        <v>7.6</v>
      </c>
      <c r="E172" s="4" t="s">
        <v>1740</v>
      </c>
      <c r="F172" s="4" t="s">
        <v>1741</v>
      </c>
      <c r="G172" s="4" t="s">
        <v>1742</v>
      </c>
      <c r="H172" s="4" t="s">
        <v>1743</v>
      </c>
      <c r="I172" s="4">
        <v>0</v>
      </c>
      <c r="J172" s="4">
        <v>985.87</v>
      </c>
      <c r="K172" s="4">
        <f t="shared" si="7"/>
        <v>59.94</v>
      </c>
      <c r="L172" s="4">
        <f t="shared" si="8"/>
        <v>66.48</v>
      </c>
      <c r="M172" s="4">
        <f t="shared" si="9"/>
        <v>-6.5400000000000063</v>
      </c>
      <c r="N172" s="4">
        <v>7.45</v>
      </c>
      <c r="O172" s="4">
        <v>89.86</v>
      </c>
      <c r="P172" s="4">
        <v>75</v>
      </c>
      <c r="Q172" s="4">
        <v>21.6</v>
      </c>
      <c r="R172" s="4">
        <v>8.4499999999999993</v>
      </c>
      <c r="S172" s="4">
        <v>18.420000000000002</v>
      </c>
      <c r="T172" s="4">
        <v>4.3499999999999996</v>
      </c>
      <c r="U172" s="4">
        <v>5.7</v>
      </c>
      <c r="V172" s="4">
        <v>3593.86</v>
      </c>
      <c r="W172" s="4">
        <v>1066.05</v>
      </c>
      <c r="X172" s="4">
        <v>1224.22</v>
      </c>
      <c r="Y172" s="4">
        <v>754.14</v>
      </c>
      <c r="Z172" s="4">
        <v>5.41</v>
      </c>
      <c r="AA172" s="4">
        <v>1.63</v>
      </c>
      <c r="AB172" s="4">
        <v>4.34</v>
      </c>
      <c r="AC172" s="4">
        <v>66</v>
      </c>
      <c r="AD172" s="4">
        <v>680</v>
      </c>
      <c r="AE172" s="4">
        <v>5900</v>
      </c>
      <c r="AF172" s="4">
        <v>76.290000000000006</v>
      </c>
      <c r="AG172" s="4">
        <v>0.59</v>
      </c>
      <c r="AH172" s="4">
        <v>16.25</v>
      </c>
      <c r="AI172" s="4">
        <v>42.53</v>
      </c>
      <c r="AJ172" s="4">
        <v>60</v>
      </c>
      <c r="AK172" s="4">
        <v>9</v>
      </c>
      <c r="AL172" s="4">
        <v>9</v>
      </c>
      <c r="AM172" s="4">
        <v>0.74</v>
      </c>
      <c r="AN172" s="4">
        <v>408</v>
      </c>
      <c r="AO172" s="4">
        <v>414.65</v>
      </c>
      <c r="AP172" s="4">
        <v>269450.48</v>
      </c>
      <c r="AQ172" s="4">
        <v>193263.01</v>
      </c>
      <c r="AR172" s="4" t="s">
        <v>757</v>
      </c>
      <c r="AS172" s="5">
        <f t="shared" si="0"/>
        <v>4.348599885844747</v>
      </c>
    </row>
    <row r="173" spans="1:45" ht="14.25" customHeight="1" x14ac:dyDescent="0.55000000000000004">
      <c r="A173" s="4">
        <v>20.28</v>
      </c>
      <c r="B173" s="4">
        <v>28.88</v>
      </c>
      <c r="C173" s="4">
        <v>5729.33</v>
      </c>
      <c r="D173" s="4">
        <v>7.6</v>
      </c>
      <c r="E173" s="4" t="s">
        <v>1744</v>
      </c>
      <c r="F173" s="4" t="s">
        <v>1745</v>
      </c>
      <c r="G173" s="4" t="s">
        <v>1746</v>
      </c>
      <c r="H173" s="4" t="s">
        <v>1747</v>
      </c>
      <c r="I173" s="4">
        <v>0</v>
      </c>
      <c r="J173" s="4">
        <v>1047.23</v>
      </c>
      <c r="K173" s="4">
        <f t="shared" si="7"/>
        <v>68.33</v>
      </c>
      <c r="L173" s="4">
        <f t="shared" si="8"/>
        <v>68.05</v>
      </c>
      <c r="M173" s="4">
        <f t="shared" si="9"/>
        <v>0.28000000000000114</v>
      </c>
      <c r="N173" s="4">
        <v>7.5</v>
      </c>
      <c r="O173" s="4">
        <v>89</v>
      </c>
      <c r="P173" s="4">
        <v>62</v>
      </c>
      <c r="Q173" s="4">
        <v>19.8</v>
      </c>
      <c r="R173" s="4">
        <v>8.61</v>
      </c>
      <c r="S173" s="4">
        <v>15.09</v>
      </c>
      <c r="T173" s="4">
        <v>5.19</v>
      </c>
      <c r="U173" s="4">
        <v>5.47</v>
      </c>
      <c r="V173" s="4">
        <v>3666.77</v>
      </c>
      <c r="W173" s="4">
        <v>1086.08</v>
      </c>
      <c r="X173" s="4">
        <v>1231.8399999999999</v>
      </c>
      <c r="Y173" s="4">
        <v>765.11</v>
      </c>
      <c r="Z173" s="4">
        <v>7.03</v>
      </c>
      <c r="AA173" s="4">
        <v>1.59</v>
      </c>
      <c r="AB173" s="4">
        <v>4.42</v>
      </c>
      <c r="AC173" s="4">
        <v>62.38</v>
      </c>
      <c r="AD173" s="4">
        <v>680</v>
      </c>
      <c r="AE173" s="4">
        <v>5900</v>
      </c>
      <c r="AF173" s="4">
        <v>77.69</v>
      </c>
      <c r="AG173" s="4">
        <v>0.59</v>
      </c>
      <c r="AH173" s="4">
        <v>17.38</v>
      </c>
      <c r="AI173" s="4">
        <v>48.47</v>
      </c>
      <c r="AJ173" s="4">
        <v>60</v>
      </c>
      <c r="AK173" s="4">
        <v>9</v>
      </c>
      <c r="AL173" s="4">
        <v>9</v>
      </c>
      <c r="AM173" s="4">
        <v>0.65</v>
      </c>
      <c r="AN173" s="4">
        <v>408</v>
      </c>
      <c r="AO173" s="4">
        <v>413.83</v>
      </c>
      <c r="AP173" s="4">
        <v>331979.12</v>
      </c>
      <c r="AQ173" s="4">
        <v>273548.48</v>
      </c>
      <c r="AR173" s="4" t="s">
        <v>761</v>
      </c>
      <c r="AS173" s="5">
        <f t="shared" si="0"/>
        <v>3.3350821917808227</v>
      </c>
    </row>
    <row r="174" spans="1:45" ht="14.25" customHeight="1" x14ac:dyDescent="0.55000000000000004">
      <c r="A174" s="4">
        <v>20.66</v>
      </c>
      <c r="B174" s="4">
        <v>29.14</v>
      </c>
      <c r="C174" s="4">
        <v>5718.18</v>
      </c>
      <c r="D174" s="4">
        <v>7.6</v>
      </c>
      <c r="E174" s="4" t="s">
        <v>1748</v>
      </c>
      <c r="F174" s="4" t="s">
        <v>782</v>
      </c>
      <c r="G174" s="4" t="s">
        <v>1749</v>
      </c>
      <c r="H174" s="4" t="s">
        <v>1701</v>
      </c>
      <c r="I174" s="4">
        <v>0</v>
      </c>
      <c r="J174" s="4">
        <v>1015.88</v>
      </c>
      <c r="K174" s="4">
        <f t="shared" si="7"/>
        <v>64.69</v>
      </c>
      <c r="L174" s="4">
        <f t="shared" si="8"/>
        <v>64.69</v>
      </c>
      <c r="M174" s="4">
        <f t="shared" si="9"/>
        <v>0</v>
      </c>
      <c r="N174" s="4">
        <v>7.48</v>
      </c>
      <c r="O174" s="4">
        <v>88.99</v>
      </c>
      <c r="P174" s="4">
        <v>73</v>
      </c>
      <c r="Q174" s="4">
        <v>18.7</v>
      </c>
      <c r="R174" s="4">
        <v>8.48</v>
      </c>
      <c r="S174" s="4">
        <v>15.43</v>
      </c>
      <c r="T174" s="4">
        <v>5.23</v>
      </c>
      <c r="U174" s="4">
        <v>5.63</v>
      </c>
      <c r="V174" s="4">
        <v>3659.63</v>
      </c>
      <c r="W174" s="4">
        <v>1085.24</v>
      </c>
      <c r="X174" s="4">
        <v>1241.49</v>
      </c>
      <c r="Y174" s="4">
        <v>766.89</v>
      </c>
      <c r="Z174" s="4">
        <v>12.94</v>
      </c>
      <c r="AA174" s="4">
        <v>1.6</v>
      </c>
      <c r="AB174" s="4">
        <v>4.4000000000000004</v>
      </c>
      <c r="AC174" s="4">
        <v>61.87</v>
      </c>
      <c r="AD174" s="4">
        <v>680</v>
      </c>
      <c r="AE174" s="4">
        <v>5900</v>
      </c>
      <c r="AF174" s="4">
        <v>76.58</v>
      </c>
      <c r="AG174" s="4">
        <v>0.59</v>
      </c>
      <c r="AH174" s="4">
        <v>16.54</v>
      </c>
      <c r="AI174" s="4">
        <v>94.24</v>
      </c>
      <c r="AJ174" s="4">
        <v>60</v>
      </c>
      <c r="AK174" s="4">
        <v>9</v>
      </c>
      <c r="AL174" s="4">
        <v>9</v>
      </c>
      <c r="AM174" s="4">
        <v>0.33</v>
      </c>
      <c r="AN174" s="4">
        <v>408</v>
      </c>
      <c r="AO174" s="4">
        <v>411</v>
      </c>
      <c r="AP174" s="4">
        <v>277815.99</v>
      </c>
      <c r="AQ174" s="4">
        <v>277815.99</v>
      </c>
      <c r="AR174" s="4" t="s">
        <v>766</v>
      </c>
      <c r="AS174" s="5">
        <f t="shared" si="0"/>
        <v>0</v>
      </c>
    </row>
    <row r="175" spans="1:45" ht="14.25" customHeight="1" x14ac:dyDescent="0.55000000000000004">
      <c r="A175" s="4">
        <v>20.37</v>
      </c>
      <c r="B175" s="4">
        <v>29.1</v>
      </c>
      <c r="C175" s="4">
        <v>5712.7</v>
      </c>
      <c r="D175" s="4">
        <v>7.6</v>
      </c>
      <c r="E175" s="4" t="s">
        <v>1750</v>
      </c>
      <c r="F175" s="4" t="s">
        <v>1751</v>
      </c>
      <c r="G175" s="4" t="s">
        <v>911</v>
      </c>
      <c r="H175" s="4" t="s">
        <v>1752</v>
      </c>
      <c r="I175" s="4">
        <v>0</v>
      </c>
      <c r="J175" s="4">
        <v>1048.8499999999999</v>
      </c>
      <c r="K175" s="4">
        <f t="shared" si="7"/>
        <v>68.349999999999994</v>
      </c>
      <c r="L175" s="4">
        <f t="shared" si="8"/>
        <v>68.960000000000008</v>
      </c>
      <c r="M175" s="4">
        <f t="shared" si="9"/>
        <v>-0.61000000000001364</v>
      </c>
      <c r="N175" s="4">
        <v>7.5</v>
      </c>
      <c r="O175" s="4">
        <v>88.94</v>
      </c>
      <c r="P175" s="4">
        <v>61</v>
      </c>
      <c r="Q175" s="4">
        <v>20</v>
      </c>
      <c r="R175" s="4">
        <v>8.73</v>
      </c>
      <c r="S175" s="4">
        <v>15.14</v>
      </c>
      <c r="T175" s="4">
        <v>5.24</v>
      </c>
      <c r="U175" s="4">
        <v>5.45</v>
      </c>
      <c r="V175" s="4">
        <v>3656.13</v>
      </c>
      <c r="W175" s="4">
        <v>1082.77</v>
      </c>
      <c r="X175" s="4">
        <v>1227.01</v>
      </c>
      <c r="Y175" s="4">
        <v>762.51</v>
      </c>
      <c r="Z175" s="4">
        <v>6.44</v>
      </c>
      <c r="AA175" s="4">
        <v>1.59</v>
      </c>
      <c r="AB175" s="4">
        <v>4.42</v>
      </c>
      <c r="AC175" s="4">
        <v>62.5</v>
      </c>
      <c r="AD175" s="4">
        <v>680</v>
      </c>
      <c r="AE175" s="4">
        <v>5900</v>
      </c>
      <c r="AF175" s="4">
        <v>78.77</v>
      </c>
      <c r="AG175" s="4">
        <v>0.59</v>
      </c>
      <c r="AH175" s="4">
        <v>17.71</v>
      </c>
      <c r="AI175" s="4">
        <v>44.42</v>
      </c>
      <c r="AJ175" s="4">
        <v>60</v>
      </c>
      <c r="AK175" s="4">
        <v>9</v>
      </c>
      <c r="AL175" s="4">
        <v>9</v>
      </c>
      <c r="AM175" s="4">
        <v>0.71</v>
      </c>
      <c r="AN175" s="4">
        <v>408</v>
      </c>
      <c r="AO175" s="4">
        <v>414.37</v>
      </c>
      <c r="AP175" s="4">
        <v>332105.71999999997</v>
      </c>
      <c r="AQ175" s="4">
        <v>243182.85</v>
      </c>
      <c r="AR175" s="4" t="s">
        <v>770</v>
      </c>
      <c r="AS175" s="5">
        <f t="shared" si="0"/>
        <v>5.0755062785388105</v>
      </c>
    </row>
    <row r="176" spans="1:45" ht="14.25" customHeight="1" x14ac:dyDescent="0.55000000000000004">
      <c r="A176" s="4">
        <v>20.39</v>
      </c>
      <c r="B176" s="4">
        <v>29.08</v>
      </c>
      <c r="C176" s="4">
        <v>5722.27</v>
      </c>
      <c r="D176" s="4">
        <v>7.61</v>
      </c>
      <c r="E176" s="4" t="s">
        <v>1753</v>
      </c>
      <c r="F176" s="4" t="s">
        <v>1754</v>
      </c>
      <c r="G176" s="4" t="s">
        <v>338</v>
      </c>
      <c r="H176" s="4" t="s">
        <v>1755</v>
      </c>
      <c r="I176" s="4">
        <v>0</v>
      </c>
      <c r="J176" s="4">
        <v>1039.6400000000001</v>
      </c>
      <c r="K176" s="4">
        <f t="shared" si="7"/>
        <v>67.36</v>
      </c>
      <c r="L176" s="4">
        <f t="shared" si="8"/>
        <v>68.84</v>
      </c>
      <c r="M176" s="4">
        <f t="shared" si="9"/>
        <v>-1.480000000000004</v>
      </c>
      <c r="N176" s="4">
        <v>7.49</v>
      </c>
      <c r="O176" s="4">
        <v>89</v>
      </c>
      <c r="P176" s="4">
        <v>60</v>
      </c>
      <c r="Q176" s="4">
        <v>20.3</v>
      </c>
      <c r="R176" s="4">
        <v>8.69</v>
      </c>
      <c r="S176" s="4">
        <v>15.28</v>
      </c>
      <c r="T176" s="4">
        <v>5.1100000000000003</v>
      </c>
      <c r="U176" s="4">
        <v>5.5</v>
      </c>
      <c r="V176" s="4">
        <v>3662.25</v>
      </c>
      <c r="W176" s="4">
        <v>1084.96</v>
      </c>
      <c r="X176" s="4">
        <v>1232.56</v>
      </c>
      <c r="Y176" s="4">
        <v>764.74</v>
      </c>
      <c r="Z176" s="4">
        <v>5.87</v>
      </c>
      <c r="AA176" s="4">
        <v>1.6</v>
      </c>
      <c r="AB176" s="4">
        <v>4.41</v>
      </c>
      <c r="AC176" s="4">
        <v>62.97</v>
      </c>
      <c r="AD176" s="4">
        <v>680</v>
      </c>
      <c r="AE176" s="4">
        <v>5900</v>
      </c>
      <c r="AF176" s="4">
        <v>78.45</v>
      </c>
      <c r="AG176" s="4">
        <v>0.59</v>
      </c>
      <c r="AH176" s="4">
        <v>17.420000000000002</v>
      </c>
      <c r="AI176" s="4">
        <v>41.07</v>
      </c>
      <c r="AJ176" s="4">
        <v>60</v>
      </c>
      <c r="AK176" s="4">
        <v>9</v>
      </c>
      <c r="AL176" s="4">
        <v>9</v>
      </c>
      <c r="AM176" s="4">
        <v>0.76</v>
      </c>
      <c r="AN176" s="4">
        <v>408</v>
      </c>
      <c r="AO176" s="4">
        <v>414.88</v>
      </c>
      <c r="AP176" s="4">
        <v>331491.24</v>
      </c>
      <c r="AQ176" s="4">
        <v>199074.86</v>
      </c>
      <c r="AR176" s="4" t="s">
        <v>775</v>
      </c>
      <c r="AS176" s="5">
        <f t="shared" si="0"/>
        <v>7.5580125570776255</v>
      </c>
    </row>
    <row r="177" spans="1:45" ht="14.25" customHeight="1" x14ac:dyDescent="0.55000000000000004">
      <c r="A177" s="4">
        <v>20.38</v>
      </c>
      <c r="B177" s="4">
        <v>29.05</v>
      </c>
      <c r="C177" s="4">
        <v>5712.01</v>
      </c>
      <c r="D177" s="4">
        <v>7.59</v>
      </c>
      <c r="E177" s="4" t="s">
        <v>1756</v>
      </c>
      <c r="F177" s="4" t="s">
        <v>1757</v>
      </c>
      <c r="G177" s="4" t="s">
        <v>810</v>
      </c>
      <c r="H177" s="4" t="s">
        <v>1758</v>
      </c>
      <c r="I177" s="4">
        <v>0</v>
      </c>
      <c r="J177" s="4">
        <v>1028.3399999999999</v>
      </c>
      <c r="K177" s="4">
        <f t="shared" si="7"/>
        <v>65.95</v>
      </c>
      <c r="L177" s="4">
        <f t="shared" si="8"/>
        <v>67.149999999999991</v>
      </c>
      <c r="M177" s="4">
        <f t="shared" si="9"/>
        <v>-1.1999999999999886</v>
      </c>
      <c r="N177" s="4">
        <v>7.49</v>
      </c>
      <c r="O177" s="4">
        <v>89.05</v>
      </c>
      <c r="P177" s="4">
        <v>61</v>
      </c>
      <c r="Q177" s="4">
        <v>20.2</v>
      </c>
      <c r="R177" s="4">
        <v>8.67</v>
      </c>
      <c r="S177" s="4">
        <v>15.32</v>
      </c>
      <c r="T177" s="4">
        <v>5.0599999999999996</v>
      </c>
      <c r="U177" s="4">
        <v>5.55</v>
      </c>
      <c r="V177" s="4">
        <v>3655.69</v>
      </c>
      <c r="W177" s="4">
        <v>1083.4000000000001</v>
      </c>
      <c r="X177" s="4">
        <v>1234.1600000000001</v>
      </c>
      <c r="Y177" s="4">
        <v>764.39</v>
      </c>
      <c r="Z177" s="4">
        <v>5.89</v>
      </c>
      <c r="AA177" s="4">
        <v>1.59</v>
      </c>
      <c r="AB177" s="4">
        <v>4.42</v>
      </c>
      <c r="AC177" s="4">
        <v>63.13</v>
      </c>
      <c r="AD177" s="4">
        <v>680</v>
      </c>
      <c r="AE177" s="4">
        <v>5900</v>
      </c>
      <c r="AF177" s="4">
        <v>78.23</v>
      </c>
      <c r="AG177" s="4">
        <v>0.59</v>
      </c>
      <c r="AH177" s="4">
        <v>17.18</v>
      </c>
      <c r="AI177" s="4">
        <v>42.11</v>
      </c>
      <c r="AJ177" s="4">
        <v>60</v>
      </c>
      <c r="AK177" s="4">
        <v>9</v>
      </c>
      <c r="AL177" s="4">
        <v>9</v>
      </c>
      <c r="AM177" s="4">
        <v>0.75</v>
      </c>
      <c r="AN177" s="4">
        <v>408</v>
      </c>
      <c r="AO177" s="4">
        <v>414.71</v>
      </c>
      <c r="AP177" s="4">
        <v>330346.59999999998</v>
      </c>
      <c r="AQ177" s="4">
        <v>191409.6</v>
      </c>
      <c r="AR177" s="4" t="s">
        <v>780</v>
      </c>
      <c r="AS177" s="5">
        <f t="shared" si="0"/>
        <v>7.9301940639269386</v>
      </c>
    </row>
    <row r="178" spans="1:45" ht="14.25" customHeight="1" x14ac:dyDescent="0.55000000000000004">
      <c r="A178" s="4">
        <v>20.73</v>
      </c>
      <c r="B178" s="4">
        <v>29.24</v>
      </c>
      <c r="C178" s="4">
        <v>5680.9</v>
      </c>
      <c r="D178" s="4">
        <v>7.6</v>
      </c>
      <c r="E178" s="4" t="s">
        <v>1759</v>
      </c>
      <c r="F178" s="4" t="s">
        <v>1760</v>
      </c>
      <c r="G178" s="4" t="s">
        <v>810</v>
      </c>
      <c r="H178" s="4" t="s">
        <v>1761</v>
      </c>
      <c r="I178" s="4">
        <v>0</v>
      </c>
      <c r="J178" s="4">
        <v>988.53</v>
      </c>
      <c r="K178" s="4">
        <f t="shared" si="7"/>
        <v>60.830000000000005</v>
      </c>
      <c r="L178" s="4">
        <f t="shared" si="8"/>
        <v>67</v>
      </c>
      <c r="M178" s="4">
        <f t="shared" si="9"/>
        <v>-6.1699999999999946</v>
      </c>
      <c r="N178" s="4">
        <v>7.46</v>
      </c>
      <c r="O178" s="4">
        <v>90.02</v>
      </c>
      <c r="P178" s="4">
        <v>73</v>
      </c>
      <c r="Q178" s="4">
        <v>19.2</v>
      </c>
      <c r="R178" s="4">
        <v>8.51</v>
      </c>
      <c r="S178" s="4">
        <v>15.9</v>
      </c>
      <c r="T178" s="4">
        <v>4.82</v>
      </c>
      <c r="U178" s="4">
        <v>5.75</v>
      </c>
      <c r="V178" s="4">
        <v>3635.78</v>
      </c>
      <c r="W178" s="4">
        <v>1078.98</v>
      </c>
      <c r="X178" s="4">
        <v>1241.83</v>
      </c>
      <c r="Y178" s="4">
        <v>764.06</v>
      </c>
      <c r="Z178" s="4">
        <v>5.45</v>
      </c>
      <c r="AA178" s="4">
        <v>1.6</v>
      </c>
      <c r="AB178" s="4">
        <v>4.4000000000000004</v>
      </c>
      <c r="AC178" s="4">
        <v>63.82</v>
      </c>
      <c r="AD178" s="4">
        <v>680</v>
      </c>
      <c r="AE178" s="4">
        <v>5900</v>
      </c>
      <c r="AF178" s="4">
        <v>76.819999999999993</v>
      </c>
      <c r="AG178" s="4">
        <v>0.59</v>
      </c>
      <c r="AH178" s="4">
        <v>16.18</v>
      </c>
      <c r="AI178" s="4">
        <v>42.19</v>
      </c>
      <c r="AJ178" s="4">
        <v>60</v>
      </c>
      <c r="AK178" s="4">
        <v>9</v>
      </c>
      <c r="AL178" s="4">
        <v>9</v>
      </c>
      <c r="AM178" s="4">
        <v>0.74</v>
      </c>
      <c r="AN178" s="4">
        <v>408</v>
      </c>
      <c r="AO178" s="4">
        <v>414.7</v>
      </c>
      <c r="AP178" s="4">
        <v>273577.92</v>
      </c>
      <c r="AQ178" s="4">
        <v>190799.23</v>
      </c>
      <c r="AR178" s="4" t="s">
        <v>785</v>
      </c>
      <c r="AS178" s="5">
        <f t="shared" si="0"/>
        <v>4.7248110730593593</v>
      </c>
    </row>
    <row r="179" spans="1:45" ht="14.25" customHeight="1" x14ac:dyDescent="0.55000000000000004">
      <c r="A179" s="4">
        <v>20.64</v>
      </c>
      <c r="B179" s="4">
        <v>29.16</v>
      </c>
      <c r="C179" s="4">
        <v>5689.67</v>
      </c>
      <c r="D179" s="4">
        <v>7.6</v>
      </c>
      <c r="E179" s="4" t="s">
        <v>1762</v>
      </c>
      <c r="F179" s="4" t="s">
        <v>1763</v>
      </c>
      <c r="G179" s="4" t="s">
        <v>338</v>
      </c>
      <c r="H179" s="4" t="s">
        <v>1764</v>
      </c>
      <c r="I179" s="4">
        <v>0</v>
      </c>
      <c r="J179" s="4">
        <v>849.14</v>
      </c>
      <c r="K179" s="4">
        <f t="shared" si="7"/>
        <v>48.98</v>
      </c>
      <c r="L179" s="4">
        <f t="shared" si="8"/>
        <v>51.97</v>
      </c>
      <c r="M179" s="4">
        <f t="shared" si="9"/>
        <v>-2.990000000000002</v>
      </c>
      <c r="N179" s="4">
        <v>7.37</v>
      </c>
      <c r="O179" s="4">
        <v>89.8</v>
      </c>
      <c r="P179" s="4">
        <v>74</v>
      </c>
      <c r="Q179" s="4">
        <v>18.399999999999999</v>
      </c>
      <c r="R179" s="4">
        <v>8.52</v>
      </c>
      <c r="S179" s="4">
        <v>15.27</v>
      </c>
      <c r="T179" s="4">
        <v>5.36</v>
      </c>
      <c r="U179" s="4">
        <v>6.7</v>
      </c>
      <c r="V179" s="4">
        <v>3641.39</v>
      </c>
      <c r="W179" s="4">
        <v>1086.29</v>
      </c>
      <c r="X179" s="4">
        <v>1300.28</v>
      </c>
      <c r="Y179" s="4">
        <v>780.06</v>
      </c>
      <c r="Z179" s="4">
        <v>6.13</v>
      </c>
      <c r="AA179" s="4">
        <v>1.62</v>
      </c>
      <c r="AB179" s="4">
        <v>4.3600000000000003</v>
      </c>
      <c r="AC179" s="4">
        <v>61.37</v>
      </c>
      <c r="AD179" s="4">
        <v>680</v>
      </c>
      <c r="AE179" s="4">
        <v>5900</v>
      </c>
      <c r="AF179" s="4">
        <v>76.94</v>
      </c>
      <c r="AG179" s="4">
        <v>0.59</v>
      </c>
      <c r="AH179" s="4">
        <v>13.5</v>
      </c>
      <c r="AI179" s="4">
        <v>58.94</v>
      </c>
      <c r="AJ179" s="4">
        <v>60</v>
      </c>
      <c r="AK179" s="4">
        <v>9</v>
      </c>
      <c r="AL179" s="4">
        <v>9</v>
      </c>
      <c r="AM179" s="4">
        <v>0.53</v>
      </c>
      <c r="AN179" s="4">
        <v>408</v>
      </c>
      <c r="AO179" s="4">
        <v>412.8</v>
      </c>
      <c r="AP179" s="4">
        <v>265609.96999999997</v>
      </c>
      <c r="AQ179" s="4">
        <v>157091.76999999999</v>
      </c>
      <c r="AR179" s="4" t="s">
        <v>790</v>
      </c>
      <c r="AS179" s="5">
        <f t="shared" si="0"/>
        <v>6.1939611872146108</v>
      </c>
    </row>
    <row r="180" spans="1:45" ht="14.25" customHeight="1" x14ac:dyDescent="0.55000000000000004">
      <c r="A180" s="4">
        <v>20.95</v>
      </c>
      <c r="B180" s="4">
        <v>29.44</v>
      </c>
      <c r="C180" s="4">
        <v>5671.27</v>
      </c>
      <c r="D180" s="4">
        <v>7.59</v>
      </c>
      <c r="E180" s="4" t="s">
        <v>1765</v>
      </c>
      <c r="F180" s="4" t="s">
        <v>1766</v>
      </c>
      <c r="G180" s="4" t="s">
        <v>406</v>
      </c>
      <c r="H180" s="4" t="s">
        <v>1767</v>
      </c>
      <c r="I180" s="4">
        <v>0</v>
      </c>
      <c r="J180" s="4">
        <v>995.7</v>
      </c>
      <c r="K180" s="4">
        <f t="shared" si="7"/>
        <v>61.66</v>
      </c>
      <c r="L180" s="4">
        <f t="shared" si="8"/>
        <v>67.990000000000009</v>
      </c>
      <c r="M180" s="4">
        <f t="shared" si="9"/>
        <v>-6.3300000000000125</v>
      </c>
      <c r="N180" s="4">
        <v>7.46</v>
      </c>
      <c r="O180" s="4">
        <v>89.96</v>
      </c>
      <c r="P180" s="4">
        <v>82</v>
      </c>
      <c r="Q180" s="4">
        <v>18.399999999999999</v>
      </c>
      <c r="R180" s="4">
        <v>8.48</v>
      </c>
      <c r="S180" s="4">
        <v>16.23</v>
      </c>
      <c r="T180" s="4">
        <v>4.72</v>
      </c>
      <c r="U180" s="4">
        <v>5.7</v>
      </c>
      <c r="V180" s="4">
        <v>3629.62</v>
      </c>
      <c r="W180" s="4">
        <v>1076.6500000000001</v>
      </c>
      <c r="X180" s="4">
        <v>1235.4100000000001</v>
      </c>
      <c r="Y180" s="4">
        <v>761.52</v>
      </c>
      <c r="Z180" s="4">
        <v>5.44</v>
      </c>
      <c r="AA180" s="4">
        <v>1.59</v>
      </c>
      <c r="AB180" s="4">
        <v>4.41</v>
      </c>
      <c r="AC180" s="4">
        <v>64.25</v>
      </c>
      <c r="AD180" s="4">
        <v>680</v>
      </c>
      <c r="AE180" s="4">
        <v>5900</v>
      </c>
      <c r="AF180" s="4">
        <v>76.58</v>
      </c>
      <c r="AG180" s="4">
        <v>0.59</v>
      </c>
      <c r="AH180" s="4">
        <v>16.309999999999999</v>
      </c>
      <c r="AI180" s="4">
        <v>41.59</v>
      </c>
      <c r="AJ180" s="4">
        <v>60</v>
      </c>
      <c r="AK180" s="4">
        <v>9</v>
      </c>
      <c r="AL180" s="4">
        <v>9</v>
      </c>
      <c r="AM180" s="4">
        <v>0.76</v>
      </c>
      <c r="AN180" s="4">
        <v>408</v>
      </c>
      <c r="AO180" s="4">
        <v>414.8</v>
      </c>
      <c r="AP180" s="4">
        <v>275620.52</v>
      </c>
      <c r="AQ180" s="4">
        <v>196672.47</v>
      </c>
      <c r="AR180" s="4" t="s">
        <v>795</v>
      </c>
      <c r="AS180" s="5">
        <f t="shared" si="0"/>
        <v>4.5061672374429236</v>
      </c>
    </row>
    <row r="181" spans="1:45" ht="14.25" customHeight="1" x14ac:dyDescent="0.55000000000000004">
      <c r="A181" s="4">
        <v>20.239999999999998</v>
      </c>
      <c r="B181" s="4">
        <v>28.86</v>
      </c>
      <c r="C181" s="4">
        <v>5739.89</v>
      </c>
      <c r="D181" s="4">
        <v>7.6</v>
      </c>
      <c r="E181" s="4" t="s">
        <v>1768</v>
      </c>
      <c r="F181" s="4" t="s">
        <v>1641</v>
      </c>
      <c r="G181" s="4" t="s">
        <v>94</v>
      </c>
      <c r="H181" s="4" t="s">
        <v>840</v>
      </c>
      <c r="I181" s="4">
        <v>0</v>
      </c>
      <c r="J181" s="4">
        <v>983.81</v>
      </c>
      <c r="K181" s="4">
        <f t="shared" si="7"/>
        <v>60.64</v>
      </c>
      <c r="L181" s="4">
        <f t="shared" si="8"/>
        <v>60.64</v>
      </c>
      <c r="M181" s="4">
        <f t="shared" si="9"/>
        <v>0</v>
      </c>
      <c r="N181" s="4">
        <v>7.46</v>
      </c>
      <c r="O181" s="4">
        <v>89.09</v>
      </c>
      <c r="P181" s="4">
        <v>62</v>
      </c>
      <c r="Q181" s="4">
        <v>19.600000000000001</v>
      </c>
      <c r="R181" s="4">
        <v>8.61</v>
      </c>
      <c r="S181" s="4">
        <v>14.9</v>
      </c>
      <c r="T181" s="4">
        <v>5.34</v>
      </c>
      <c r="U181" s="4">
        <v>5.83</v>
      </c>
      <c r="V181" s="4">
        <v>3673.53</v>
      </c>
      <c r="W181" s="4">
        <v>1090.3</v>
      </c>
      <c r="X181" s="4">
        <v>1256.04</v>
      </c>
      <c r="Y181" s="4">
        <v>772.32</v>
      </c>
      <c r="Z181" s="4">
        <v>9.5399999999999991</v>
      </c>
      <c r="AA181" s="4">
        <v>1.6</v>
      </c>
      <c r="AB181" s="4">
        <v>4.4000000000000004</v>
      </c>
      <c r="AC181" s="4">
        <v>61.72</v>
      </c>
      <c r="AD181" s="4">
        <v>680</v>
      </c>
      <c r="AE181" s="4">
        <v>5900</v>
      </c>
      <c r="AF181" s="4">
        <v>77.739999999999995</v>
      </c>
      <c r="AG181" s="4">
        <v>0.59</v>
      </c>
      <c r="AH181" s="4">
        <v>16.079999999999998</v>
      </c>
      <c r="AI181" s="4">
        <v>74.13</v>
      </c>
      <c r="AJ181" s="4">
        <v>60</v>
      </c>
      <c r="AK181" s="4">
        <v>9</v>
      </c>
      <c r="AL181" s="4">
        <v>9</v>
      </c>
      <c r="AM181" s="4">
        <v>0.42</v>
      </c>
      <c r="AN181" s="4">
        <v>408</v>
      </c>
      <c r="AO181" s="4">
        <v>411.81</v>
      </c>
      <c r="AP181" s="4">
        <v>288380.93</v>
      </c>
      <c r="AQ181" s="4">
        <v>288380.93</v>
      </c>
      <c r="AR181" s="4" t="s">
        <v>800</v>
      </c>
      <c r="AS181" s="5">
        <f t="shared" si="0"/>
        <v>0</v>
      </c>
    </row>
    <row r="182" spans="1:45" ht="14.25" customHeight="1" x14ac:dyDescent="0.55000000000000004">
      <c r="A182" s="4">
        <v>22.45</v>
      </c>
      <c r="B182" s="4">
        <v>30.91</v>
      </c>
      <c r="C182" s="4">
        <v>5594.83</v>
      </c>
      <c r="D182" s="4">
        <v>7.6</v>
      </c>
      <c r="E182" s="4" t="s">
        <v>1769</v>
      </c>
      <c r="F182" s="4" t="s">
        <v>1770</v>
      </c>
      <c r="G182" s="4" t="s">
        <v>1746</v>
      </c>
      <c r="H182" s="4" t="s">
        <v>1771</v>
      </c>
      <c r="I182" s="4">
        <v>0</v>
      </c>
      <c r="J182" s="4">
        <v>958.87</v>
      </c>
      <c r="K182" s="4">
        <f t="shared" si="7"/>
        <v>58.010000000000005</v>
      </c>
      <c r="L182" s="4">
        <f t="shared" si="8"/>
        <v>66.02</v>
      </c>
      <c r="M182" s="4">
        <f t="shared" si="9"/>
        <v>-8.0099999999999909</v>
      </c>
      <c r="N182" s="4">
        <v>7.44</v>
      </c>
      <c r="O182" s="4">
        <v>90.04</v>
      </c>
      <c r="P182" s="4">
        <v>73</v>
      </c>
      <c r="Q182" s="4">
        <v>22.1</v>
      </c>
      <c r="R182" s="4">
        <v>8.4600000000000009</v>
      </c>
      <c r="S182" s="4">
        <v>18.63</v>
      </c>
      <c r="T182" s="4">
        <v>3.82</v>
      </c>
      <c r="U182" s="4">
        <v>5.83</v>
      </c>
      <c r="V182" s="4">
        <v>3580.69</v>
      </c>
      <c r="W182" s="4">
        <v>1063.6300000000001</v>
      </c>
      <c r="X182" s="4">
        <v>1233.0999999999999</v>
      </c>
      <c r="Y182" s="4">
        <v>755.1</v>
      </c>
      <c r="Z182" s="4">
        <v>5.27</v>
      </c>
      <c r="AA182" s="4">
        <v>1.63</v>
      </c>
      <c r="AB182" s="4">
        <v>4.3499999999999996</v>
      </c>
      <c r="AC182" s="4">
        <v>68.91</v>
      </c>
      <c r="AD182" s="4">
        <v>680</v>
      </c>
      <c r="AE182" s="4">
        <v>5900</v>
      </c>
      <c r="AF182" s="4">
        <v>76.36</v>
      </c>
      <c r="AG182" s="4">
        <v>0.59</v>
      </c>
      <c r="AH182" s="4">
        <v>15.79</v>
      </c>
      <c r="AI182" s="4">
        <v>42.83</v>
      </c>
      <c r="AJ182" s="4">
        <v>60</v>
      </c>
      <c r="AK182" s="4">
        <v>9</v>
      </c>
      <c r="AL182" s="4">
        <v>9</v>
      </c>
      <c r="AM182" s="4">
        <v>0.73</v>
      </c>
      <c r="AN182" s="4">
        <v>408</v>
      </c>
      <c r="AO182" s="4">
        <v>414.6</v>
      </c>
      <c r="AP182" s="4">
        <v>252028.35</v>
      </c>
      <c r="AQ182" s="4">
        <v>186552.73</v>
      </c>
      <c r="AR182" s="4" t="s">
        <v>804</v>
      </c>
      <c r="AS182" s="5">
        <f t="shared" si="0"/>
        <v>3.7371929223744291</v>
      </c>
    </row>
    <row r="183" spans="1:45" ht="14.25" customHeight="1" x14ac:dyDescent="0.55000000000000004">
      <c r="A183" s="4">
        <v>22.06</v>
      </c>
      <c r="B183" s="4">
        <v>30.56</v>
      </c>
      <c r="C183" s="4">
        <v>5561.58</v>
      </c>
      <c r="D183" s="4">
        <v>7.6</v>
      </c>
      <c r="E183" s="4" t="s">
        <v>1772</v>
      </c>
      <c r="F183" s="4" t="s">
        <v>685</v>
      </c>
      <c r="G183" s="4" t="s">
        <v>320</v>
      </c>
      <c r="H183" s="4" t="s">
        <v>506</v>
      </c>
      <c r="I183" s="4">
        <v>0</v>
      </c>
      <c r="J183" s="4">
        <v>1023.55</v>
      </c>
      <c r="K183" s="4">
        <f t="shared" si="7"/>
        <v>64.900000000000006</v>
      </c>
      <c r="L183" s="4">
        <f t="shared" si="8"/>
        <v>64.900000000000006</v>
      </c>
      <c r="M183" s="4">
        <f t="shared" si="9"/>
        <v>0</v>
      </c>
      <c r="N183" s="4">
        <v>7.48</v>
      </c>
      <c r="O183" s="4">
        <v>90.08</v>
      </c>
      <c r="P183" s="4">
        <v>68</v>
      </c>
      <c r="Q183" s="4">
        <v>22.1</v>
      </c>
      <c r="R183" s="4">
        <v>8.51</v>
      </c>
      <c r="S183" s="4">
        <v>17.97</v>
      </c>
      <c r="T183" s="4">
        <v>4.08</v>
      </c>
      <c r="U183" s="4">
        <v>5.43</v>
      </c>
      <c r="V183" s="4">
        <v>3559.41</v>
      </c>
      <c r="W183" s="4">
        <v>1054.74</v>
      </c>
      <c r="X183" s="4">
        <v>1201.1099999999999</v>
      </c>
      <c r="Y183" s="4">
        <v>743.99</v>
      </c>
      <c r="Z183" s="4">
        <v>15.51</v>
      </c>
      <c r="AA183" s="4">
        <v>1.6</v>
      </c>
      <c r="AB183" s="4">
        <v>4.4000000000000004</v>
      </c>
      <c r="AC183" s="4">
        <v>67.569999999999993</v>
      </c>
      <c r="AD183" s="4">
        <v>680</v>
      </c>
      <c r="AE183" s="4">
        <v>5900</v>
      </c>
      <c r="AF183" s="4">
        <v>76.790000000000006</v>
      </c>
      <c r="AG183" s="4">
        <v>0.59</v>
      </c>
      <c r="AH183" s="4">
        <v>17.32</v>
      </c>
      <c r="AI183" s="4">
        <v>112.63</v>
      </c>
      <c r="AJ183" s="4">
        <v>60</v>
      </c>
      <c r="AK183" s="4">
        <v>9</v>
      </c>
      <c r="AL183" s="4">
        <v>9</v>
      </c>
      <c r="AM183" s="4">
        <v>0.28000000000000003</v>
      </c>
      <c r="AN183" s="4">
        <v>408</v>
      </c>
      <c r="AO183" s="4">
        <v>410.51</v>
      </c>
      <c r="AP183" s="4">
        <v>270919.06</v>
      </c>
      <c r="AQ183" s="4">
        <v>270919.06</v>
      </c>
      <c r="AR183" s="4" t="s">
        <v>807</v>
      </c>
      <c r="AS183" s="5">
        <f t="shared" si="0"/>
        <v>0</v>
      </c>
    </row>
    <row r="184" spans="1:45" ht="14.25" customHeight="1" x14ac:dyDescent="0.55000000000000004">
      <c r="A184" s="4">
        <v>20.399999999999999</v>
      </c>
      <c r="B184" s="4">
        <v>29.22</v>
      </c>
      <c r="C184" s="4">
        <v>5621.1</v>
      </c>
      <c r="D184" s="4">
        <v>7.6</v>
      </c>
      <c r="E184" s="4" t="s">
        <v>1773</v>
      </c>
      <c r="F184" s="4" t="s">
        <v>1774</v>
      </c>
      <c r="G184" s="4" t="s">
        <v>1775</v>
      </c>
      <c r="H184" s="4" t="s">
        <v>1776</v>
      </c>
      <c r="I184" s="4">
        <v>0</v>
      </c>
      <c r="J184" s="4">
        <v>1011.63</v>
      </c>
      <c r="K184" s="4">
        <f t="shared" si="7"/>
        <v>81.23</v>
      </c>
      <c r="L184" s="4">
        <f t="shared" si="8"/>
        <v>84.14</v>
      </c>
      <c r="M184" s="4">
        <f t="shared" si="9"/>
        <v>-2.9099999999999966</v>
      </c>
      <c r="N184" s="4">
        <v>7.45</v>
      </c>
      <c r="O184" s="4">
        <v>88.85</v>
      </c>
      <c r="P184" s="4">
        <v>52</v>
      </c>
      <c r="Q184" s="4">
        <v>21</v>
      </c>
      <c r="R184" s="4">
        <v>8.81</v>
      </c>
      <c r="S184" s="4">
        <v>14.83</v>
      </c>
      <c r="T184" s="4">
        <v>5.57</v>
      </c>
      <c r="U184" s="4">
        <v>5.56</v>
      </c>
      <c r="V184" s="4">
        <v>3597.5</v>
      </c>
      <c r="W184" s="4">
        <v>1064.8900000000001</v>
      </c>
      <c r="X184" s="4">
        <v>1206.74</v>
      </c>
      <c r="Y184" s="4">
        <v>749.41</v>
      </c>
      <c r="Z184" s="4">
        <v>6.28</v>
      </c>
      <c r="AA184" s="4">
        <v>1.57</v>
      </c>
      <c r="AB184" s="4">
        <v>4.45</v>
      </c>
      <c r="AC184" s="4">
        <v>61.28</v>
      </c>
      <c r="AD184" s="4">
        <v>680</v>
      </c>
      <c r="AE184" s="4">
        <v>5900</v>
      </c>
      <c r="AF184" s="4">
        <v>79.56</v>
      </c>
      <c r="AG184" s="4">
        <v>0.59</v>
      </c>
      <c r="AH184" s="4">
        <v>17.46</v>
      </c>
      <c r="AI184" s="4">
        <v>36.409999999999997</v>
      </c>
      <c r="AJ184" s="4">
        <v>60</v>
      </c>
      <c r="AK184" s="4">
        <v>9</v>
      </c>
      <c r="AL184" s="4">
        <v>9</v>
      </c>
      <c r="AM184" s="4">
        <v>0.86</v>
      </c>
      <c r="AN184" s="4">
        <v>408</v>
      </c>
      <c r="AO184" s="4">
        <v>415.77</v>
      </c>
      <c r="AP184" s="4">
        <v>403988.54</v>
      </c>
      <c r="AQ184" s="4">
        <v>306315.89</v>
      </c>
      <c r="AR184" s="4" t="s">
        <v>812</v>
      </c>
      <c r="AS184" s="5">
        <f t="shared" si="0"/>
        <v>5.5749229452054774</v>
      </c>
    </row>
    <row r="185" spans="1:45" ht="14.25" customHeight="1" x14ac:dyDescent="0.55000000000000004">
      <c r="A185" s="4">
        <v>20.45</v>
      </c>
      <c r="B185" s="4">
        <v>29.29</v>
      </c>
      <c r="C185" s="4">
        <v>5651.42</v>
      </c>
      <c r="D185" s="4">
        <v>7.61</v>
      </c>
      <c r="E185" s="4" t="s">
        <v>1777</v>
      </c>
      <c r="F185" s="4" t="s">
        <v>1778</v>
      </c>
      <c r="G185" s="4" t="s">
        <v>338</v>
      </c>
      <c r="H185" s="4" t="s">
        <v>1779</v>
      </c>
      <c r="I185" s="4">
        <v>0</v>
      </c>
      <c r="J185" s="4">
        <v>907.96</v>
      </c>
      <c r="K185" s="4">
        <f t="shared" si="7"/>
        <v>65.25</v>
      </c>
      <c r="L185" s="4">
        <f t="shared" si="8"/>
        <v>63.149999999999991</v>
      </c>
      <c r="M185" s="4">
        <f t="shared" si="9"/>
        <v>2.1000000000000085</v>
      </c>
      <c r="N185" s="4">
        <v>7.37</v>
      </c>
      <c r="O185" s="4">
        <v>89</v>
      </c>
      <c r="P185" s="4">
        <v>67</v>
      </c>
      <c r="Q185" s="4">
        <v>19.399999999999999</v>
      </c>
      <c r="R185" s="4">
        <v>8.84</v>
      </c>
      <c r="S185" s="4">
        <v>15.35</v>
      </c>
      <c r="T185" s="4">
        <v>5.0999999999999996</v>
      </c>
      <c r="U185" s="4">
        <v>6.22</v>
      </c>
      <c r="V185" s="4">
        <v>3616.91</v>
      </c>
      <c r="W185" s="4">
        <v>1072.82</v>
      </c>
      <c r="X185" s="4">
        <v>1239.58</v>
      </c>
      <c r="Y185" s="4">
        <v>759.67</v>
      </c>
      <c r="Z185" s="4">
        <v>8.27</v>
      </c>
      <c r="AA185" s="4">
        <v>1.6</v>
      </c>
      <c r="AB185" s="4">
        <v>4.41</v>
      </c>
      <c r="AC185" s="4">
        <v>63.4</v>
      </c>
      <c r="AD185" s="4">
        <v>680</v>
      </c>
      <c r="AE185" s="4">
        <v>5900</v>
      </c>
      <c r="AF185" s="4">
        <v>79.8</v>
      </c>
      <c r="AG185" s="4">
        <v>0.59</v>
      </c>
      <c r="AH185" s="4">
        <v>15.27</v>
      </c>
      <c r="AI185" s="4">
        <v>59.7</v>
      </c>
      <c r="AJ185" s="4">
        <v>60</v>
      </c>
      <c r="AK185" s="4">
        <v>9</v>
      </c>
      <c r="AL185" s="4">
        <v>9</v>
      </c>
      <c r="AM185" s="4">
        <v>0.53</v>
      </c>
      <c r="AN185" s="4">
        <v>408</v>
      </c>
      <c r="AO185" s="4">
        <v>412.74</v>
      </c>
      <c r="AP185" s="4">
        <v>386670.56</v>
      </c>
      <c r="AQ185" s="4">
        <v>300831.08</v>
      </c>
      <c r="AR185" s="4" t="s">
        <v>816</v>
      </c>
      <c r="AS185" s="5">
        <f t="shared" si="0"/>
        <v>4.8995136986301357</v>
      </c>
    </row>
    <row r="186" spans="1:45" ht="14.25" customHeight="1" x14ac:dyDescent="0.55000000000000004">
      <c r="A186" s="4">
        <v>20.399999999999999</v>
      </c>
      <c r="B186" s="4">
        <v>29.22</v>
      </c>
      <c r="C186" s="4">
        <v>5621.1</v>
      </c>
      <c r="D186" s="4">
        <v>7.6</v>
      </c>
      <c r="E186" s="4" t="s">
        <v>1780</v>
      </c>
      <c r="F186" s="4" t="s">
        <v>1781</v>
      </c>
      <c r="G186" s="4" t="s">
        <v>1775</v>
      </c>
      <c r="H186" s="4" t="s">
        <v>1782</v>
      </c>
      <c r="I186" s="4">
        <v>0</v>
      </c>
      <c r="J186" s="4">
        <v>1011.63</v>
      </c>
      <c r="K186" s="4">
        <f t="shared" si="7"/>
        <v>81.23</v>
      </c>
      <c r="L186" s="4">
        <f t="shared" si="8"/>
        <v>85.43</v>
      </c>
      <c r="M186" s="4">
        <f t="shared" si="9"/>
        <v>-4.2000000000000028</v>
      </c>
      <c r="N186" s="4">
        <v>7.45</v>
      </c>
      <c r="O186" s="4">
        <v>88.85</v>
      </c>
      <c r="P186" s="4">
        <v>58</v>
      </c>
      <c r="Q186" s="4">
        <v>20.8</v>
      </c>
      <c r="R186" s="4">
        <v>8.81</v>
      </c>
      <c r="S186" s="4">
        <v>15.46</v>
      </c>
      <c r="T186" s="4">
        <v>4.9400000000000004</v>
      </c>
      <c r="U186" s="4">
        <v>5.56</v>
      </c>
      <c r="V186" s="4">
        <v>3597.5</v>
      </c>
      <c r="W186" s="4">
        <v>1064.8900000000001</v>
      </c>
      <c r="X186" s="4">
        <v>1206.74</v>
      </c>
      <c r="Y186" s="4">
        <v>749.41</v>
      </c>
      <c r="Z186" s="4">
        <v>5.71</v>
      </c>
      <c r="AA186" s="4">
        <v>1.57</v>
      </c>
      <c r="AB186" s="4">
        <v>4.45</v>
      </c>
      <c r="AC186" s="4">
        <v>64.09</v>
      </c>
      <c r="AD186" s="4">
        <v>680</v>
      </c>
      <c r="AE186" s="4">
        <v>5900</v>
      </c>
      <c r="AF186" s="4">
        <v>79.56</v>
      </c>
      <c r="AG186" s="4">
        <v>0.59</v>
      </c>
      <c r="AH186" s="4">
        <v>17.46</v>
      </c>
      <c r="AI186" s="4">
        <v>33.1</v>
      </c>
      <c r="AJ186" s="4">
        <v>60</v>
      </c>
      <c r="AK186" s="4">
        <v>9</v>
      </c>
      <c r="AL186" s="4">
        <v>9</v>
      </c>
      <c r="AM186" s="4">
        <v>0.95</v>
      </c>
      <c r="AN186" s="4">
        <v>408</v>
      </c>
      <c r="AO186" s="4">
        <v>416.54</v>
      </c>
      <c r="AP186" s="4">
        <v>403988.54</v>
      </c>
      <c r="AQ186" s="4">
        <v>260041.28</v>
      </c>
      <c r="AR186" s="4" t="s">
        <v>820</v>
      </c>
      <c r="AS186" s="5">
        <f t="shared" si="0"/>
        <v>8.2161678082191774</v>
      </c>
    </row>
    <row r="187" spans="1:45" ht="14.25" customHeight="1" x14ac:dyDescent="0.55000000000000004">
      <c r="A187" s="4">
        <v>20.36</v>
      </c>
      <c r="B187" s="4">
        <v>29.16</v>
      </c>
      <c r="C187" s="4">
        <v>5705.99</v>
      </c>
      <c r="D187" s="4">
        <v>7.6</v>
      </c>
      <c r="E187" s="4" t="s">
        <v>1783</v>
      </c>
      <c r="F187" s="4" t="s">
        <v>1784</v>
      </c>
      <c r="G187" s="4" t="s">
        <v>348</v>
      </c>
      <c r="H187" s="4" t="s">
        <v>1785</v>
      </c>
      <c r="I187" s="4">
        <v>0</v>
      </c>
      <c r="J187" s="4">
        <v>1035.8599999999999</v>
      </c>
      <c r="K187" s="4">
        <f t="shared" si="7"/>
        <v>66.72</v>
      </c>
      <c r="L187" s="4">
        <f t="shared" si="8"/>
        <v>66.17</v>
      </c>
      <c r="M187" s="4">
        <f t="shared" si="9"/>
        <v>0.54999999999999716</v>
      </c>
      <c r="N187" s="4">
        <v>7.49</v>
      </c>
      <c r="O187" s="4">
        <v>89</v>
      </c>
      <c r="P187" s="4">
        <v>63</v>
      </c>
      <c r="Q187" s="4">
        <v>19.899999999999999</v>
      </c>
      <c r="R187" s="4">
        <v>8.8000000000000007</v>
      </c>
      <c r="S187" s="4">
        <v>15.3</v>
      </c>
      <c r="T187" s="4">
        <v>5.0599999999999996</v>
      </c>
      <c r="U187" s="4">
        <v>5.51</v>
      </c>
      <c r="V187" s="4">
        <v>3651.83</v>
      </c>
      <c r="W187" s="4">
        <v>1081.93</v>
      </c>
      <c r="X187" s="4">
        <v>1229.8</v>
      </c>
      <c r="Y187" s="4">
        <v>762.74</v>
      </c>
      <c r="Z187" s="4">
        <v>7.06</v>
      </c>
      <c r="AA187" s="4">
        <v>1.59</v>
      </c>
      <c r="AB187" s="4">
        <v>4.42</v>
      </c>
      <c r="AC187" s="4">
        <v>63.49</v>
      </c>
      <c r="AD187" s="4">
        <v>680</v>
      </c>
      <c r="AE187" s="4">
        <v>5900</v>
      </c>
      <c r="AF187" s="4">
        <v>79.42</v>
      </c>
      <c r="AG187" s="4">
        <v>0.59</v>
      </c>
      <c r="AH187" s="4">
        <v>17.62</v>
      </c>
      <c r="AI187" s="4">
        <v>49.85</v>
      </c>
      <c r="AJ187" s="4">
        <v>60</v>
      </c>
      <c r="AK187" s="4">
        <v>9</v>
      </c>
      <c r="AL187" s="4">
        <v>9</v>
      </c>
      <c r="AM187" s="4">
        <v>0.63</v>
      </c>
      <c r="AN187" s="4">
        <v>408</v>
      </c>
      <c r="AO187" s="4">
        <v>413.67</v>
      </c>
      <c r="AP187" s="4">
        <v>330970.19</v>
      </c>
      <c r="AQ187" s="4">
        <v>263965.05</v>
      </c>
      <c r="AR187" s="4" t="s">
        <v>824</v>
      </c>
      <c r="AS187" s="5">
        <f t="shared" si="0"/>
        <v>3.8244942922374436</v>
      </c>
    </row>
    <row r="188" spans="1:45" ht="14.25" customHeight="1" x14ac:dyDescent="0.55000000000000004">
      <c r="A188" s="4">
        <v>20.46</v>
      </c>
      <c r="B188" s="4">
        <v>29.22</v>
      </c>
      <c r="C188" s="4">
        <v>5654.4</v>
      </c>
      <c r="D188" s="4">
        <v>7.6</v>
      </c>
      <c r="E188" s="4" t="s">
        <v>1786</v>
      </c>
      <c r="F188" s="4" t="s">
        <v>1787</v>
      </c>
      <c r="G188" s="4" t="s">
        <v>343</v>
      </c>
      <c r="H188" s="4" t="s">
        <v>1788</v>
      </c>
      <c r="I188" s="4">
        <v>0</v>
      </c>
      <c r="J188" s="4">
        <v>922.51</v>
      </c>
      <c r="K188" s="4">
        <f t="shared" si="7"/>
        <v>66.62</v>
      </c>
      <c r="L188" s="4">
        <f t="shared" si="8"/>
        <v>67.94</v>
      </c>
      <c r="M188" s="4">
        <f t="shared" si="9"/>
        <v>-1.3199999999999932</v>
      </c>
      <c r="N188" s="4">
        <v>7.38</v>
      </c>
      <c r="O188" s="4">
        <v>88.91</v>
      </c>
      <c r="P188" s="4">
        <v>65</v>
      </c>
      <c r="Q188" s="4">
        <v>20.100000000000001</v>
      </c>
      <c r="R188" s="4">
        <v>8.77</v>
      </c>
      <c r="S188" s="4">
        <v>15.74</v>
      </c>
      <c r="T188" s="4">
        <v>4.72</v>
      </c>
      <c r="U188" s="4">
        <v>6.13</v>
      </c>
      <c r="V188" s="4">
        <v>3618.82</v>
      </c>
      <c r="W188" s="4">
        <v>1072.9100000000001</v>
      </c>
      <c r="X188" s="4">
        <v>1235.18</v>
      </c>
      <c r="Y188" s="4">
        <v>758.79</v>
      </c>
      <c r="Z188" s="4">
        <v>5.88</v>
      </c>
      <c r="AA188" s="4">
        <v>1.59</v>
      </c>
      <c r="AB188" s="4">
        <v>4.42</v>
      </c>
      <c r="AC188" s="4">
        <v>65.010000000000005</v>
      </c>
      <c r="AD188" s="4">
        <v>680</v>
      </c>
      <c r="AE188" s="4">
        <v>5900</v>
      </c>
      <c r="AF188" s="4">
        <v>79.13</v>
      </c>
      <c r="AG188" s="4">
        <v>0.59</v>
      </c>
      <c r="AH188" s="4">
        <v>15.43</v>
      </c>
      <c r="AI188" s="4">
        <v>41.62</v>
      </c>
      <c r="AJ188" s="4">
        <v>60</v>
      </c>
      <c r="AK188" s="4">
        <v>9</v>
      </c>
      <c r="AL188" s="4">
        <v>9</v>
      </c>
      <c r="AM188" s="4">
        <v>0.75</v>
      </c>
      <c r="AN188" s="4">
        <v>408</v>
      </c>
      <c r="AO188" s="4">
        <v>414.79</v>
      </c>
      <c r="AP188" s="4">
        <v>387314.88</v>
      </c>
      <c r="AQ188" s="4">
        <v>195453.13</v>
      </c>
      <c r="AR188" s="4" t="s">
        <v>829</v>
      </c>
      <c r="AS188" s="5">
        <f t="shared" si="0"/>
        <v>10.951013127853882</v>
      </c>
    </row>
    <row r="189" spans="1:45" ht="14.25" customHeight="1" x14ac:dyDescent="0.55000000000000004">
      <c r="A189" s="4">
        <v>20.38</v>
      </c>
      <c r="B189" s="4">
        <v>29.1</v>
      </c>
      <c r="C189" s="4">
        <v>5573.63</v>
      </c>
      <c r="D189" s="4">
        <v>7.6</v>
      </c>
      <c r="E189" s="4" t="s">
        <v>1789</v>
      </c>
      <c r="F189" s="4" t="s">
        <v>1790</v>
      </c>
      <c r="G189" s="4" t="s">
        <v>1791</v>
      </c>
      <c r="H189" s="4" t="s">
        <v>1792</v>
      </c>
      <c r="I189" s="4">
        <v>0</v>
      </c>
      <c r="J189" s="4">
        <v>933.02</v>
      </c>
      <c r="K189" s="4">
        <f t="shared" si="7"/>
        <v>65.150000000000006</v>
      </c>
      <c r="L189" s="4">
        <f t="shared" si="8"/>
        <v>65.179999999999993</v>
      </c>
      <c r="M189" s="4">
        <f t="shared" si="9"/>
        <v>-2.9999999999986926E-2</v>
      </c>
      <c r="N189" s="4">
        <v>7.36</v>
      </c>
      <c r="O189" s="4">
        <v>89.07</v>
      </c>
      <c r="P189" s="4">
        <v>63</v>
      </c>
      <c r="Q189" s="4">
        <v>20.399999999999999</v>
      </c>
      <c r="R189" s="4">
        <v>8.7200000000000006</v>
      </c>
      <c r="S189" s="4">
        <v>15.76</v>
      </c>
      <c r="T189" s="4">
        <v>4.63</v>
      </c>
      <c r="U189" s="4">
        <v>5.97</v>
      </c>
      <c r="V189" s="4">
        <v>3567.12</v>
      </c>
      <c r="W189" s="4">
        <v>1055.51</v>
      </c>
      <c r="X189" s="4">
        <v>1201.3699999999999</v>
      </c>
      <c r="Y189" s="4">
        <v>743.01</v>
      </c>
      <c r="Z189" s="4">
        <v>6.5</v>
      </c>
      <c r="AA189" s="4">
        <v>1.57</v>
      </c>
      <c r="AB189" s="4">
        <v>4.46</v>
      </c>
      <c r="AC189" s="4">
        <v>65.33</v>
      </c>
      <c r="AD189" s="4">
        <v>680</v>
      </c>
      <c r="AE189" s="4">
        <v>5900</v>
      </c>
      <c r="AF189" s="4">
        <v>78.7</v>
      </c>
      <c r="AG189" s="4">
        <v>0.59</v>
      </c>
      <c r="AH189" s="4">
        <v>15.82</v>
      </c>
      <c r="AI189" s="4">
        <v>47</v>
      </c>
      <c r="AJ189" s="4">
        <v>60</v>
      </c>
      <c r="AK189" s="4">
        <v>9</v>
      </c>
      <c r="AL189" s="4">
        <v>9</v>
      </c>
      <c r="AM189" s="4">
        <v>0.67</v>
      </c>
      <c r="AN189" s="4">
        <v>408</v>
      </c>
      <c r="AO189" s="4">
        <v>414.02</v>
      </c>
      <c r="AP189" s="4">
        <v>386678.79</v>
      </c>
      <c r="AQ189" s="4">
        <v>239233.76</v>
      </c>
      <c r="AR189" s="4" t="s">
        <v>832</v>
      </c>
      <c r="AS189" s="5">
        <f t="shared" si="0"/>
        <v>8.4158122146118703</v>
      </c>
    </row>
    <row r="190" spans="1:45" ht="14.25" customHeight="1" x14ac:dyDescent="0.55000000000000004">
      <c r="A190" s="4">
        <v>20.47</v>
      </c>
      <c r="B190" s="4">
        <v>29.24</v>
      </c>
      <c r="C190" s="4">
        <v>5708.32</v>
      </c>
      <c r="D190" s="4">
        <v>7.6</v>
      </c>
      <c r="E190" s="4" t="s">
        <v>1793</v>
      </c>
      <c r="F190" s="4" t="s">
        <v>1794</v>
      </c>
      <c r="G190" s="4" t="s">
        <v>378</v>
      </c>
      <c r="H190" s="4" t="s">
        <v>1795</v>
      </c>
      <c r="I190" s="4">
        <v>0</v>
      </c>
      <c r="J190" s="4">
        <v>893.79</v>
      </c>
      <c r="K190" s="4">
        <f t="shared" si="7"/>
        <v>60.49</v>
      </c>
      <c r="L190" s="4">
        <f t="shared" si="8"/>
        <v>60.59</v>
      </c>
      <c r="M190" s="4">
        <f t="shared" si="9"/>
        <v>-0.10000000000000142</v>
      </c>
      <c r="N190" s="4">
        <v>7.37</v>
      </c>
      <c r="O190" s="4">
        <v>89.15</v>
      </c>
      <c r="P190" s="4">
        <v>74</v>
      </c>
      <c r="Q190" s="4">
        <v>19</v>
      </c>
      <c r="R190" s="4">
        <v>8.76</v>
      </c>
      <c r="S190" s="4">
        <v>15.84</v>
      </c>
      <c r="T190" s="4">
        <v>4.63</v>
      </c>
      <c r="U190" s="4">
        <v>6.39</v>
      </c>
      <c r="V190" s="4">
        <v>3653.32</v>
      </c>
      <c r="W190" s="4">
        <v>1084.8900000000001</v>
      </c>
      <c r="X190" s="4">
        <v>1262.93</v>
      </c>
      <c r="Y190" s="4">
        <v>770.45</v>
      </c>
      <c r="Z190" s="4">
        <v>5.99</v>
      </c>
      <c r="AA190" s="4">
        <v>1.61</v>
      </c>
      <c r="AB190" s="4">
        <v>4.3899999999999997</v>
      </c>
      <c r="AC190" s="4">
        <v>65.42</v>
      </c>
      <c r="AD190" s="4">
        <v>680</v>
      </c>
      <c r="AE190" s="4">
        <v>5900</v>
      </c>
      <c r="AF190" s="4">
        <v>79.12</v>
      </c>
      <c r="AG190" s="4">
        <v>0.59</v>
      </c>
      <c r="AH190" s="4">
        <v>14.69</v>
      </c>
      <c r="AI190" s="4">
        <v>46.67</v>
      </c>
      <c r="AJ190" s="4">
        <v>60</v>
      </c>
      <c r="AK190" s="4">
        <v>9</v>
      </c>
      <c r="AL190" s="4">
        <v>9</v>
      </c>
      <c r="AM190" s="4">
        <v>0.67</v>
      </c>
      <c r="AN190" s="4">
        <v>408</v>
      </c>
      <c r="AO190" s="4">
        <v>414.06</v>
      </c>
      <c r="AP190" s="4">
        <v>366854.93</v>
      </c>
      <c r="AQ190" s="4">
        <v>163610.57999999999</v>
      </c>
      <c r="AR190" s="4" t="s">
        <v>837</v>
      </c>
      <c r="AS190" s="5">
        <f t="shared" si="0"/>
        <v>11.6007049086758</v>
      </c>
    </row>
    <row r="191" spans="1:45" ht="14.25" customHeight="1" x14ac:dyDescent="0.55000000000000004">
      <c r="A191" s="4">
        <v>20.05</v>
      </c>
      <c r="B191" s="4">
        <v>28.54</v>
      </c>
      <c r="C191" s="4">
        <v>5561.52</v>
      </c>
      <c r="D191" s="4">
        <v>7.6</v>
      </c>
      <c r="E191" s="4" t="s">
        <v>1796</v>
      </c>
      <c r="F191" s="4" t="s">
        <v>1797</v>
      </c>
      <c r="G191" s="4" t="s">
        <v>764</v>
      </c>
      <c r="H191" s="4" t="s">
        <v>1798</v>
      </c>
      <c r="I191" s="4">
        <v>0</v>
      </c>
      <c r="J191" s="4">
        <v>919.95</v>
      </c>
      <c r="K191" s="4">
        <f t="shared" si="7"/>
        <v>61.42</v>
      </c>
      <c r="L191" s="4">
        <f t="shared" si="8"/>
        <v>61.72</v>
      </c>
      <c r="M191" s="4">
        <f t="shared" si="9"/>
        <v>-0.29999999999999716</v>
      </c>
      <c r="N191" s="4">
        <v>7.33</v>
      </c>
      <c r="O191" s="4">
        <v>89.14</v>
      </c>
      <c r="P191" s="4">
        <v>65</v>
      </c>
      <c r="Q191" s="4">
        <v>19.5</v>
      </c>
      <c r="R191" s="4">
        <v>8.49</v>
      </c>
      <c r="S191" s="4">
        <v>15.19</v>
      </c>
      <c r="T191" s="4">
        <v>4.8499999999999996</v>
      </c>
      <c r="U191" s="4">
        <v>6.05</v>
      </c>
      <c r="V191" s="4">
        <v>3559.38</v>
      </c>
      <c r="W191" s="4">
        <v>1052.06</v>
      </c>
      <c r="X191" s="4">
        <v>1191.73</v>
      </c>
      <c r="Y191" s="4">
        <v>738.84</v>
      </c>
      <c r="Z191" s="4">
        <v>5.97</v>
      </c>
      <c r="AA191" s="4">
        <v>1.56</v>
      </c>
      <c r="AB191" s="4">
        <v>4.4800000000000004</v>
      </c>
      <c r="AC191" s="4">
        <v>63.63</v>
      </c>
      <c r="AD191" s="4">
        <v>680</v>
      </c>
      <c r="AE191" s="4">
        <v>5900</v>
      </c>
      <c r="AF191" s="4">
        <v>76.680000000000007</v>
      </c>
      <c r="AG191" s="4">
        <v>0.59</v>
      </c>
      <c r="AH191" s="4">
        <v>15.2</v>
      </c>
      <c r="AI191" s="4">
        <v>45.82</v>
      </c>
      <c r="AJ191" s="4">
        <v>60</v>
      </c>
      <c r="AK191" s="4">
        <v>9</v>
      </c>
      <c r="AL191" s="4">
        <v>9</v>
      </c>
      <c r="AM191" s="4">
        <v>0.69</v>
      </c>
      <c r="AN191" s="4">
        <v>408</v>
      </c>
      <c r="AO191" s="4">
        <v>414.17</v>
      </c>
      <c r="AP191" s="4">
        <v>382624.68</v>
      </c>
      <c r="AQ191" s="4">
        <v>196334.5</v>
      </c>
      <c r="AR191" s="4" t="s">
        <v>842</v>
      </c>
      <c r="AS191" s="5">
        <f t="shared" si="0"/>
        <v>10.63300114155251</v>
      </c>
    </row>
    <row r="192" spans="1:45" ht="14.25" customHeight="1" x14ac:dyDescent="0.55000000000000004">
      <c r="A192" s="4">
        <v>20</v>
      </c>
      <c r="B192" s="4">
        <v>28.53</v>
      </c>
      <c r="C192" s="4">
        <v>5540.97</v>
      </c>
      <c r="D192" s="4">
        <v>7.59</v>
      </c>
      <c r="E192" s="4" t="s">
        <v>1799</v>
      </c>
      <c r="F192" s="4" t="s">
        <v>1800</v>
      </c>
      <c r="G192" s="4" t="s">
        <v>729</v>
      </c>
      <c r="H192" s="4" t="s">
        <v>1801</v>
      </c>
      <c r="I192" s="4">
        <v>0</v>
      </c>
      <c r="J192" s="4">
        <v>982.82</v>
      </c>
      <c r="K192" s="4">
        <f t="shared" si="7"/>
        <v>68.67</v>
      </c>
      <c r="L192" s="4">
        <f t="shared" si="8"/>
        <v>67.69</v>
      </c>
      <c r="M192" s="4">
        <f t="shared" si="9"/>
        <v>0.98000000000000398</v>
      </c>
      <c r="N192" s="4">
        <v>7.38</v>
      </c>
      <c r="O192" s="4">
        <v>88.96</v>
      </c>
      <c r="P192" s="4">
        <v>62</v>
      </c>
      <c r="Q192" s="4">
        <v>20.3</v>
      </c>
      <c r="R192" s="4">
        <v>8.52</v>
      </c>
      <c r="S192" s="4">
        <v>15.54</v>
      </c>
      <c r="T192" s="4">
        <v>4.47</v>
      </c>
      <c r="U192" s="4">
        <v>5.64</v>
      </c>
      <c r="V192" s="4">
        <v>3546.22</v>
      </c>
      <c r="W192" s="4">
        <v>1046.93</v>
      </c>
      <c r="X192" s="4">
        <v>1171.97</v>
      </c>
      <c r="Y192" s="4">
        <v>732.54</v>
      </c>
      <c r="Z192" s="4">
        <v>7.61</v>
      </c>
      <c r="AA192" s="4">
        <v>1.54</v>
      </c>
      <c r="AB192" s="4">
        <v>4.51</v>
      </c>
      <c r="AC192" s="4">
        <v>65.61</v>
      </c>
      <c r="AD192" s="4">
        <v>680</v>
      </c>
      <c r="AE192" s="4">
        <v>5900</v>
      </c>
      <c r="AF192" s="4">
        <v>76.930000000000007</v>
      </c>
      <c r="AG192" s="4">
        <v>0.59</v>
      </c>
      <c r="AH192" s="4">
        <v>16.59</v>
      </c>
      <c r="AI192" s="4">
        <v>52.21</v>
      </c>
      <c r="AJ192" s="4">
        <v>60</v>
      </c>
      <c r="AK192" s="4">
        <v>9</v>
      </c>
      <c r="AL192" s="4">
        <v>9</v>
      </c>
      <c r="AM192" s="4">
        <v>0.6</v>
      </c>
      <c r="AN192" s="4">
        <v>408</v>
      </c>
      <c r="AO192" s="4">
        <v>413.42</v>
      </c>
      <c r="AP192" s="4">
        <v>389574.23</v>
      </c>
      <c r="AQ192" s="4">
        <v>330376.03999999998</v>
      </c>
      <c r="AR192" s="4" t="s">
        <v>847</v>
      </c>
      <c r="AS192" s="5">
        <f t="shared" si="0"/>
        <v>3.3788921232876712</v>
      </c>
    </row>
    <row r="193" spans="1:45" ht="14.25" customHeight="1" x14ac:dyDescent="0.55000000000000004">
      <c r="A193" s="4">
        <v>20.04</v>
      </c>
      <c r="B193" s="4">
        <v>28.57</v>
      </c>
      <c r="C193" s="4">
        <v>5568.82</v>
      </c>
      <c r="D193" s="4">
        <v>7.6</v>
      </c>
      <c r="E193" s="4" t="s">
        <v>1802</v>
      </c>
      <c r="F193" s="4" t="s">
        <v>1803</v>
      </c>
      <c r="G193" s="4" t="s">
        <v>700</v>
      </c>
      <c r="H193" s="4" t="s">
        <v>1804</v>
      </c>
      <c r="I193" s="4">
        <v>0</v>
      </c>
      <c r="J193" s="4">
        <v>976.18</v>
      </c>
      <c r="K193" s="4">
        <f t="shared" si="7"/>
        <v>67.91</v>
      </c>
      <c r="L193" s="4">
        <f t="shared" si="8"/>
        <v>67.56</v>
      </c>
      <c r="M193" s="4">
        <f t="shared" si="9"/>
        <v>0.34999999999999432</v>
      </c>
      <c r="N193" s="4">
        <v>7.38</v>
      </c>
      <c r="O193" s="4">
        <v>89.01</v>
      </c>
      <c r="P193" s="4">
        <v>61</v>
      </c>
      <c r="Q193" s="4">
        <v>20.399999999999999</v>
      </c>
      <c r="R193" s="4">
        <v>8.5299999999999994</v>
      </c>
      <c r="S193" s="4">
        <v>15.5</v>
      </c>
      <c r="T193" s="4">
        <v>4.54</v>
      </c>
      <c r="U193" s="4">
        <v>5.7</v>
      </c>
      <c r="V193" s="4">
        <v>3564.05</v>
      </c>
      <c r="W193" s="4">
        <v>1052.3</v>
      </c>
      <c r="X193" s="4">
        <v>1179.31</v>
      </c>
      <c r="Y193" s="4">
        <v>736.55</v>
      </c>
      <c r="Z193" s="4">
        <v>7.04</v>
      </c>
      <c r="AA193" s="4">
        <v>1.56</v>
      </c>
      <c r="AB193" s="4">
        <v>4.49</v>
      </c>
      <c r="AC193" s="4">
        <v>65.27</v>
      </c>
      <c r="AD193" s="4">
        <v>680</v>
      </c>
      <c r="AE193" s="4">
        <v>5900</v>
      </c>
      <c r="AF193" s="4">
        <v>77.010000000000005</v>
      </c>
      <c r="AG193" s="4">
        <v>0.59</v>
      </c>
      <c r="AH193" s="4">
        <v>16.37</v>
      </c>
      <c r="AI193" s="4">
        <v>48.83</v>
      </c>
      <c r="AJ193" s="4">
        <v>60</v>
      </c>
      <c r="AK193" s="4">
        <v>9</v>
      </c>
      <c r="AL193" s="4">
        <v>9</v>
      </c>
      <c r="AM193" s="4">
        <v>0.64</v>
      </c>
      <c r="AN193" s="4">
        <v>408</v>
      </c>
      <c r="AO193" s="4">
        <v>413.79</v>
      </c>
      <c r="AP193" s="4">
        <v>389144.79</v>
      </c>
      <c r="AQ193" s="4">
        <v>298684.03000000003</v>
      </c>
      <c r="AR193" s="4" t="s">
        <v>852</v>
      </c>
      <c r="AS193" s="5">
        <f t="shared" si="0"/>
        <v>5.1632853881278509</v>
      </c>
    </row>
    <row r="194" spans="1:45" ht="14.25" customHeight="1" x14ac:dyDescent="0.55000000000000004">
      <c r="A194" s="4">
        <v>20.12</v>
      </c>
      <c r="B194" s="4">
        <v>28.71</v>
      </c>
      <c r="C194" s="4">
        <v>5571.31</v>
      </c>
      <c r="D194" s="4">
        <v>7.6</v>
      </c>
      <c r="E194" s="4" t="s">
        <v>1805</v>
      </c>
      <c r="F194" s="4" t="s">
        <v>1806</v>
      </c>
      <c r="G194" s="4" t="s">
        <v>1807</v>
      </c>
      <c r="H194" s="4" t="s">
        <v>1808</v>
      </c>
      <c r="I194" s="4">
        <v>0</v>
      </c>
      <c r="J194" s="4">
        <v>958.97</v>
      </c>
      <c r="K194" s="4">
        <f t="shared" si="7"/>
        <v>65.820000000000007</v>
      </c>
      <c r="L194" s="4">
        <f t="shared" si="8"/>
        <v>64.400000000000006</v>
      </c>
      <c r="M194" s="4">
        <f t="shared" si="9"/>
        <v>1.4200000000000017</v>
      </c>
      <c r="N194" s="4">
        <v>7.37</v>
      </c>
      <c r="O194" s="4">
        <v>88.93</v>
      </c>
      <c r="P194" s="4">
        <v>60</v>
      </c>
      <c r="Q194" s="4">
        <v>20.399999999999999</v>
      </c>
      <c r="R194" s="4">
        <v>8.59</v>
      </c>
      <c r="S194" s="4">
        <v>15.37</v>
      </c>
      <c r="T194" s="4">
        <v>4.75</v>
      </c>
      <c r="U194" s="4">
        <v>5.81</v>
      </c>
      <c r="V194" s="4">
        <v>3565.64</v>
      </c>
      <c r="W194" s="4">
        <v>1053.21</v>
      </c>
      <c r="X194" s="4">
        <v>1184.68</v>
      </c>
      <c r="Y194" s="4">
        <v>738.07</v>
      </c>
      <c r="Z194" s="4">
        <v>7.66</v>
      </c>
      <c r="AA194" s="4">
        <v>1.56</v>
      </c>
      <c r="AB194" s="4">
        <v>4.4800000000000004</v>
      </c>
      <c r="AC194" s="4">
        <v>64.400000000000006</v>
      </c>
      <c r="AD194" s="4">
        <v>680</v>
      </c>
      <c r="AE194" s="4">
        <v>5900</v>
      </c>
      <c r="AF194" s="4">
        <v>77.56</v>
      </c>
      <c r="AG194" s="4">
        <v>0.59</v>
      </c>
      <c r="AH194" s="4">
        <v>16.13</v>
      </c>
      <c r="AI194" s="4">
        <v>54.88</v>
      </c>
      <c r="AJ194" s="4">
        <v>60</v>
      </c>
      <c r="AK194" s="4">
        <v>9</v>
      </c>
      <c r="AL194" s="4">
        <v>9</v>
      </c>
      <c r="AM194" s="4">
        <v>0.56999999999999995</v>
      </c>
      <c r="AN194" s="4">
        <v>408</v>
      </c>
      <c r="AO194" s="4">
        <v>413.15</v>
      </c>
      <c r="AP194" s="4">
        <v>386660.96</v>
      </c>
      <c r="AQ194" s="4">
        <v>310298.03999999998</v>
      </c>
      <c r="AR194" s="4" t="s">
        <v>857</v>
      </c>
      <c r="AS194" s="5">
        <f t="shared" si="0"/>
        <v>4.3586141552511437</v>
      </c>
    </row>
    <row r="195" spans="1:45" ht="14.25" customHeight="1" x14ac:dyDescent="0.55000000000000004">
      <c r="A195" s="4">
        <v>20.47</v>
      </c>
      <c r="B195" s="4">
        <v>29.23</v>
      </c>
      <c r="C195" s="4">
        <v>5641.03</v>
      </c>
      <c r="D195" s="4">
        <v>7.6</v>
      </c>
      <c r="E195" s="4" t="s">
        <v>1809</v>
      </c>
      <c r="F195" s="4" t="s">
        <v>1810</v>
      </c>
      <c r="G195" s="4" t="s">
        <v>396</v>
      </c>
      <c r="H195" s="4" t="s">
        <v>1811</v>
      </c>
      <c r="I195" s="4">
        <v>0</v>
      </c>
      <c r="J195" s="4">
        <v>924.7</v>
      </c>
      <c r="K195" s="4">
        <f t="shared" ref="K195:K251" si="10">IF(E195=0,0,
VALUE(MID(E195,2,FIND(",",E195)-2))+
VALUE(MID(F195,2,FIND(",",F195)-2))+
VALUE(MID(G195,2,FIND(",",G195)-2))
)</f>
        <v>66.739999999999995</v>
      </c>
      <c r="L195" s="4">
        <f t="shared" ref="L195:L251" si="11">IF(E195=0,0,
VALUE(MID(E195,FIND(",",E195)+1,FIND("]",E195)-FIND(",",E195)-1))+
VALUE(MID(F195,FIND(",",F195)+1,FIND("]",F195)-FIND(",",F195)-1))+
VALUE(MID(G195,FIND(",",G195)+1,FIND("]",G195)-FIND(",",G195)-1))
)</f>
        <v>67.05</v>
      </c>
      <c r="M195" s="4">
        <f t="shared" ref="M195:M251" si="12">(K195-L195)</f>
        <v>-0.31000000000000227</v>
      </c>
      <c r="N195" s="4">
        <v>7.38</v>
      </c>
      <c r="O195" s="4">
        <v>89.03</v>
      </c>
      <c r="P195" s="4">
        <v>63</v>
      </c>
      <c r="Q195" s="4">
        <v>20.3</v>
      </c>
      <c r="R195" s="4">
        <v>8.76</v>
      </c>
      <c r="S195" s="4">
        <v>15.67</v>
      </c>
      <c r="T195" s="4">
        <v>4.8</v>
      </c>
      <c r="U195" s="4">
        <v>6.1</v>
      </c>
      <c r="V195" s="4">
        <v>3610.26</v>
      </c>
      <c r="W195" s="4">
        <v>1070.1300000000001</v>
      </c>
      <c r="X195" s="4">
        <v>1230.28</v>
      </c>
      <c r="Y195" s="4">
        <v>756.41</v>
      </c>
      <c r="Z195" s="4">
        <v>6.47</v>
      </c>
      <c r="AA195" s="4">
        <v>1.58</v>
      </c>
      <c r="AB195" s="4">
        <v>4.43</v>
      </c>
      <c r="AC195" s="4">
        <v>64.59</v>
      </c>
      <c r="AD195" s="4">
        <v>680</v>
      </c>
      <c r="AE195" s="4">
        <v>5900</v>
      </c>
      <c r="AF195" s="4">
        <v>79.08</v>
      </c>
      <c r="AG195" s="4">
        <v>0.59</v>
      </c>
      <c r="AH195" s="4">
        <v>15.5</v>
      </c>
      <c r="AI195" s="4">
        <v>45.68</v>
      </c>
      <c r="AJ195" s="4">
        <v>60</v>
      </c>
      <c r="AK195" s="4">
        <v>9</v>
      </c>
      <c r="AL195" s="4">
        <v>9</v>
      </c>
      <c r="AM195" s="4">
        <v>0.69</v>
      </c>
      <c r="AN195" s="4">
        <v>408</v>
      </c>
      <c r="AO195" s="4">
        <v>414.19</v>
      </c>
      <c r="AP195" s="4">
        <v>387910.13</v>
      </c>
      <c r="AQ195" s="4">
        <v>234278.3</v>
      </c>
      <c r="AR195" s="4" t="s">
        <v>862</v>
      </c>
      <c r="AS195" s="5">
        <f t="shared" si="0"/>
        <v>8.7689400684931513</v>
      </c>
    </row>
    <row r="196" spans="1:45" ht="14.25" customHeight="1" x14ac:dyDescent="0.55000000000000004">
      <c r="A196" s="4">
        <v>20.37</v>
      </c>
      <c r="B196" s="4">
        <v>29.18</v>
      </c>
      <c r="C196" s="4">
        <v>5630.43</v>
      </c>
      <c r="D196" s="4">
        <v>7.59</v>
      </c>
      <c r="E196" s="4" t="s">
        <v>1812</v>
      </c>
      <c r="F196" s="4" t="s">
        <v>1813</v>
      </c>
      <c r="G196" s="4" t="s">
        <v>1814</v>
      </c>
      <c r="H196" s="4" t="s">
        <v>1815</v>
      </c>
      <c r="I196" s="4">
        <v>0</v>
      </c>
      <c r="J196" s="4">
        <v>932.87</v>
      </c>
      <c r="K196" s="4">
        <f t="shared" si="10"/>
        <v>67.760000000000005</v>
      </c>
      <c r="L196" s="4">
        <f t="shared" si="11"/>
        <v>68.260000000000005</v>
      </c>
      <c r="M196" s="4">
        <f t="shared" si="12"/>
        <v>-0.5</v>
      </c>
      <c r="N196" s="4">
        <v>7.38</v>
      </c>
      <c r="O196" s="4">
        <v>88.95</v>
      </c>
      <c r="P196" s="4">
        <v>61</v>
      </c>
      <c r="Q196" s="4">
        <v>20.6</v>
      </c>
      <c r="R196" s="4">
        <v>8.81</v>
      </c>
      <c r="S196" s="4">
        <v>15.68</v>
      </c>
      <c r="T196" s="4">
        <v>4.6900000000000004</v>
      </c>
      <c r="U196" s="4">
        <v>6.04</v>
      </c>
      <c r="V196" s="4">
        <v>3603.47</v>
      </c>
      <c r="W196" s="4">
        <v>1068.03</v>
      </c>
      <c r="X196" s="4">
        <v>1226.43</v>
      </c>
      <c r="Y196" s="4">
        <v>754.68</v>
      </c>
      <c r="Z196" s="4">
        <v>6.45</v>
      </c>
      <c r="AA196" s="4">
        <v>1.58</v>
      </c>
      <c r="AB196" s="4">
        <v>4.4400000000000004</v>
      </c>
      <c r="AC196" s="4">
        <v>65.27</v>
      </c>
      <c r="AD196" s="4">
        <v>680</v>
      </c>
      <c r="AE196" s="4">
        <v>5900</v>
      </c>
      <c r="AF196" s="4">
        <v>79.55</v>
      </c>
      <c r="AG196" s="4">
        <v>0.59</v>
      </c>
      <c r="AH196" s="4">
        <v>15.8</v>
      </c>
      <c r="AI196" s="4">
        <v>44.87</v>
      </c>
      <c r="AJ196" s="4">
        <v>60</v>
      </c>
      <c r="AK196" s="4">
        <v>9</v>
      </c>
      <c r="AL196" s="4">
        <v>9</v>
      </c>
      <c r="AM196" s="4">
        <v>0.7</v>
      </c>
      <c r="AN196" s="4">
        <v>408</v>
      </c>
      <c r="AO196" s="4">
        <v>414.3</v>
      </c>
      <c r="AP196" s="4">
        <v>388360.26</v>
      </c>
      <c r="AQ196" s="4">
        <v>239059.48</v>
      </c>
      <c r="AR196" s="4" t="s">
        <v>867</v>
      </c>
      <c r="AS196" s="5">
        <f t="shared" si="0"/>
        <v>8.5217340182648407</v>
      </c>
    </row>
    <row r="197" spans="1:45" ht="14.25" customHeight="1" x14ac:dyDescent="0.55000000000000004">
      <c r="A197" s="4">
        <v>20.350000000000001</v>
      </c>
      <c r="B197" s="4">
        <v>29.06</v>
      </c>
      <c r="C197" s="4">
        <v>5709.88</v>
      </c>
      <c r="D197" s="4">
        <v>7.61</v>
      </c>
      <c r="E197" s="4" t="s">
        <v>1816</v>
      </c>
      <c r="F197" s="4" t="s">
        <v>1817</v>
      </c>
      <c r="G197" s="4" t="s">
        <v>1727</v>
      </c>
      <c r="H197" s="4" t="s">
        <v>1818</v>
      </c>
      <c r="I197" s="4">
        <v>0</v>
      </c>
      <c r="J197" s="4">
        <v>1036.81</v>
      </c>
      <c r="K197" s="4">
        <f t="shared" si="10"/>
        <v>66.77</v>
      </c>
      <c r="L197" s="4">
        <f t="shared" si="11"/>
        <v>65.5</v>
      </c>
      <c r="M197" s="4">
        <f t="shared" si="12"/>
        <v>1.269999999999996</v>
      </c>
      <c r="N197" s="4">
        <v>7.49</v>
      </c>
      <c r="O197" s="4">
        <v>89.04</v>
      </c>
      <c r="P197" s="4">
        <v>67</v>
      </c>
      <c r="Q197" s="4">
        <v>19.399999999999999</v>
      </c>
      <c r="R197" s="4">
        <v>8.6999999999999993</v>
      </c>
      <c r="S197" s="4">
        <v>15.35</v>
      </c>
      <c r="T197" s="4">
        <v>5</v>
      </c>
      <c r="U197" s="4">
        <v>5.51</v>
      </c>
      <c r="V197" s="4">
        <v>3654.32</v>
      </c>
      <c r="W197" s="4">
        <v>1082.5899999999999</v>
      </c>
      <c r="X197" s="4">
        <v>1230</v>
      </c>
      <c r="Y197" s="4">
        <v>763.07</v>
      </c>
      <c r="Z197" s="4">
        <v>7.64</v>
      </c>
      <c r="AA197" s="4">
        <v>1.6</v>
      </c>
      <c r="AB197" s="4">
        <v>4.41</v>
      </c>
      <c r="AC197" s="4">
        <v>63.5</v>
      </c>
      <c r="AD197" s="4">
        <v>680</v>
      </c>
      <c r="AE197" s="4">
        <v>5900</v>
      </c>
      <c r="AF197" s="4">
        <v>78.58</v>
      </c>
      <c r="AG197" s="4">
        <v>0.59</v>
      </c>
      <c r="AH197" s="4">
        <v>17.43</v>
      </c>
      <c r="AI197" s="4">
        <v>53.95</v>
      </c>
      <c r="AJ197" s="4">
        <v>60</v>
      </c>
      <c r="AK197" s="4">
        <v>9</v>
      </c>
      <c r="AL197" s="4">
        <v>9</v>
      </c>
      <c r="AM197" s="4">
        <v>0.57999999999999996</v>
      </c>
      <c r="AN197" s="4">
        <v>408</v>
      </c>
      <c r="AO197" s="4">
        <v>413.24</v>
      </c>
      <c r="AP197" s="4">
        <v>331099.36</v>
      </c>
      <c r="AQ197" s="4">
        <v>290788.57</v>
      </c>
      <c r="AR197" s="4" t="s">
        <v>871</v>
      </c>
      <c r="AS197" s="5">
        <f t="shared" si="0"/>
        <v>2.3008441780821904</v>
      </c>
    </row>
    <row r="198" spans="1:45" ht="14.25" customHeight="1" x14ac:dyDescent="0.55000000000000004">
      <c r="A198" s="4">
        <v>20.47</v>
      </c>
      <c r="B198" s="4">
        <v>29.24</v>
      </c>
      <c r="C198" s="4">
        <v>5618.03</v>
      </c>
      <c r="D198" s="4">
        <v>7.6</v>
      </c>
      <c r="E198" s="4" t="s">
        <v>1819</v>
      </c>
      <c r="F198" s="4" t="s">
        <v>1820</v>
      </c>
      <c r="G198" s="4" t="s">
        <v>1821</v>
      </c>
      <c r="H198" s="4" t="s">
        <v>1822</v>
      </c>
      <c r="I198" s="4">
        <v>0</v>
      </c>
      <c r="J198" s="4">
        <v>900.95</v>
      </c>
      <c r="K198" s="4">
        <f t="shared" si="10"/>
        <v>64.16</v>
      </c>
      <c r="L198" s="4">
        <f t="shared" si="11"/>
        <v>61.89</v>
      </c>
      <c r="M198" s="4">
        <f t="shared" si="12"/>
        <v>2.269999999999996</v>
      </c>
      <c r="N198" s="4">
        <v>7.36</v>
      </c>
      <c r="O198" s="4">
        <v>89.15</v>
      </c>
      <c r="P198" s="4">
        <v>68</v>
      </c>
      <c r="Q198" s="4">
        <v>19.5</v>
      </c>
      <c r="R198" s="4">
        <v>8.77</v>
      </c>
      <c r="S198" s="4">
        <v>15.57</v>
      </c>
      <c r="T198" s="4">
        <v>4.9000000000000004</v>
      </c>
      <c r="U198" s="4">
        <v>6.24</v>
      </c>
      <c r="V198" s="4">
        <v>3595.54</v>
      </c>
      <c r="W198" s="4">
        <v>1066.45</v>
      </c>
      <c r="X198" s="4">
        <v>1232.8699999999999</v>
      </c>
      <c r="Y198" s="4">
        <v>755.21</v>
      </c>
      <c r="Z198" s="4">
        <v>8.2899999999999991</v>
      </c>
      <c r="AA198" s="4">
        <v>1.59</v>
      </c>
      <c r="AB198" s="4">
        <v>4.42</v>
      </c>
      <c r="AC198" s="4">
        <v>64.16</v>
      </c>
      <c r="AD198" s="4">
        <v>680</v>
      </c>
      <c r="AE198" s="4">
        <v>5900</v>
      </c>
      <c r="AF198" s="4">
        <v>79.2</v>
      </c>
      <c r="AG198" s="4">
        <v>0.59</v>
      </c>
      <c r="AH198" s="4">
        <v>15.13</v>
      </c>
      <c r="AI198" s="4">
        <v>60.91</v>
      </c>
      <c r="AJ198" s="4">
        <v>60</v>
      </c>
      <c r="AK198" s="4">
        <v>9</v>
      </c>
      <c r="AL198" s="4">
        <v>9</v>
      </c>
      <c r="AM198" s="4">
        <v>0.52</v>
      </c>
      <c r="AN198" s="4">
        <v>408</v>
      </c>
      <c r="AO198" s="4">
        <v>412.64</v>
      </c>
      <c r="AP198" s="4">
        <v>385747.04</v>
      </c>
      <c r="AQ198" s="4">
        <v>295029.95</v>
      </c>
      <c r="AR198" s="4" t="s">
        <v>875</v>
      </c>
      <c r="AS198" s="5">
        <f t="shared" si="0"/>
        <v>5.1779160958904091</v>
      </c>
    </row>
    <row r="199" spans="1:45" ht="14.25" customHeight="1" x14ac:dyDescent="0.55000000000000004">
      <c r="A199" s="4">
        <v>20.56</v>
      </c>
      <c r="B199" s="4">
        <v>29.33</v>
      </c>
      <c r="C199" s="4">
        <v>5674.13</v>
      </c>
      <c r="D199" s="4">
        <v>7.6</v>
      </c>
      <c r="E199" s="4" t="s">
        <v>1823</v>
      </c>
      <c r="F199" s="4" t="s">
        <v>1824</v>
      </c>
      <c r="G199" s="4" t="s">
        <v>343</v>
      </c>
      <c r="H199" s="4" t="s">
        <v>1825</v>
      </c>
      <c r="I199" s="4">
        <v>0</v>
      </c>
      <c r="J199" s="4">
        <v>879.58</v>
      </c>
      <c r="K199" s="4">
        <f t="shared" si="10"/>
        <v>62.379999999999995</v>
      </c>
      <c r="L199" s="4">
        <f t="shared" si="11"/>
        <v>62.849999999999994</v>
      </c>
      <c r="M199" s="4">
        <f t="shared" si="12"/>
        <v>-0.46999999999999886</v>
      </c>
      <c r="N199" s="4">
        <v>7.35</v>
      </c>
      <c r="O199" s="4">
        <v>89.19</v>
      </c>
      <c r="P199" s="4">
        <v>73</v>
      </c>
      <c r="Q199" s="4">
        <v>19.2</v>
      </c>
      <c r="R199" s="4">
        <v>8.76</v>
      </c>
      <c r="S199" s="4">
        <v>15.9</v>
      </c>
      <c r="T199" s="4">
        <v>4.66</v>
      </c>
      <c r="U199" s="4">
        <v>6.45</v>
      </c>
      <c r="V199" s="4">
        <v>3631.44</v>
      </c>
      <c r="W199" s="4">
        <v>1078.08</v>
      </c>
      <c r="X199" s="4">
        <v>1254.79</v>
      </c>
      <c r="Y199" s="4">
        <v>765.29</v>
      </c>
      <c r="Z199" s="4">
        <v>5.95</v>
      </c>
      <c r="AA199" s="4">
        <v>1.6</v>
      </c>
      <c r="AB199" s="4">
        <v>4.4000000000000004</v>
      </c>
      <c r="AC199" s="4">
        <v>65.28</v>
      </c>
      <c r="AD199" s="4">
        <v>680</v>
      </c>
      <c r="AE199" s="4">
        <v>5900</v>
      </c>
      <c r="AF199" s="4">
        <v>79.11</v>
      </c>
      <c r="AG199" s="4">
        <v>0.59</v>
      </c>
      <c r="AH199" s="4">
        <v>14.51</v>
      </c>
      <c r="AI199" s="4">
        <v>44.99</v>
      </c>
      <c r="AJ199" s="4">
        <v>60</v>
      </c>
      <c r="AK199" s="4">
        <v>9</v>
      </c>
      <c r="AL199" s="4">
        <v>9</v>
      </c>
      <c r="AM199" s="4">
        <v>0.7</v>
      </c>
      <c r="AN199" s="4">
        <v>408</v>
      </c>
      <c r="AO199" s="4">
        <v>414.28</v>
      </c>
      <c r="AP199" s="4">
        <v>383950.55</v>
      </c>
      <c r="AQ199" s="4">
        <v>172993.82</v>
      </c>
      <c r="AR199" s="4" t="s">
        <v>880</v>
      </c>
      <c r="AS199" s="5">
        <f t="shared" si="0"/>
        <v>12.040909246575341</v>
      </c>
    </row>
    <row r="200" spans="1:45" ht="14.25" customHeight="1" x14ac:dyDescent="0.55000000000000004">
      <c r="A200" s="4">
        <v>20.399999999999999</v>
      </c>
      <c r="B200" s="4">
        <v>29.24</v>
      </c>
      <c r="C200" s="4">
        <v>5622.33</v>
      </c>
      <c r="D200" s="4">
        <v>7.6</v>
      </c>
      <c r="E200" s="4" t="s">
        <v>1826</v>
      </c>
      <c r="F200" s="4" t="s">
        <v>1827</v>
      </c>
      <c r="G200" s="4" t="s">
        <v>1828</v>
      </c>
      <c r="H200" s="4" t="s">
        <v>1829</v>
      </c>
      <c r="I200" s="4">
        <v>0</v>
      </c>
      <c r="J200" s="4">
        <v>953.41</v>
      </c>
      <c r="K200" s="4">
        <f t="shared" si="10"/>
        <v>71.44</v>
      </c>
      <c r="L200" s="4">
        <f t="shared" si="11"/>
        <v>71.67</v>
      </c>
      <c r="M200" s="4">
        <f t="shared" si="12"/>
        <v>-0.23000000000000398</v>
      </c>
      <c r="N200" s="4">
        <v>7.4</v>
      </c>
      <c r="O200" s="4">
        <v>88.79</v>
      </c>
      <c r="P200" s="4">
        <v>65</v>
      </c>
      <c r="Q200" s="4">
        <v>19.8</v>
      </c>
      <c r="R200" s="4">
        <v>8.84</v>
      </c>
      <c r="S200" s="4">
        <v>15.47</v>
      </c>
      <c r="T200" s="4">
        <v>4.93</v>
      </c>
      <c r="U200" s="4">
        <v>5.9</v>
      </c>
      <c r="V200" s="4">
        <v>3598.29</v>
      </c>
      <c r="W200" s="4">
        <v>1066.3599999999999</v>
      </c>
      <c r="X200" s="4">
        <v>1221.6099999999999</v>
      </c>
      <c r="Y200" s="4">
        <v>753.07</v>
      </c>
      <c r="Z200" s="4">
        <v>6.98</v>
      </c>
      <c r="AA200" s="4">
        <v>1.59</v>
      </c>
      <c r="AB200" s="4">
        <v>4.43</v>
      </c>
      <c r="AC200" s="4">
        <v>64.17</v>
      </c>
      <c r="AD200" s="4">
        <v>680</v>
      </c>
      <c r="AE200" s="4">
        <v>5900</v>
      </c>
      <c r="AF200" s="4">
        <v>79.78</v>
      </c>
      <c r="AG200" s="4">
        <v>0.59</v>
      </c>
      <c r="AH200" s="4">
        <v>16.29</v>
      </c>
      <c r="AI200" s="4">
        <v>46.03</v>
      </c>
      <c r="AJ200" s="4">
        <v>60</v>
      </c>
      <c r="AK200" s="4">
        <v>9</v>
      </c>
      <c r="AL200" s="4">
        <v>9</v>
      </c>
      <c r="AM200" s="4">
        <v>0.68</v>
      </c>
      <c r="AN200" s="4">
        <v>408</v>
      </c>
      <c r="AO200" s="4">
        <v>414.14</v>
      </c>
      <c r="AP200" s="4">
        <v>392885.77</v>
      </c>
      <c r="AQ200" s="4">
        <v>288473.17</v>
      </c>
      <c r="AR200" s="4" t="s">
        <v>885</v>
      </c>
      <c r="AS200" s="5">
        <f t="shared" si="0"/>
        <v>5.9596232876712349</v>
      </c>
    </row>
    <row r="201" spans="1:45" ht="14.25" customHeight="1" x14ac:dyDescent="0.55000000000000004">
      <c r="A201" s="4">
        <v>20.239999999999998</v>
      </c>
      <c r="B201" s="4">
        <v>28.74</v>
      </c>
      <c r="C201" s="4">
        <v>5556.92</v>
      </c>
      <c r="D201" s="4">
        <v>7.6</v>
      </c>
      <c r="E201" s="4" t="s">
        <v>1830</v>
      </c>
      <c r="F201" s="4" t="s">
        <v>1831</v>
      </c>
      <c r="G201" s="4" t="s">
        <v>705</v>
      </c>
      <c r="H201" s="4" t="s">
        <v>1832</v>
      </c>
      <c r="I201" s="4">
        <v>0</v>
      </c>
      <c r="J201" s="4">
        <v>951.69</v>
      </c>
      <c r="K201" s="4">
        <f t="shared" si="10"/>
        <v>65.31</v>
      </c>
      <c r="L201" s="4">
        <f t="shared" si="11"/>
        <v>64.53</v>
      </c>
      <c r="M201" s="4">
        <f t="shared" si="12"/>
        <v>0.78000000000000114</v>
      </c>
      <c r="N201" s="4">
        <v>7.36</v>
      </c>
      <c r="O201" s="4">
        <v>89.05</v>
      </c>
      <c r="P201" s="4">
        <v>66</v>
      </c>
      <c r="Q201" s="4">
        <v>19.600000000000001</v>
      </c>
      <c r="R201" s="4">
        <v>8.5</v>
      </c>
      <c r="S201" s="4">
        <v>15.41</v>
      </c>
      <c r="T201" s="4">
        <v>4.84</v>
      </c>
      <c r="U201" s="4">
        <v>5.84</v>
      </c>
      <c r="V201" s="4">
        <v>3556.43</v>
      </c>
      <c r="W201" s="4">
        <v>1050.49</v>
      </c>
      <c r="X201" s="4">
        <v>1182.3800000000001</v>
      </c>
      <c r="Y201" s="4">
        <v>736.25</v>
      </c>
      <c r="Z201" s="4">
        <v>7.08</v>
      </c>
      <c r="AA201" s="4">
        <v>1.56</v>
      </c>
      <c r="AB201" s="4">
        <v>4.4800000000000004</v>
      </c>
      <c r="AC201" s="4">
        <v>63.73</v>
      </c>
      <c r="AD201" s="4">
        <v>680</v>
      </c>
      <c r="AE201" s="4">
        <v>5900</v>
      </c>
      <c r="AF201" s="4">
        <v>76.709999999999994</v>
      </c>
      <c r="AG201" s="4">
        <v>0.59</v>
      </c>
      <c r="AH201" s="4">
        <v>15.85</v>
      </c>
      <c r="AI201" s="4">
        <v>51.11</v>
      </c>
      <c r="AJ201" s="4">
        <v>60</v>
      </c>
      <c r="AK201" s="4">
        <v>9</v>
      </c>
      <c r="AL201" s="4">
        <v>9</v>
      </c>
      <c r="AM201" s="4">
        <v>0.61</v>
      </c>
      <c r="AN201" s="4">
        <v>408</v>
      </c>
      <c r="AO201" s="4">
        <v>413.53</v>
      </c>
      <c r="AP201" s="4">
        <v>388149.03</v>
      </c>
      <c r="AQ201" s="4">
        <v>282136.73</v>
      </c>
      <c r="AR201" s="4" t="s">
        <v>890</v>
      </c>
      <c r="AS201" s="5">
        <f t="shared" si="0"/>
        <v>6.0509303652968063</v>
      </c>
    </row>
    <row r="202" spans="1:45" ht="14.25" customHeight="1" x14ac:dyDescent="0.55000000000000004">
      <c r="A202" s="4">
        <v>20.6</v>
      </c>
      <c r="B202" s="4">
        <v>29.36</v>
      </c>
      <c r="C202" s="4">
        <v>5666.06</v>
      </c>
      <c r="D202" s="4">
        <v>7.6</v>
      </c>
      <c r="E202" s="4" t="s">
        <v>1833</v>
      </c>
      <c r="F202" s="4" t="s">
        <v>1834</v>
      </c>
      <c r="G202" s="4" t="s">
        <v>338</v>
      </c>
      <c r="H202" s="4" t="s">
        <v>1835</v>
      </c>
      <c r="I202" s="4">
        <v>0</v>
      </c>
      <c r="J202" s="4">
        <v>909.82</v>
      </c>
      <c r="K202" s="4">
        <f t="shared" si="10"/>
        <v>65.459999999999994</v>
      </c>
      <c r="L202" s="4">
        <f t="shared" si="11"/>
        <v>66.55</v>
      </c>
      <c r="M202" s="4">
        <f t="shared" si="12"/>
        <v>-1.0900000000000034</v>
      </c>
      <c r="N202" s="4">
        <v>7.37</v>
      </c>
      <c r="O202" s="4">
        <v>88.97</v>
      </c>
      <c r="P202" s="4">
        <v>73</v>
      </c>
      <c r="Q202" s="4">
        <v>18.8</v>
      </c>
      <c r="R202" s="4">
        <v>8.76</v>
      </c>
      <c r="S202" s="4">
        <v>15.53</v>
      </c>
      <c r="T202" s="4">
        <v>5.07</v>
      </c>
      <c r="U202" s="4">
        <v>6.23</v>
      </c>
      <c r="V202" s="4">
        <v>3626.28</v>
      </c>
      <c r="W202" s="4">
        <v>1075.53</v>
      </c>
      <c r="X202" s="4">
        <v>1242.1099999999999</v>
      </c>
      <c r="Y202" s="4">
        <v>761.46</v>
      </c>
      <c r="Z202" s="4">
        <v>5.9</v>
      </c>
      <c r="AA202" s="4">
        <v>1.6</v>
      </c>
      <c r="AB202" s="4">
        <v>4.41</v>
      </c>
      <c r="AC202" s="4">
        <v>63.33</v>
      </c>
      <c r="AD202" s="4">
        <v>680</v>
      </c>
      <c r="AE202" s="4">
        <v>5900</v>
      </c>
      <c r="AF202" s="4">
        <v>79.06</v>
      </c>
      <c r="AG202" s="4">
        <v>0.59</v>
      </c>
      <c r="AH202" s="4">
        <v>15.12</v>
      </c>
      <c r="AI202" s="4">
        <v>42.49</v>
      </c>
      <c r="AJ202" s="4">
        <v>60</v>
      </c>
      <c r="AK202" s="4">
        <v>9</v>
      </c>
      <c r="AL202" s="4">
        <v>9</v>
      </c>
      <c r="AM202" s="4">
        <v>0.74</v>
      </c>
      <c r="AN202" s="4">
        <v>408</v>
      </c>
      <c r="AO202" s="4">
        <v>414.65</v>
      </c>
      <c r="AP202" s="4">
        <v>386989.43</v>
      </c>
      <c r="AQ202" s="4">
        <v>189047.82</v>
      </c>
      <c r="AR202" s="4" t="s">
        <v>894</v>
      </c>
      <c r="AS202" s="5">
        <f t="shared" si="0"/>
        <v>11.29803710045662</v>
      </c>
    </row>
    <row r="203" spans="1:45" ht="14.25" customHeight="1" x14ac:dyDescent="0.55000000000000004">
      <c r="A203" s="4">
        <v>20.55</v>
      </c>
      <c r="B203" s="4">
        <v>29.32</v>
      </c>
      <c r="C203" s="4">
        <v>5684.77</v>
      </c>
      <c r="D203" s="4">
        <v>7.59</v>
      </c>
      <c r="E203" s="4" t="s">
        <v>1836</v>
      </c>
      <c r="F203" s="4" t="s">
        <v>1837</v>
      </c>
      <c r="G203" s="4" t="s">
        <v>1735</v>
      </c>
      <c r="H203" s="4" t="s">
        <v>1838</v>
      </c>
      <c r="I203" s="4">
        <v>0</v>
      </c>
      <c r="J203" s="4">
        <v>951.5</v>
      </c>
      <c r="K203" s="4">
        <f t="shared" si="10"/>
        <v>69.63</v>
      </c>
      <c r="L203" s="4">
        <f t="shared" si="11"/>
        <v>71.56</v>
      </c>
      <c r="M203" s="4">
        <f t="shared" si="12"/>
        <v>-1.9300000000000068</v>
      </c>
      <c r="N203" s="4">
        <v>7.4</v>
      </c>
      <c r="O203" s="4">
        <v>88.82</v>
      </c>
      <c r="P203" s="4">
        <v>62</v>
      </c>
      <c r="Q203" s="4">
        <v>20.100000000000001</v>
      </c>
      <c r="R203" s="4">
        <v>8.77</v>
      </c>
      <c r="S203" s="4">
        <v>15.36</v>
      </c>
      <c r="T203" s="4">
        <v>5.19</v>
      </c>
      <c r="U203" s="4">
        <v>5.97</v>
      </c>
      <c r="V203" s="4">
        <v>3638.25</v>
      </c>
      <c r="W203" s="4">
        <v>1077.6099999999999</v>
      </c>
      <c r="X203" s="4">
        <v>1231.05</v>
      </c>
      <c r="Y203" s="4">
        <v>760.07</v>
      </c>
      <c r="Z203" s="4">
        <v>5.84</v>
      </c>
      <c r="AA203" s="4">
        <v>1.59</v>
      </c>
      <c r="AB203" s="4">
        <v>4.42</v>
      </c>
      <c r="AC203" s="4">
        <v>62.82</v>
      </c>
      <c r="AD203" s="4">
        <v>680</v>
      </c>
      <c r="AE203" s="4">
        <v>5900</v>
      </c>
      <c r="AF203" s="4">
        <v>79.180000000000007</v>
      </c>
      <c r="AG203" s="4">
        <v>0.59</v>
      </c>
      <c r="AH203" s="4">
        <v>15.92</v>
      </c>
      <c r="AI203" s="4">
        <v>39.51</v>
      </c>
      <c r="AJ203" s="4">
        <v>60</v>
      </c>
      <c r="AK203" s="4">
        <v>9</v>
      </c>
      <c r="AL203" s="4">
        <v>9</v>
      </c>
      <c r="AM203" s="4">
        <v>0.8</v>
      </c>
      <c r="AN203" s="4">
        <v>408</v>
      </c>
      <c r="AO203" s="4">
        <v>415.16</v>
      </c>
      <c r="AP203" s="4">
        <v>390015.5</v>
      </c>
      <c r="AQ203" s="4">
        <v>212871.74</v>
      </c>
      <c r="AR203" s="4" t="s">
        <v>899</v>
      </c>
      <c r="AS203" s="5">
        <f t="shared" si="0"/>
        <v>10.110945205479453</v>
      </c>
    </row>
    <row r="204" spans="1:45" ht="14.25" customHeight="1" x14ac:dyDescent="0.55000000000000004">
      <c r="A204" s="4">
        <v>20.18</v>
      </c>
      <c r="B204" s="4">
        <v>28.66</v>
      </c>
      <c r="C204" s="4">
        <v>5566.29</v>
      </c>
      <c r="D204" s="4">
        <v>7.59</v>
      </c>
      <c r="E204" s="4" t="s">
        <v>1839</v>
      </c>
      <c r="F204" s="4" t="s">
        <v>1840</v>
      </c>
      <c r="G204" s="4" t="s">
        <v>700</v>
      </c>
      <c r="H204" s="4" t="s">
        <v>1841</v>
      </c>
      <c r="I204" s="4">
        <v>0</v>
      </c>
      <c r="J204" s="4">
        <v>954.35</v>
      </c>
      <c r="K204" s="4">
        <f t="shared" si="10"/>
        <v>65.41</v>
      </c>
      <c r="L204" s="4">
        <f t="shared" si="11"/>
        <v>64.66</v>
      </c>
      <c r="M204" s="4">
        <f t="shared" si="12"/>
        <v>0.75</v>
      </c>
      <c r="N204" s="4">
        <v>7.36</v>
      </c>
      <c r="O204" s="4">
        <v>88.88</v>
      </c>
      <c r="P204" s="4">
        <v>64</v>
      </c>
      <c r="Q204" s="4">
        <v>19.8</v>
      </c>
      <c r="R204" s="4">
        <v>8.48</v>
      </c>
      <c r="S204" s="4">
        <v>15.34</v>
      </c>
      <c r="T204" s="4">
        <v>4.84</v>
      </c>
      <c r="U204" s="4">
        <v>5.83</v>
      </c>
      <c r="V204" s="4">
        <v>3562.42</v>
      </c>
      <c r="W204" s="4">
        <v>1052.27</v>
      </c>
      <c r="X204" s="4">
        <v>1184.17</v>
      </c>
      <c r="Y204" s="4">
        <v>737.49</v>
      </c>
      <c r="Z204" s="4">
        <v>7.08</v>
      </c>
      <c r="AA204" s="4">
        <v>1.55</v>
      </c>
      <c r="AB204" s="4">
        <v>4.49</v>
      </c>
      <c r="AC204" s="4">
        <v>63.67</v>
      </c>
      <c r="AD204" s="4">
        <v>680</v>
      </c>
      <c r="AE204" s="4">
        <v>5900</v>
      </c>
      <c r="AF204" s="4">
        <v>76.569999999999993</v>
      </c>
      <c r="AG204" s="4">
        <v>0.59</v>
      </c>
      <c r="AH204" s="4">
        <v>15.85</v>
      </c>
      <c r="AI204" s="4">
        <v>51.02</v>
      </c>
      <c r="AJ204" s="4">
        <v>60</v>
      </c>
      <c r="AK204" s="4">
        <v>9</v>
      </c>
      <c r="AL204" s="4">
        <v>9</v>
      </c>
      <c r="AM204" s="4">
        <v>0.62</v>
      </c>
      <c r="AN204" s="4">
        <v>408</v>
      </c>
      <c r="AO204" s="4">
        <v>413.54</v>
      </c>
      <c r="AP204" s="4">
        <v>387142.22</v>
      </c>
      <c r="AQ204" s="4">
        <v>282589.05</v>
      </c>
      <c r="AR204" s="4" t="s">
        <v>903</v>
      </c>
      <c r="AS204" s="5">
        <f t="shared" si="0"/>
        <v>5.967646689497716</v>
      </c>
    </row>
    <row r="205" spans="1:45" ht="14.25" customHeight="1" x14ac:dyDescent="0.55000000000000004">
      <c r="A205" s="4">
        <v>20.399999999999999</v>
      </c>
      <c r="B205" s="4">
        <v>29.22</v>
      </c>
      <c r="C205" s="4">
        <v>5621.1</v>
      </c>
      <c r="D205" s="4">
        <v>7.6</v>
      </c>
      <c r="E205" s="4" t="s">
        <v>1773</v>
      </c>
      <c r="F205" s="4" t="s">
        <v>1774</v>
      </c>
      <c r="G205" s="4" t="s">
        <v>1775</v>
      </c>
      <c r="H205" s="4" t="s">
        <v>1776</v>
      </c>
      <c r="I205" s="4">
        <v>0</v>
      </c>
      <c r="J205" s="4">
        <v>1011.63</v>
      </c>
      <c r="K205" s="4">
        <f t="shared" si="10"/>
        <v>81.23</v>
      </c>
      <c r="L205" s="4">
        <f t="shared" si="11"/>
        <v>84.14</v>
      </c>
      <c r="M205" s="4">
        <f t="shared" si="12"/>
        <v>-2.9099999999999966</v>
      </c>
      <c r="N205" s="4">
        <v>7.45</v>
      </c>
      <c r="O205" s="4">
        <v>88.85</v>
      </c>
      <c r="P205" s="4">
        <v>57</v>
      </c>
      <c r="Q205" s="4">
        <v>20.3</v>
      </c>
      <c r="R205" s="4">
        <v>8.81</v>
      </c>
      <c r="S205" s="4">
        <v>14.89</v>
      </c>
      <c r="T205" s="4">
        <v>5.52</v>
      </c>
      <c r="U205" s="4">
        <v>5.56</v>
      </c>
      <c r="V205" s="4">
        <v>3597.5</v>
      </c>
      <c r="W205" s="4">
        <v>1064.8900000000001</v>
      </c>
      <c r="X205" s="4">
        <v>1206.74</v>
      </c>
      <c r="Y205" s="4">
        <v>749.41</v>
      </c>
      <c r="Z205" s="4">
        <v>6.28</v>
      </c>
      <c r="AA205" s="4">
        <v>1.57</v>
      </c>
      <c r="AB205" s="4">
        <v>4.45</v>
      </c>
      <c r="AC205" s="4">
        <v>61.51</v>
      </c>
      <c r="AD205" s="4">
        <v>680</v>
      </c>
      <c r="AE205" s="4">
        <v>5900</v>
      </c>
      <c r="AF205" s="4">
        <v>79.56</v>
      </c>
      <c r="AG205" s="4">
        <v>0.59</v>
      </c>
      <c r="AH205" s="4">
        <v>17.46</v>
      </c>
      <c r="AI205" s="4">
        <v>36.409999999999997</v>
      </c>
      <c r="AJ205" s="4">
        <v>60</v>
      </c>
      <c r="AK205" s="4">
        <v>9</v>
      </c>
      <c r="AL205" s="4">
        <v>9</v>
      </c>
      <c r="AM205" s="4">
        <v>0.86</v>
      </c>
      <c r="AN205" s="4">
        <v>408</v>
      </c>
      <c r="AO205" s="4">
        <v>415.77</v>
      </c>
      <c r="AP205" s="4">
        <v>403988.54</v>
      </c>
      <c r="AQ205" s="4">
        <v>306315.89</v>
      </c>
      <c r="AR205" s="4" t="s">
        <v>908</v>
      </c>
      <c r="AS205" s="5">
        <f t="shared" si="0"/>
        <v>5.5749229452054774</v>
      </c>
    </row>
    <row r="206" spans="1:45" ht="14.25" customHeight="1" x14ac:dyDescent="0.55000000000000004">
      <c r="A206" s="4">
        <v>20.149999999999999</v>
      </c>
      <c r="B206" s="4">
        <v>29.05</v>
      </c>
      <c r="C206" s="4">
        <v>5572.64</v>
      </c>
      <c r="D206" s="4">
        <v>7.6</v>
      </c>
      <c r="E206" s="4" t="s">
        <v>1842</v>
      </c>
      <c r="F206" s="4" t="s">
        <v>1843</v>
      </c>
      <c r="G206" s="4" t="s">
        <v>463</v>
      </c>
      <c r="H206" s="4" t="s">
        <v>1844</v>
      </c>
      <c r="I206" s="4">
        <v>0</v>
      </c>
      <c r="J206" s="4">
        <v>945.98</v>
      </c>
      <c r="K206" s="4">
        <f t="shared" si="10"/>
        <v>69.44</v>
      </c>
      <c r="L206" s="4">
        <f t="shared" si="11"/>
        <v>69.36999999999999</v>
      </c>
      <c r="M206" s="4">
        <f t="shared" si="12"/>
        <v>7.000000000000739E-2</v>
      </c>
      <c r="N206" s="4">
        <v>7.4</v>
      </c>
      <c r="O206" s="4">
        <v>88.96</v>
      </c>
      <c r="P206" s="4">
        <v>55</v>
      </c>
      <c r="Q206" s="4">
        <v>20.9</v>
      </c>
      <c r="R206" s="4">
        <v>8.91</v>
      </c>
      <c r="S206" s="4">
        <v>15.15</v>
      </c>
      <c r="T206" s="4">
        <v>4.99</v>
      </c>
      <c r="U206" s="4">
        <v>5.89</v>
      </c>
      <c r="V206" s="4">
        <v>3566.49</v>
      </c>
      <c r="W206" s="4">
        <v>1056.8900000000001</v>
      </c>
      <c r="X206" s="4">
        <v>1211.19</v>
      </c>
      <c r="Y206" s="4">
        <v>746.38</v>
      </c>
      <c r="Z206" s="4">
        <v>7.01</v>
      </c>
      <c r="AA206" s="4">
        <v>1.57</v>
      </c>
      <c r="AB206" s="4">
        <v>4.46</v>
      </c>
      <c r="AC206" s="4">
        <v>64.08</v>
      </c>
      <c r="AD206" s="4">
        <v>680</v>
      </c>
      <c r="AE206" s="4">
        <v>5900</v>
      </c>
      <c r="AF206" s="4">
        <v>80.400000000000006</v>
      </c>
      <c r="AG206" s="4">
        <v>0.59</v>
      </c>
      <c r="AH206" s="4">
        <v>16.440000000000001</v>
      </c>
      <c r="AI206" s="4">
        <v>47.55</v>
      </c>
      <c r="AJ206" s="4">
        <v>60</v>
      </c>
      <c r="AK206" s="4">
        <v>9</v>
      </c>
      <c r="AL206" s="4">
        <v>9</v>
      </c>
      <c r="AM206" s="4">
        <v>0.66</v>
      </c>
      <c r="AN206" s="4">
        <v>408</v>
      </c>
      <c r="AO206" s="4">
        <v>413.95</v>
      </c>
      <c r="AP206" s="4">
        <v>389059.1</v>
      </c>
      <c r="AQ206" s="4">
        <v>279481.38</v>
      </c>
      <c r="AR206" s="4" t="s">
        <v>913</v>
      </c>
      <c r="AS206" s="5">
        <f t="shared" si="0"/>
        <v>6.2544360730593596</v>
      </c>
    </row>
    <row r="207" spans="1:45" ht="14.25" customHeight="1" x14ac:dyDescent="0.55000000000000004">
      <c r="A207" s="4">
        <v>20.010000000000002</v>
      </c>
      <c r="B207" s="4">
        <v>28.59</v>
      </c>
      <c r="C207" s="4">
        <v>5551.81</v>
      </c>
      <c r="D207" s="4">
        <v>7.61</v>
      </c>
      <c r="E207" s="4" t="s">
        <v>1845</v>
      </c>
      <c r="F207" s="4" t="s">
        <v>1846</v>
      </c>
      <c r="G207" s="4" t="s">
        <v>1807</v>
      </c>
      <c r="H207" s="4" t="s">
        <v>1847</v>
      </c>
      <c r="I207" s="4">
        <v>0</v>
      </c>
      <c r="J207" s="4">
        <v>954.3</v>
      </c>
      <c r="K207" s="4">
        <f t="shared" si="10"/>
        <v>65.39</v>
      </c>
      <c r="L207" s="4">
        <f t="shared" si="11"/>
        <v>66.47</v>
      </c>
      <c r="M207" s="4">
        <f t="shared" si="12"/>
        <v>-1.0799999999999983</v>
      </c>
      <c r="N207" s="4">
        <v>7.36</v>
      </c>
      <c r="O207" s="4">
        <v>88.94</v>
      </c>
      <c r="P207" s="4">
        <v>63</v>
      </c>
      <c r="Q207" s="4">
        <v>19.8</v>
      </c>
      <c r="R207" s="4">
        <v>8.58</v>
      </c>
      <c r="S207" s="4">
        <v>15.21</v>
      </c>
      <c r="T207" s="4">
        <v>4.8</v>
      </c>
      <c r="U207" s="4">
        <v>5.82</v>
      </c>
      <c r="V207" s="4">
        <v>3553.16</v>
      </c>
      <c r="W207" s="4">
        <v>1049.5999999999999</v>
      </c>
      <c r="X207" s="4">
        <v>1181.55</v>
      </c>
      <c r="Y207" s="4">
        <v>735.72</v>
      </c>
      <c r="Z207" s="4">
        <v>5.9</v>
      </c>
      <c r="AA207" s="4">
        <v>1.56</v>
      </c>
      <c r="AB207" s="4">
        <v>4.4800000000000004</v>
      </c>
      <c r="AC207" s="4">
        <v>64.14</v>
      </c>
      <c r="AD207" s="4">
        <v>680</v>
      </c>
      <c r="AE207" s="4">
        <v>5900</v>
      </c>
      <c r="AF207" s="4">
        <v>77.459999999999994</v>
      </c>
      <c r="AG207" s="4">
        <v>0.59</v>
      </c>
      <c r="AH207" s="4">
        <v>16.079999999999998</v>
      </c>
      <c r="AI207" s="4">
        <v>42.54</v>
      </c>
      <c r="AJ207" s="4">
        <v>60</v>
      </c>
      <c r="AK207" s="4">
        <v>9</v>
      </c>
      <c r="AL207" s="4">
        <v>9</v>
      </c>
      <c r="AM207" s="4">
        <v>0.74</v>
      </c>
      <c r="AN207" s="4">
        <v>408</v>
      </c>
      <c r="AO207" s="4">
        <v>414.65</v>
      </c>
      <c r="AP207" s="4">
        <v>386708.09</v>
      </c>
      <c r="AQ207" s="4">
        <v>215963.57</v>
      </c>
      <c r="AR207" s="4" t="s">
        <v>918</v>
      </c>
      <c r="AS207" s="5">
        <f t="shared" si="0"/>
        <v>9.7456917808219181</v>
      </c>
    </row>
    <row r="208" spans="1:45" ht="14.25" customHeight="1" x14ac:dyDescent="0.55000000000000004">
      <c r="A208" s="4">
        <v>20.079999999999998</v>
      </c>
      <c r="B208" s="4">
        <v>28.55</v>
      </c>
      <c r="C208" s="4">
        <v>5562.73</v>
      </c>
      <c r="D208" s="4">
        <v>7.6</v>
      </c>
      <c r="E208" s="4" t="s">
        <v>1848</v>
      </c>
      <c r="F208" s="4" t="s">
        <v>1849</v>
      </c>
      <c r="G208" s="4" t="s">
        <v>1850</v>
      </c>
      <c r="H208" s="4" t="s">
        <v>1851</v>
      </c>
      <c r="I208" s="4">
        <v>0</v>
      </c>
      <c r="J208" s="4">
        <v>980.48</v>
      </c>
      <c r="K208" s="4">
        <f t="shared" si="10"/>
        <v>68.820000000000007</v>
      </c>
      <c r="L208" s="4">
        <f t="shared" si="11"/>
        <v>70.58</v>
      </c>
      <c r="M208" s="4">
        <f t="shared" si="12"/>
        <v>-1.7599999999999909</v>
      </c>
      <c r="N208" s="4">
        <v>7.38</v>
      </c>
      <c r="O208" s="4">
        <v>88.9</v>
      </c>
      <c r="P208" s="4">
        <v>60</v>
      </c>
      <c r="Q208" s="4">
        <v>20.100000000000001</v>
      </c>
      <c r="R208" s="4">
        <v>8.4700000000000006</v>
      </c>
      <c r="S208" s="4">
        <v>15.1</v>
      </c>
      <c r="T208" s="4">
        <v>4.9800000000000004</v>
      </c>
      <c r="U208" s="4">
        <v>5.67</v>
      </c>
      <c r="V208" s="4">
        <v>3560.15</v>
      </c>
      <c r="W208" s="4">
        <v>1051.1500000000001</v>
      </c>
      <c r="X208" s="4">
        <v>1177.5999999999999</v>
      </c>
      <c r="Y208" s="4">
        <v>735.7</v>
      </c>
      <c r="Z208" s="4">
        <v>5.85</v>
      </c>
      <c r="AA208" s="4">
        <v>1.55</v>
      </c>
      <c r="AB208" s="4">
        <v>4.49</v>
      </c>
      <c r="AC208" s="4">
        <v>62.98</v>
      </c>
      <c r="AD208" s="4">
        <v>680</v>
      </c>
      <c r="AE208" s="4">
        <v>5900</v>
      </c>
      <c r="AF208" s="4">
        <v>76.489999999999995</v>
      </c>
      <c r="AG208" s="4">
        <v>0.59</v>
      </c>
      <c r="AH208" s="4">
        <v>16.37</v>
      </c>
      <c r="AI208" s="4">
        <v>40.06</v>
      </c>
      <c r="AJ208" s="4">
        <v>60</v>
      </c>
      <c r="AK208" s="4">
        <v>9</v>
      </c>
      <c r="AL208" s="4">
        <v>9</v>
      </c>
      <c r="AM208" s="4">
        <v>0.78</v>
      </c>
      <c r="AN208" s="4">
        <v>408</v>
      </c>
      <c r="AO208" s="4">
        <v>415.06</v>
      </c>
      <c r="AP208" s="4">
        <v>390747.23</v>
      </c>
      <c r="AQ208" s="4">
        <v>233431.12</v>
      </c>
      <c r="AR208" s="4" t="s">
        <v>923</v>
      </c>
      <c r="AS208" s="5">
        <f t="shared" si="0"/>
        <v>8.9792300228310502</v>
      </c>
    </row>
    <row r="209" spans="1:45" ht="14.25" customHeight="1" x14ac:dyDescent="0.55000000000000004">
      <c r="A209" s="4">
        <v>20.43</v>
      </c>
      <c r="B209" s="4">
        <v>29.15</v>
      </c>
      <c r="C209" s="4">
        <v>5706.09</v>
      </c>
      <c r="D209" s="4">
        <v>7.6</v>
      </c>
      <c r="E209" s="4" t="s">
        <v>1852</v>
      </c>
      <c r="F209" s="4" t="s">
        <v>1853</v>
      </c>
      <c r="G209" s="4" t="s">
        <v>209</v>
      </c>
      <c r="H209" s="4" t="s">
        <v>1854</v>
      </c>
      <c r="I209" s="4">
        <v>0</v>
      </c>
      <c r="J209" s="4">
        <v>1018.67</v>
      </c>
      <c r="K209" s="4">
        <f t="shared" si="10"/>
        <v>64.77</v>
      </c>
      <c r="L209" s="4">
        <f t="shared" si="11"/>
        <v>63.2</v>
      </c>
      <c r="M209" s="4">
        <f t="shared" si="12"/>
        <v>1.5699999999999932</v>
      </c>
      <c r="N209" s="4">
        <v>7.48</v>
      </c>
      <c r="O209" s="4">
        <v>89.07</v>
      </c>
      <c r="P209" s="4">
        <v>72</v>
      </c>
      <c r="Q209" s="4">
        <v>18.8</v>
      </c>
      <c r="R209" s="4">
        <v>8.7200000000000006</v>
      </c>
      <c r="S209" s="4">
        <v>15.41</v>
      </c>
      <c r="T209" s="4">
        <v>5.03</v>
      </c>
      <c r="U209" s="4">
        <v>5.6</v>
      </c>
      <c r="V209" s="4">
        <v>3651.9</v>
      </c>
      <c r="W209" s="4">
        <v>1082.79</v>
      </c>
      <c r="X209" s="4">
        <v>1237.44</v>
      </c>
      <c r="Y209" s="4">
        <v>764.87</v>
      </c>
      <c r="Z209" s="4">
        <v>7.69</v>
      </c>
      <c r="AA209" s="4">
        <v>1.59</v>
      </c>
      <c r="AB209" s="4">
        <v>4.41</v>
      </c>
      <c r="AC209" s="4">
        <v>63.43</v>
      </c>
      <c r="AD209" s="4">
        <v>680</v>
      </c>
      <c r="AE209" s="4">
        <v>5900</v>
      </c>
      <c r="AF209" s="4">
        <v>78.680000000000007</v>
      </c>
      <c r="AG209" s="4">
        <v>0.59</v>
      </c>
      <c r="AH209" s="4">
        <v>17.100000000000001</v>
      </c>
      <c r="AI209" s="4">
        <v>55.93</v>
      </c>
      <c r="AJ209" s="4">
        <v>60</v>
      </c>
      <c r="AK209" s="4">
        <v>9</v>
      </c>
      <c r="AL209" s="4">
        <v>9</v>
      </c>
      <c r="AM209" s="4">
        <v>0.56000000000000005</v>
      </c>
      <c r="AN209" s="4">
        <v>408</v>
      </c>
      <c r="AO209" s="4">
        <v>413.06</v>
      </c>
      <c r="AP209" s="4">
        <v>328354.68</v>
      </c>
      <c r="AQ209" s="4">
        <v>274163.11</v>
      </c>
      <c r="AR209" s="4" t="s">
        <v>928</v>
      </c>
      <c r="AS209" s="5">
        <f t="shared" si="0"/>
        <v>3.0931261415525118</v>
      </c>
    </row>
    <row r="210" spans="1:45" ht="14.25" customHeight="1" x14ac:dyDescent="0.55000000000000004">
      <c r="A210" s="4">
        <v>20.059999999999999</v>
      </c>
      <c r="B210" s="4">
        <v>28.59</v>
      </c>
      <c r="C210" s="4">
        <v>5520.47</v>
      </c>
      <c r="D210" s="4">
        <v>7.6</v>
      </c>
      <c r="E210" s="4" t="s">
        <v>1855</v>
      </c>
      <c r="F210" s="4" t="s">
        <v>1856</v>
      </c>
      <c r="G210" s="4" t="s">
        <v>1857</v>
      </c>
      <c r="H210" s="4" t="s">
        <v>1858</v>
      </c>
      <c r="I210" s="4">
        <v>0</v>
      </c>
      <c r="J210" s="4">
        <v>953.42</v>
      </c>
      <c r="K210" s="4">
        <f t="shared" si="10"/>
        <v>65.19</v>
      </c>
      <c r="L210" s="4">
        <f t="shared" si="11"/>
        <v>66.239999999999995</v>
      </c>
      <c r="M210" s="4">
        <f t="shared" si="12"/>
        <v>-1.0499999999999972</v>
      </c>
      <c r="N210" s="4">
        <v>7.36</v>
      </c>
      <c r="O210" s="4">
        <v>89.03</v>
      </c>
      <c r="P210" s="4">
        <v>64</v>
      </c>
      <c r="Q210" s="4">
        <v>20.5</v>
      </c>
      <c r="R210" s="4">
        <v>8.5299999999999994</v>
      </c>
      <c r="S210" s="4">
        <v>15.98</v>
      </c>
      <c r="T210" s="4">
        <v>4.09</v>
      </c>
      <c r="U210" s="4">
        <v>5.79</v>
      </c>
      <c r="V210" s="4">
        <v>3533.1</v>
      </c>
      <c r="W210" s="4">
        <v>1043.6300000000001</v>
      </c>
      <c r="X210" s="4">
        <v>1174.68</v>
      </c>
      <c r="Y210" s="4">
        <v>731.48</v>
      </c>
      <c r="Z210" s="4">
        <v>5.91</v>
      </c>
      <c r="AA210" s="4">
        <v>1.55</v>
      </c>
      <c r="AB210" s="4">
        <v>4.5</v>
      </c>
      <c r="AC210" s="4">
        <v>67.599999999999994</v>
      </c>
      <c r="AD210" s="4">
        <v>680</v>
      </c>
      <c r="AE210" s="4">
        <v>5900</v>
      </c>
      <c r="AF210" s="4">
        <v>76.959999999999994</v>
      </c>
      <c r="AG210" s="4">
        <v>0.59</v>
      </c>
      <c r="AH210" s="4">
        <v>16.07</v>
      </c>
      <c r="AI210" s="4">
        <v>42.69</v>
      </c>
      <c r="AJ210" s="4">
        <v>60</v>
      </c>
      <c r="AK210" s="4">
        <v>9</v>
      </c>
      <c r="AL210" s="4">
        <v>9</v>
      </c>
      <c r="AM210" s="4">
        <v>0.74</v>
      </c>
      <c r="AN210" s="4">
        <v>408</v>
      </c>
      <c r="AO210" s="4">
        <v>414.62</v>
      </c>
      <c r="AP210" s="4">
        <v>386564.42</v>
      </c>
      <c r="AQ210" s="4">
        <v>215466.45</v>
      </c>
      <c r="AR210" s="4" t="s">
        <v>933</v>
      </c>
      <c r="AS210" s="5">
        <f t="shared" si="0"/>
        <v>9.7658658675799064</v>
      </c>
    </row>
    <row r="211" spans="1:45" ht="14.25" customHeight="1" x14ac:dyDescent="0.55000000000000004">
      <c r="A211" s="4">
        <v>20.260000000000002</v>
      </c>
      <c r="B211" s="4">
        <v>28.78</v>
      </c>
      <c r="C211" s="4">
        <v>5519.83</v>
      </c>
      <c r="D211" s="4">
        <v>7.6</v>
      </c>
      <c r="E211" s="4" t="s">
        <v>1859</v>
      </c>
      <c r="F211" s="4" t="s">
        <v>1860</v>
      </c>
      <c r="G211" s="4" t="s">
        <v>1861</v>
      </c>
      <c r="H211" s="4" t="s">
        <v>1862</v>
      </c>
      <c r="I211" s="4">
        <v>0</v>
      </c>
      <c r="J211" s="4">
        <v>948.49</v>
      </c>
      <c r="K211" s="4">
        <f t="shared" si="10"/>
        <v>64.819999999999993</v>
      </c>
      <c r="L211" s="4">
        <f t="shared" si="11"/>
        <v>65.77</v>
      </c>
      <c r="M211" s="4">
        <f t="shared" si="12"/>
        <v>-0.95000000000000284</v>
      </c>
      <c r="N211" s="4">
        <v>7.36</v>
      </c>
      <c r="O211" s="4">
        <v>88.93</v>
      </c>
      <c r="P211" s="4">
        <v>66</v>
      </c>
      <c r="Q211" s="4">
        <v>20.100000000000001</v>
      </c>
      <c r="R211" s="4">
        <v>8.5299999999999994</v>
      </c>
      <c r="S211" s="4">
        <v>15.87</v>
      </c>
      <c r="T211" s="4">
        <v>4.3899999999999997</v>
      </c>
      <c r="U211" s="4">
        <v>5.82</v>
      </c>
      <c r="V211" s="4">
        <v>3532.69</v>
      </c>
      <c r="W211" s="4">
        <v>1043.71</v>
      </c>
      <c r="X211" s="4">
        <v>1176.45</v>
      </c>
      <c r="Y211" s="4">
        <v>731.9</v>
      </c>
      <c r="Z211" s="4">
        <v>5.91</v>
      </c>
      <c r="AA211" s="4">
        <v>1.56</v>
      </c>
      <c r="AB211" s="4">
        <v>4.49</v>
      </c>
      <c r="AC211" s="4">
        <v>66.02</v>
      </c>
      <c r="AD211" s="4">
        <v>680</v>
      </c>
      <c r="AE211" s="4">
        <v>5900</v>
      </c>
      <c r="AF211" s="4">
        <v>76.97</v>
      </c>
      <c r="AG211" s="4">
        <v>0.59</v>
      </c>
      <c r="AH211" s="4">
        <v>15.97</v>
      </c>
      <c r="AI211" s="4">
        <v>42.98</v>
      </c>
      <c r="AJ211" s="4">
        <v>60</v>
      </c>
      <c r="AK211" s="4">
        <v>9</v>
      </c>
      <c r="AL211" s="4">
        <v>9</v>
      </c>
      <c r="AM211" s="4">
        <v>0.73</v>
      </c>
      <c r="AN211" s="4">
        <v>408</v>
      </c>
      <c r="AO211" s="4">
        <v>414.58</v>
      </c>
      <c r="AP211" s="4">
        <v>386325.83</v>
      </c>
      <c r="AQ211" s="4">
        <v>212652.31</v>
      </c>
      <c r="AR211" s="4" t="s">
        <v>938</v>
      </c>
      <c r="AS211" s="5">
        <f t="shared" si="0"/>
        <v>9.9128721461187226</v>
      </c>
    </row>
    <row r="212" spans="1:45" ht="14.25" customHeight="1" x14ac:dyDescent="0.55000000000000004">
      <c r="A212" s="4">
        <v>19.96</v>
      </c>
      <c r="B212" s="4">
        <v>28.51</v>
      </c>
      <c r="C212" s="4">
        <v>5523.98</v>
      </c>
      <c r="D212" s="4">
        <v>7.6</v>
      </c>
      <c r="E212" s="4" t="s">
        <v>1863</v>
      </c>
      <c r="F212" s="4" t="s">
        <v>1864</v>
      </c>
      <c r="G212" s="4" t="s">
        <v>1865</v>
      </c>
      <c r="H212" s="4" t="s">
        <v>1866</v>
      </c>
      <c r="I212" s="4">
        <v>0</v>
      </c>
      <c r="J212" s="4">
        <v>956.3</v>
      </c>
      <c r="K212" s="4">
        <f t="shared" si="10"/>
        <v>66.069999999999993</v>
      </c>
      <c r="L212" s="4">
        <f t="shared" si="11"/>
        <v>67.28</v>
      </c>
      <c r="M212" s="4">
        <f t="shared" si="12"/>
        <v>-1.210000000000008</v>
      </c>
      <c r="N212" s="4">
        <v>7.36</v>
      </c>
      <c r="O212" s="4">
        <v>88.97</v>
      </c>
      <c r="P212" s="4">
        <v>61</v>
      </c>
      <c r="Q212" s="4">
        <v>20.5</v>
      </c>
      <c r="R212" s="4">
        <v>8.5399999999999991</v>
      </c>
      <c r="S212" s="4">
        <v>15.59</v>
      </c>
      <c r="T212" s="4">
        <v>4.37</v>
      </c>
      <c r="U212" s="4">
        <v>5.78</v>
      </c>
      <c r="V212" s="4">
        <v>3535.35</v>
      </c>
      <c r="W212" s="4">
        <v>1044.4000000000001</v>
      </c>
      <c r="X212" s="4">
        <v>1175.9100000000001</v>
      </c>
      <c r="Y212" s="4">
        <v>732.16</v>
      </c>
      <c r="Z212" s="4">
        <v>5.89</v>
      </c>
      <c r="AA212" s="4">
        <v>1.55</v>
      </c>
      <c r="AB212" s="4">
        <v>4.5</v>
      </c>
      <c r="AC212" s="4">
        <v>66.150000000000006</v>
      </c>
      <c r="AD212" s="4">
        <v>680</v>
      </c>
      <c r="AE212" s="4">
        <v>5900</v>
      </c>
      <c r="AF212" s="4">
        <v>77.14</v>
      </c>
      <c r="AG212" s="4">
        <v>0.59</v>
      </c>
      <c r="AH212" s="4">
        <v>16.149999999999999</v>
      </c>
      <c r="AI212" s="4">
        <v>42.03</v>
      </c>
      <c r="AJ212" s="4">
        <v>60</v>
      </c>
      <c r="AK212" s="4">
        <v>9</v>
      </c>
      <c r="AL212" s="4">
        <v>9</v>
      </c>
      <c r="AM212" s="4">
        <v>0.75</v>
      </c>
      <c r="AN212" s="4">
        <v>408</v>
      </c>
      <c r="AO212" s="4">
        <v>414.73</v>
      </c>
      <c r="AP212" s="4">
        <v>388220.22</v>
      </c>
      <c r="AQ212" s="4">
        <v>218262.88</v>
      </c>
      <c r="AR212" s="4" t="s">
        <v>943</v>
      </c>
      <c r="AS212" s="5">
        <f t="shared" si="0"/>
        <v>9.700761415525113</v>
      </c>
    </row>
    <row r="213" spans="1:45" ht="14.25" customHeight="1" x14ac:dyDescent="0.55000000000000004">
      <c r="A213" s="4">
        <v>20.49</v>
      </c>
      <c r="B213" s="4">
        <v>29.01</v>
      </c>
      <c r="C213" s="4">
        <v>5498.35</v>
      </c>
      <c r="D213" s="4">
        <v>7.6</v>
      </c>
      <c r="E213" s="4" t="s">
        <v>1867</v>
      </c>
      <c r="F213" s="4" t="s">
        <v>1868</v>
      </c>
      <c r="G213" s="4" t="s">
        <v>1124</v>
      </c>
      <c r="H213" s="4" t="s">
        <v>1869</v>
      </c>
      <c r="I213" s="4">
        <v>0</v>
      </c>
      <c r="J213" s="4">
        <v>990.68</v>
      </c>
      <c r="K213" s="4">
        <f t="shared" si="10"/>
        <v>69.849999999999994</v>
      </c>
      <c r="L213" s="4">
        <f t="shared" si="11"/>
        <v>69.210000000000008</v>
      </c>
      <c r="M213" s="4">
        <f t="shared" si="12"/>
        <v>0.63999999999998636</v>
      </c>
      <c r="N213" s="4">
        <v>7.39</v>
      </c>
      <c r="O213" s="4">
        <v>88.83</v>
      </c>
      <c r="P213" s="4">
        <v>70</v>
      </c>
      <c r="Q213" s="4">
        <v>20.3</v>
      </c>
      <c r="R213" s="4">
        <v>8.52</v>
      </c>
      <c r="S213" s="4">
        <v>16.559999999999999</v>
      </c>
      <c r="T213" s="4">
        <v>3.93</v>
      </c>
      <c r="U213" s="4">
        <v>5.55</v>
      </c>
      <c r="V213" s="4">
        <v>3518.94</v>
      </c>
      <c r="W213" s="4">
        <v>1038.79</v>
      </c>
      <c r="X213" s="4">
        <v>1161.5899999999999</v>
      </c>
      <c r="Y213" s="4">
        <v>726.62</v>
      </c>
      <c r="Z213" s="4">
        <v>7.57</v>
      </c>
      <c r="AA213" s="4">
        <v>1.55</v>
      </c>
      <c r="AB213" s="4">
        <v>4.5</v>
      </c>
      <c r="AC213" s="4">
        <v>68.44</v>
      </c>
      <c r="AD213" s="4">
        <v>680</v>
      </c>
      <c r="AE213" s="4">
        <v>5900</v>
      </c>
      <c r="AF213" s="4">
        <v>76.930000000000007</v>
      </c>
      <c r="AG213" s="4">
        <v>0.59</v>
      </c>
      <c r="AH213" s="4">
        <v>16.91</v>
      </c>
      <c r="AI213" s="4">
        <v>51.07</v>
      </c>
      <c r="AJ213" s="4">
        <v>60</v>
      </c>
      <c r="AK213" s="4">
        <v>9</v>
      </c>
      <c r="AL213" s="4">
        <v>9</v>
      </c>
      <c r="AM213" s="4">
        <v>0.62</v>
      </c>
      <c r="AN213" s="4">
        <v>408</v>
      </c>
      <c r="AO213" s="4">
        <v>413.54</v>
      </c>
      <c r="AP213" s="4">
        <v>389622.04</v>
      </c>
      <c r="AQ213" s="4">
        <v>338747.52</v>
      </c>
      <c r="AR213" s="4" t="s">
        <v>948</v>
      </c>
      <c r="AS213" s="5">
        <f t="shared" si="0"/>
        <v>2.9037968036529658</v>
      </c>
    </row>
    <row r="214" spans="1:45" ht="14.25" customHeight="1" x14ac:dyDescent="0.55000000000000004">
      <c r="A214" s="4">
        <v>20.81</v>
      </c>
      <c r="B214" s="4">
        <v>29.36</v>
      </c>
      <c r="C214" s="4">
        <v>5481.37</v>
      </c>
      <c r="D214" s="4">
        <v>7.6</v>
      </c>
      <c r="E214" s="4" t="s">
        <v>1870</v>
      </c>
      <c r="F214" s="4" t="s">
        <v>1871</v>
      </c>
      <c r="G214" s="4" t="s">
        <v>1872</v>
      </c>
      <c r="H214" s="4" t="s">
        <v>1873</v>
      </c>
      <c r="I214" s="4">
        <v>0</v>
      </c>
      <c r="J214" s="4">
        <v>932.78</v>
      </c>
      <c r="K214" s="4">
        <f t="shared" si="10"/>
        <v>63.150000000000006</v>
      </c>
      <c r="L214" s="4">
        <f t="shared" si="11"/>
        <v>64.099999999999994</v>
      </c>
      <c r="M214" s="4">
        <f t="shared" si="12"/>
        <v>-0.94999999999998863</v>
      </c>
      <c r="N214" s="4">
        <v>7.35</v>
      </c>
      <c r="O214" s="4">
        <v>89.17</v>
      </c>
      <c r="P214" s="4">
        <v>73</v>
      </c>
      <c r="Q214" s="4">
        <v>20.100000000000001</v>
      </c>
      <c r="R214" s="4">
        <v>8.5500000000000007</v>
      </c>
      <c r="S214" s="4">
        <v>16.75</v>
      </c>
      <c r="T214" s="4">
        <v>4.0599999999999996</v>
      </c>
      <c r="U214" s="4">
        <v>5.88</v>
      </c>
      <c r="V214" s="4">
        <v>3508.08</v>
      </c>
      <c r="W214" s="4">
        <v>1036.8900000000001</v>
      </c>
      <c r="X214" s="4">
        <v>1173.1600000000001</v>
      </c>
      <c r="Y214" s="4">
        <v>728.04</v>
      </c>
      <c r="Z214" s="4">
        <v>5.91</v>
      </c>
      <c r="AA214" s="4">
        <v>1.56</v>
      </c>
      <c r="AB214" s="4">
        <v>4.47</v>
      </c>
      <c r="AC214" s="4">
        <v>67.819999999999993</v>
      </c>
      <c r="AD214" s="4">
        <v>680</v>
      </c>
      <c r="AE214" s="4">
        <v>5900</v>
      </c>
      <c r="AF214" s="4">
        <v>77.17</v>
      </c>
      <c r="AG214" s="4">
        <v>0.59</v>
      </c>
      <c r="AH214" s="4">
        <v>15.83</v>
      </c>
      <c r="AI214" s="4">
        <v>44.11</v>
      </c>
      <c r="AJ214" s="4">
        <v>60</v>
      </c>
      <c r="AK214" s="4">
        <v>9</v>
      </c>
      <c r="AL214" s="4">
        <v>9</v>
      </c>
      <c r="AM214" s="4">
        <v>0.71</v>
      </c>
      <c r="AN214" s="4">
        <v>408</v>
      </c>
      <c r="AO214" s="4">
        <v>414.41</v>
      </c>
      <c r="AP214" s="4">
        <v>381418.81</v>
      </c>
      <c r="AQ214" s="4">
        <v>204501.21</v>
      </c>
      <c r="AR214" s="4" t="s">
        <v>953</v>
      </c>
      <c r="AS214" s="5">
        <f t="shared" si="0"/>
        <v>10.098036529680366</v>
      </c>
    </row>
    <row r="215" spans="1:45" ht="14.25" customHeight="1" x14ac:dyDescent="0.55000000000000004">
      <c r="A215" s="4">
        <v>19.91</v>
      </c>
      <c r="B215" s="4">
        <v>28.41</v>
      </c>
      <c r="C215" s="4">
        <v>5530.56</v>
      </c>
      <c r="D215" s="4">
        <v>7.6</v>
      </c>
      <c r="E215" s="4" t="s">
        <v>1874</v>
      </c>
      <c r="F215" s="4" t="s">
        <v>1875</v>
      </c>
      <c r="G215" s="4" t="s">
        <v>1807</v>
      </c>
      <c r="H215" s="4" t="s">
        <v>1876</v>
      </c>
      <c r="I215" s="4">
        <v>0</v>
      </c>
      <c r="J215" s="4">
        <v>952.25</v>
      </c>
      <c r="K215" s="4">
        <f t="shared" si="10"/>
        <v>64.91</v>
      </c>
      <c r="L215" s="4">
        <f t="shared" si="11"/>
        <v>64.89</v>
      </c>
      <c r="M215" s="4">
        <f t="shared" si="12"/>
        <v>1.9999999999996021E-2</v>
      </c>
      <c r="N215" s="4">
        <v>7.36</v>
      </c>
      <c r="O215" s="4">
        <v>89</v>
      </c>
      <c r="P215" s="4">
        <v>61</v>
      </c>
      <c r="Q215" s="4">
        <v>20.399999999999999</v>
      </c>
      <c r="R215" s="4">
        <v>8.51</v>
      </c>
      <c r="S215" s="4">
        <v>15.5</v>
      </c>
      <c r="T215" s="4">
        <v>4.41</v>
      </c>
      <c r="U215" s="4">
        <v>5.81</v>
      </c>
      <c r="V215" s="4">
        <v>3539.56</v>
      </c>
      <c r="W215" s="4">
        <v>1045.67</v>
      </c>
      <c r="X215" s="4">
        <v>1177.9100000000001</v>
      </c>
      <c r="Y215" s="4">
        <v>733.14</v>
      </c>
      <c r="Z215" s="4">
        <v>6.5</v>
      </c>
      <c r="AA215" s="4">
        <v>1.55</v>
      </c>
      <c r="AB215" s="4">
        <v>4.5</v>
      </c>
      <c r="AC215" s="4">
        <v>65.88</v>
      </c>
      <c r="AD215" s="4">
        <v>680</v>
      </c>
      <c r="AE215" s="4">
        <v>5900</v>
      </c>
      <c r="AF215" s="4">
        <v>76.8</v>
      </c>
      <c r="AG215" s="4">
        <v>0.59</v>
      </c>
      <c r="AH215" s="4">
        <v>15.97</v>
      </c>
      <c r="AI215" s="4">
        <v>47.2</v>
      </c>
      <c r="AJ215" s="4">
        <v>60</v>
      </c>
      <c r="AK215" s="4">
        <v>9</v>
      </c>
      <c r="AL215" s="4">
        <v>9</v>
      </c>
      <c r="AM215" s="4">
        <v>0.67</v>
      </c>
      <c r="AN215" s="4">
        <v>408</v>
      </c>
      <c r="AO215" s="4">
        <v>413.99</v>
      </c>
      <c r="AP215" s="4">
        <v>385162.64</v>
      </c>
      <c r="AQ215" s="4">
        <v>249105.74</v>
      </c>
      <c r="AR215" s="4" t="s">
        <v>958</v>
      </c>
      <c r="AS215" s="5">
        <f t="shared" si="0"/>
        <v>7.7658047945205491</v>
      </c>
    </row>
    <row r="216" spans="1:45" ht="14.25" customHeight="1" x14ac:dyDescent="0.55000000000000004">
      <c r="A216" s="4">
        <v>21.15</v>
      </c>
      <c r="B216" s="4">
        <v>29.68</v>
      </c>
      <c r="C216" s="4">
        <v>5470.95</v>
      </c>
      <c r="D216" s="4">
        <v>7.6</v>
      </c>
      <c r="E216" s="4" t="s">
        <v>1877</v>
      </c>
      <c r="F216" s="4" t="s">
        <v>1878</v>
      </c>
      <c r="G216" s="4" t="s">
        <v>1879</v>
      </c>
      <c r="H216" s="4" t="s">
        <v>1880</v>
      </c>
      <c r="I216" s="4">
        <v>0</v>
      </c>
      <c r="J216" s="4">
        <v>914.93</v>
      </c>
      <c r="K216" s="4">
        <f t="shared" si="10"/>
        <v>61.1</v>
      </c>
      <c r="L216" s="4">
        <f t="shared" si="11"/>
        <v>62.760000000000005</v>
      </c>
      <c r="M216" s="4">
        <f t="shared" si="12"/>
        <v>-1.6600000000000037</v>
      </c>
      <c r="N216" s="4">
        <v>7.33</v>
      </c>
      <c r="O216" s="4">
        <v>89.1</v>
      </c>
      <c r="P216" s="4">
        <v>79</v>
      </c>
      <c r="Q216" s="4">
        <v>19.399999999999999</v>
      </c>
      <c r="R216" s="4">
        <v>8.52</v>
      </c>
      <c r="S216" s="4">
        <v>16.829999999999998</v>
      </c>
      <c r="T216" s="4">
        <v>4.32</v>
      </c>
      <c r="U216" s="4">
        <v>5.98</v>
      </c>
      <c r="V216" s="4">
        <v>3501.41</v>
      </c>
      <c r="W216" s="4">
        <v>1035</v>
      </c>
      <c r="X216" s="4">
        <v>1173.3499999999999</v>
      </c>
      <c r="Y216" s="4">
        <v>727.03</v>
      </c>
      <c r="Z216" s="4">
        <v>5.84</v>
      </c>
      <c r="AA216" s="4">
        <v>1.57</v>
      </c>
      <c r="AB216" s="4">
        <v>4.46</v>
      </c>
      <c r="AC216" s="4">
        <v>66.349999999999994</v>
      </c>
      <c r="AD216" s="4">
        <v>680</v>
      </c>
      <c r="AE216" s="4">
        <v>5900</v>
      </c>
      <c r="AF216" s="4">
        <v>76.94</v>
      </c>
      <c r="AG216" s="4">
        <v>0.59</v>
      </c>
      <c r="AH216" s="4">
        <v>15.45</v>
      </c>
      <c r="AI216" s="4">
        <v>45.05</v>
      </c>
      <c r="AJ216" s="4">
        <v>60</v>
      </c>
      <c r="AK216" s="4">
        <v>9</v>
      </c>
      <c r="AL216" s="4">
        <v>9</v>
      </c>
      <c r="AM216" s="4">
        <v>0.7</v>
      </c>
      <c r="AN216" s="4">
        <v>408</v>
      </c>
      <c r="AO216" s="4">
        <v>414.28</v>
      </c>
      <c r="AP216" s="4">
        <v>371030.5</v>
      </c>
      <c r="AQ216" s="4">
        <v>201010.51</v>
      </c>
      <c r="AR216" s="4" t="s">
        <v>963</v>
      </c>
      <c r="AS216" s="5">
        <f t="shared" si="0"/>
        <v>9.7043373287671226</v>
      </c>
    </row>
    <row r="217" spans="1:45" ht="14.25" customHeight="1" x14ac:dyDescent="0.55000000000000004">
      <c r="A217" s="4">
        <v>21.31</v>
      </c>
      <c r="B217" s="4">
        <v>29.91</v>
      </c>
      <c r="C217" s="4">
        <v>5470.14</v>
      </c>
      <c r="D217" s="4">
        <v>7.6</v>
      </c>
      <c r="E217" s="4" t="s">
        <v>1881</v>
      </c>
      <c r="F217" s="4" t="s">
        <v>1882</v>
      </c>
      <c r="G217" s="4" t="s">
        <v>1883</v>
      </c>
      <c r="H217" s="4" t="s">
        <v>1884</v>
      </c>
      <c r="I217" s="4">
        <v>0</v>
      </c>
      <c r="J217" s="4">
        <v>921.88</v>
      </c>
      <c r="K217" s="4">
        <f t="shared" si="10"/>
        <v>63.07</v>
      </c>
      <c r="L217" s="4">
        <f t="shared" si="11"/>
        <v>66.13</v>
      </c>
      <c r="M217" s="4">
        <f t="shared" si="12"/>
        <v>-3.0599999999999952</v>
      </c>
      <c r="N217" s="4">
        <v>7.35</v>
      </c>
      <c r="O217" s="4">
        <v>88.83</v>
      </c>
      <c r="P217" s="4">
        <v>71</v>
      </c>
      <c r="Q217" s="4">
        <v>21</v>
      </c>
      <c r="R217" s="4">
        <v>8.6</v>
      </c>
      <c r="S217" s="4">
        <v>17.34</v>
      </c>
      <c r="T217" s="4">
        <v>3.97</v>
      </c>
      <c r="U217" s="4">
        <v>5.93</v>
      </c>
      <c r="V217" s="4">
        <v>3500.89</v>
      </c>
      <c r="W217" s="4">
        <v>1035.72</v>
      </c>
      <c r="X217" s="4">
        <v>1178.8399999999999</v>
      </c>
      <c r="Y217" s="4">
        <v>728.89</v>
      </c>
      <c r="Z217" s="4">
        <v>5.72</v>
      </c>
      <c r="AA217" s="4">
        <v>1.57</v>
      </c>
      <c r="AB217" s="4">
        <v>4.46</v>
      </c>
      <c r="AC217" s="4">
        <v>68.45</v>
      </c>
      <c r="AD217" s="4">
        <v>680</v>
      </c>
      <c r="AE217" s="4">
        <v>5900</v>
      </c>
      <c r="AF217" s="4">
        <v>77.67</v>
      </c>
      <c r="AG217" s="4">
        <v>0.59</v>
      </c>
      <c r="AH217" s="4">
        <v>15.74</v>
      </c>
      <c r="AI217" s="4">
        <v>42.75</v>
      </c>
      <c r="AJ217" s="4">
        <v>60</v>
      </c>
      <c r="AK217" s="4">
        <v>9</v>
      </c>
      <c r="AL217" s="4">
        <v>9</v>
      </c>
      <c r="AM217" s="4">
        <v>0.73</v>
      </c>
      <c r="AN217" s="4">
        <v>408</v>
      </c>
      <c r="AO217" s="4">
        <v>414.61</v>
      </c>
      <c r="AP217" s="4">
        <v>363523.01</v>
      </c>
      <c r="AQ217" s="4">
        <v>207537.2</v>
      </c>
      <c r="AR217" s="4" t="s">
        <v>968</v>
      </c>
      <c r="AS217" s="5">
        <f t="shared" si="0"/>
        <v>8.9032996575342462</v>
      </c>
    </row>
    <row r="218" spans="1:45" ht="14.25" customHeight="1" x14ac:dyDescent="0.55000000000000004">
      <c r="A218" s="4">
        <v>20.23</v>
      </c>
      <c r="B218" s="4">
        <v>28.75</v>
      </c>
      <c r="C218" s="4">
        <v>5516</v>
      </c>
      <c r="D218" s="4">
        <v>7.6</v>
      </c>
      <c r="E218" s="4" t="s">
        <v>1885</v>
      </c>
      <c r="F218" s="4" t="s">
        <v>1886</v>
      </c>
      <c r="G218" s="4" t="s">
        <v>700</v>
      </c>
      <c r="H218" s="4" t="s">
        <v>1887</v>
      </c>
      <c r="I218" s="4">
        <v>0</v>
      </c>
      <c r="J218" s="4">
        <v>940.08</v>
      </c>
      <c r="K218" s="4">
        <f t="shared" si="10"/>
        <v>63.719999999999992</v>
      </c>
      <c r="L218" s="4">
        <f t="shared" si="11"/>
        <v>64.45</v>
      </c>
      <c r="M218" s="4">
        <f t="shared" si="12"/>
        <v>-0.73000000000001108</v>
      </c>
      <c r="N218" s="4">
        <v>7.35</v>
      </c>
      <c r="O218" s="4">
        <v>89.04</v>
      </c>
      <c r="P218" s="4">
        <v>67</v>
      </c>
      <c r="Q218" s="4">
        <v>20.100000000000001</v>
      </c>
      <c r="R218" s="4">
        <v>8.52</v>
      </c>
      <c r="S218" s="4">
        <v>15.99</v>
      </c>
      <c r="T218" s="4">
        <v>4.24</v>
      </c>
      <c r="U218" s="4">
        <v>5.87</v>
      </c>
      <c r="V218" s="4">
        <v>3530.24</v>
      </c>
      <c r="W218" s="4">
        <v>1043.0899999999999</v>
      </c>
      <c r="X218" s="4">
        <v>1177.25</v>
      </c>
      <c r="Y218" s="4">
        <v>731.73</v>
      </c>
      <c r="Z218" s="4">
        <v>5.93</v>
      </c>
      <c r="AA218" s="4">
        <v>1.55</v>
      </c>
      <c r="AB218" s="4">
        <v>4.49</v>
      </c>
      <c r="AC218" s="4">
        <v>66.760000000000005</v>
      </c>
      <c r="AD218" s="4">
        <v>680</v>
      </c>
      <c r="AE218" s="4">
        <v>5900</v>
      </c>
      <c r="AF218" s="4">
        <v>76.87</v>
      </c>
      <c r="AG218" s="4">
        <v>0.59</v>
      </c>
      <c r="AH218" s="4">
        <v>15.79</v>
      </c>
      <c r="AI218" s="4">
        <v>43.87</v>
      </c>
      <c r="AJ218" s="4">
        <v>60</v>
      </c>
      <c r="AK218" s="4">
        <v>9</v>
      </c>
      <c r="AL218" s="4">
        <v>9</v>
      </c>
      <c r="AM218" s="4">
        <v>0.72</v>
      </c>
      <c r="AN218" s="4">
        <v>408</v>
      </c>
      <c r="AO218" s="4">
        <v>414.45</v>
      </c>
      <c r="AP218" s="4">
        <v>385015.31</v>
      </c>
      <c r="AQ218" s="4">
        <v>207580.73</v>
      </c>
      <c r="AR218" s="4" t="s">
        <v>973</v>
      </c>
      <c r="AS218" s="5">
        <f t="shared" si="0"/>
        <v>10.127544520547945</v>
      </c>
    </row>
    <row r="219" spans="1:45" ht="14.25" customHeight="1" x14ac:dyDescent="0.55000000000000004">
      <c r="A219" s="4">
        <v>20.59</v>
      </c>
      <c r="B219" s="4">
        <v>29.17</v>
      </c>
      <c r="C219" s="4">
        <v>5492.93</v>
      </c>
      <c r="D219" s="4">
        <v>7.6</v>
      </c>
      <c r="E219" s="4" t="s">
        <v>1888</v>
      </c>
      <c r="F219" s="4" t="s">
        <v>1889</v>
      </c>
      <c r="G219" s="4" t="s">
        <v>1092</v>
      </c>
      <c r="H219" s="4" t="s">
        <v>1890</v>
      </c>
      <c r="I219" s="4">
        <v>0</v>
      </c>
      <c r="J219" s="4">
        <v>914.73</v>
      </c>
      <c r="K219" s="4">
        <f t="shared" si="10"/>
        <v>61.489999999999995</v>
      </c>
      <c r="L219" s="4">
        <f t="shared" si="11"/>
        <v>61.91</v>
      </c>
      <c r="M219" s="4">
        <f t="shared" si="12"/>
        <v>-0.42000000000000171</v>
      </c>
      <c r="N219" s="4">
        <v>7.33</v>
      </c>
      <c r="O219" s="4">
        <v>89.11</v>
      </c>
      <c r="P219" s="4">
        <v>78</v>
      </c>
      <c r="Q219" s="4">
        <v>19.100000000000001</v>
      </c>
      <c r="R219" s="4">
        <v>8.58</v>
      </c>
      <c r="S219" s="4">
        <v>16.420000000000002</v>
      </c>
      <c r="T219" s="4">
        <v>4.17</v>
      </c>
      <c r="U219" s="4">
        <v>6</v>
      </c>
      <c r="V219" s="4">
        <v>3515.48</v>
      </c>
      <c r="W219" s="4">
        <v>1039.56</v>
      </c>
      <c r="X219" s="4">
        <v>1181.06</v>
      </c>
      <c r="Y219" s="4">
        <v>730.9</v>
      </c>
      <c r="Z219" s="4">
        <v>5.96</v>
      </c>
      <c r="AA219" s="4">
        <v>1.56</v>
      </c>
      <c r="AB219" s="4">
        <v>4.4800000000000004</v>
      </c>
      <c r="AC219" s="4">
        <v>67.3</v>
      </c>
      <c r="AD219" s="4">
        <v>680</v>
      </c>
      <c r="AE219" s="4">
        <v>5900</v>
      </c>
      <c r="AF219" s="4">
        <v>77.44</v>
      </c>
      <c r="AG219" s="4">
        <v>0.59</v>
      </c>
      <c r="AH219" s="4">
        <v>15.47</v>
      </c>
      <c r="AI219" s="4">
        <v>45.67</v>
      </c>
      <c r="AJ219" s="4">
        <v>60</v>
      </c>
      <c r="AK219" s="4">
        <v>9</v>
      </c>
      <c r="AL219" s="4">
        <v>9</v>
      </c>
      <c r="AM219" s="4">
        <v>0.69</v>
      </c>
      <c r="AN219" s="4">
        <v>408</v>
      </c>
      <c r="AO219" s="4">
        <v>414.19</v>
      </c>
      <c r="AP219" s="4">
        <v>382009.14</v>
      </c>
      <c r="AQ219" s="4">
        <v>194254.24</v>
      </c>
      <c r="AR219" s="4" t="s">
        <v>978</v>
      </c>
      <c r="AS219" s="5">
        <f t="shared" si="0"/>
        <v>10.716603881278541</v>
      </c>
    </row>
    <row r="220" spans="1:45" ht="14.25" customHeight="1" x14ac:dyDescent="0.55000000000000004">
      <c r="A220" s="4">
        <v>20.53</v>
      </c>
      <c r="B220" s="4">
        <v>29.13</v>
      </c>
      <c r="C220" s="4">
        <v>5500.96</v>
      </c>
      <c r="D220" s="4">
        <v>7.6</v>
      </c>
      <c r="E220" s="4" t="s">
        <v>1891</v>
      </c>
      <c r="F220" s="4" t="s">
        <v>1892</v>
      </c>
      <c r="G220" s="4" t="s">
        <v>840</v>
      </c>
      <c r="H220" s="4" t="s">
        <v>1893</v>
      </c>
      <c r="I220" s="4">
        <v>0</v>
      </c>
      <c r="J220" s="4">
        <v>911.11</v>
      </c>
      <c r="K220" s="4">
        <f t="shared" si="10"/>
        <v>60.370000000000005</v>
      </c>
      <c r="L220" s="4">
        <f t="shared" si="11"/>
        <v>60.62</v>
      </c>
      <c r="M220" s="4">
        <f t="shared" si="12"/>
        <v>-0.24999999999999289</v>
      </c>
      <c r="N220" s="4">
        <v>7.32</v>
      </c>
      <c r="O220" s="4">
        <v>88.97</v>
      </c>
      <c r="P220" s="4">
        <v>74</v>
      </c>
      <c r="Q220" s="4">
        <v>19.7</v>
      </c>
      <c r="R220" s="4">
        <v>8.6</v>
      </c>
      <c r="S220" s="4">
        <v>16.5</v>
      </c>
      <c r="T220" s="4">
        <v>4.03</v>
      </c>
      <c r="U220" s="4">
        <v>6.04</v>
      </c>
      <c r="V220" s="4">
        <v>3520.62</v>
      </c>
      <c r="W220" s="4">
        <v>1040.58</v>
      </c>
      <c r="X220" s="4">
        <v>1179.55</v>
      </c>
      <c r="Y220" s="4">
        <v>730.85</v>
      </c>
      <c r="Z220" s="4">
        <v>5.98</v>
      </c>
      <c r="AA220" s="4">
        <v>1.56</v>
      </c>
      <c r="AB220" s="4">
        <v>4.4800000000000004</v>
      </c>
      <c r="AC220" s="4">
        <v>68.12</v>
      </c>
      <c r="AD220" s="4">
        <v>680</v>
      </c>
      <c r="AE220" s="4">
        <v>5900</v>
      </c>
      <c r="AF220" s="4">
        <v>77.66</v>
      </c>
      <c r="AG220" s="4">
        <v>0.59</v>
      </c>
      <c r="AH220" s="4">
        <v>15.42</v>
      </c>
      <c r="AI220" s="4">
        <v>46.65</v>
      </c>
      <c r="AJ220" s="4">
        <v>60</v>
      </c>
      <c r="AK220" s="4">
        <v>9</v>
      </c>
      <c r="AL220" s="4">
        <v>9</v>
      </c>
      <c r="AM220" s="4">
        <v>0.67</v>
      </c>
      <c r="AN220" s="4">
        <v>408</v>
      </c>
      <c r="AO220" s="4">
        <v>414.06</v>
      </c>
      <c r="AP220" s="4">
        <v>380695.13</v>
      </c>
      <c r="AQ220" s="4">
        <v>193095.97</v>
      </c>
      <c r="AR220" s="4" t="s">
        <v>983</v>
      </c>
      <c r="AS220" s="5">
        <f t="shared" si="0"/>
        <v>10.707714611872147</v>
      </c>
    </row>
    <row r="221" spans="1:45" ht="14.25" customHeight="1" x14ac:dyDescent="0.55000000000000004">
      <c r="A221" s="4">
        <v>19.920000000000002</v>
      </c>
      <c r="B221" s="4">
        <v>28.45</v>
      </c>
      <c r="C221" s="4">
        <v>5531.85</v>
      </c>
      <c r="D221" s="4">
        <v>7.6</v>
      </c>
      <c r="E221" s="4" t="s">
        <v>1894</v>
      </c>
      <c r="F221" s="4" t="s">
        <v>1895</v>
      </c>
      <c r="G221" s="4" t="s">
        <v>755</v>
      </c>
      <c r="H221" s="4" t="s">
        <v>1896</v>
      </c>
      <c r="I221" s="4">
        <v>0</v>
      </c>
      <c r="J221" s="4">
        <v>951.1</v>
      </c>
      <c r="K221" s="4">
        <f t="shared" si="10"/>
        <v>64.84</v>
      </c>
      <c r="L221" s="4">
        <f t="shared" si="11"/>
        <v>62.679999999999993</v>
      </c>
      <c r="M221" s="4">
        <f t="shared" si="12"/>
        <v>2.1600000000000108</v>
      </c>
      <c r="N221" s="4">
        <v>7.36</v>
      </c>
      <c r="O221" s="4">
        <v>89.07</v>
      </c>
      <c r="P221" s="4">
        <v>58</v>
      </c>
      <c r="Q221" s="4">
        <v>20.399999999999999</v>
      </c>
      <c r="R221" s="4">
        <v>8.5299999999999994</v>
      </c>
      <c r="S221" s="4">
        <v>15.11</v>
      </c>
      <c r="T221" s="4">
        <v>4.8099999999999996</v>
      </c>
      <c r="U221" s="4">
        <v>5.82</v>
      </c>
      <c r="V221" s="4">
        <v>3540.38</v>
      </c>
      <c r="W221" s="4">
        <v>1045.78</v>
      </c>
      <c r="X221" s="4">
        <v>1177.31</v>
      </c>
      <c r="Y221" s="4">
        <v>733.01</v>
      </c>
      <c r="Z221" s="4">
        <v>8.2799999999999994</v>
      </c>
      <c r="AA221" s="4">
        <v>1.55</v>
      </c>
      <c r="AB221" s="4">
        <v>4.5</v>
      </c>
      <c r="AC221" s="4">
        <v>63.96</v>
      </c>
      <c r="AD221" s="4">
        <v>680</v>
      </c>
      <c r="AE221" s="4">
        <v>5900</v>
      </c>
      <c r="AF221" s="4">
        <v>77.03</v>
      </c>
      <c r="AG221" s="4">
        <v>0.59</v>
      </c>
      <c r="AH221" s="4">
        <v>15.99</v>
      </c>
      <c r="AI221" s="4">
        <v>60.15</v>
      </c>
      <c r="AJ221" s="4">
        <v>60</v>
      </c>
      <c r="AK221" s="4">
        <v>9</v>
      </c>
      <c r="AL221" s="4">
        <v>9</v>
      </c>
      <c r="AM221" s="4">
        <v>0.52</v>
      </c>
      <c r="AN221" s="4">
        <v>408</v>
      </c>
      <c r="AO221" s="4">
        <v>412.7</v>
      </c>
      <c r="AP221" s="4">
        <v>386148.95</v>
      </c>
      <c r="AQ221" s="4">
        <v>326125.18</v>
      </c>
      <c r="AR221" s="4" t="s">
        <v>988</v>
      </c>
      <c r="AS221" s="5">
        <f t="shared" si="0"/>
        <v>3.426014269406394</v>
      </c>
    </row>
    <row r="222" spans="1:45" ht="14.25" customHeight="1" x14ac:dyDescent="0.55000000000000004">
      <c r="A222" s="4">
        <v>20.97</v>
      </c>
      <c r="B222" s="4">
        <v>29.45</v>
      </c>
      <c r="C222" s="4">
        <v>5479.57</v>
      </c>
      <c r="D222" s="4">
        <v>7.6</v>
      </c>
      <c r="E222" s="4" t="s">
        <v>1897</v>
      </c>
      <c r="F222" s="4" t="s">
        <v>1898</v>
      </c>
      <c r="G222" s="4" t="s">
        <v>788</v>
      </c>
      <c r="H222" s="4" t="s">
        <v>1899</v>
      </c>
      <c r="I222" s="4">
        <v>0</v>
      </c>
      <c r="J222" s="4">
        <v>950.49</v>
      </c>
      <c r="K222" s="4">
        <f t="shared" si="10"/>
        <v>65.040000000000006</v>
      </c>
      <c r="L222" s="4">
        <f t="shared" si="11"/>
        <v>64.44</v>
      </c>
      <c r="M222" s="4">
        <f t="shared" si="12"/>
        <v>0.60000000000000853</v>
      </c>
      <c r="N222" s="4">
        <v>7.36</v>
      </c>
      <c r="O222" s="4">
        <v>89.02</v>
      </c>
      <c r="P222" s="4">
        <v>81</v>
      </c>
      <c r="Q222" s="4">
        <v>19.8</v>
      </c>
      <c r="R222" s="4">
        <v>8.4700000000000006</v>
      </c>
      <c r="S222" s="4">
        <v>17.46</v>
      </c>
      <c r="T222" s="4">
        <v>3.51</v>
      </c>
      <c r="U222" s="4">
        <v>5.76</v>
      </c>
      <c r="V222" s="4">
        <v>3506.93</v>
      </c>
      <c r="W222" s="4">
        <v>1036.1500000000001</v>
      </c>
      <c r="X222" s="4">
        <v>1168.07</v>
      </c>
      <c r="Y222" s="4">
        <v>726.67</v>
      </c>
      <c r="Z222" s="4">
        <v>7.57</v>
      </c>
      <c r="AA222" s="4">
        <v>1.57</v>
      </c>
      <c r="AB222" s="4">
        <v>4.47</v>
      </c>
      <c r="AC222" s="4">
        <v>70.69</v>
      </c>
      <c r="AD222" s="4">
        <v>680</v>
      </c>
      <c r="AE222" s="4">
        <v>5900</v>
      </c>
      <c r="AF222" s="4">
        <v>76.489999999999995</v>
      </c>
      <c r="AG222" s="4">
        <v>0.59</v>
      </c>
      <c r="AH222" s="4">
        <v>16.05</v>
      </c>
      <c r="AI222" s="4">
        <v>54.84</v>
      </c>
      <c r="AJ222" s="4">
        <v>60</v>
      </c>
      <c r="AK222" s="4">
        <v>9</v>
      </c>
      <c r="AL222" s="4">
        <v>9</v>
      </c>
      <c r="AM222" s="4">
        <v>0.56999999999999995</v>
      </c>
      <c r="AN222" s="4">
        <v>408</v>
      </c>
      <c r="AO222" s="4">
        <v>413.16</v>
      </c>
      <c r="AP222" s="4">
        <v>377640.99</v>
      </c>
      <c r="AQ222" s="4">
        <v>309640.21999999997</v>
      </c>
      <c r="AR222" s="4" t="s">
        <v>993</v>
      </c>
      <c r="AS222" s="5">
        <f t="shared" si="0"/>
        <v>3.8813224885844759</v>
      </c>
    </row>
    <row r="223" spans="1:45" ht="14.25" customHeight="1" x14ac:dyDescent="0.55000000000000004">
      <c r="A223" s="4">
        <v>21.19</v>
      </c>
      <c r="B223" s="4">
        <v>29.66</v>
      </c>
      <c r="C223" s="4">
        <v>5474.08</v>
      </c>
      <c r="D223" s="4">
        <v>7.6</v>
      </c>
      <c r="E223" s="4" t="s">
        <v>1900</v>
      </c>
      <c r="F223" s="4" t="s">
        <v>1901</v>
      </c>
      <c r="G223" s="4" t="s">
        <v>1902</v>
      </c>
      <c r="H223" s="4" t="s">
        <v>1903</v>
      </c>
      <c r="I223" s="4">
        <v>0</v>
      </c>
      <c r="J223" s="4">
        <v>876.76</v>
      </c>
      <c r="K223" s="4">
        <f t="shared" si="10"/>
        <v>57.69</v>
      </c>
      <c r="L223" s="4">
        <f t="shared" si="11"/>
        <v>59.16</v>
      </c>
      <c r="M223" s="4">
        <f t="shared" si="12"/>
        <v>-1.4699999999999989</v>
      </c>
      <c r="N223" s="4">
        <v>7.3</v>
      </c>
      <c r="O223" s="4">
        <v>89.08</v>
      </c>
      <c r="P223" s="4">
        <v>80</v>
      </c>
      <c r="Q223" s="4">
        <v>20</v>
      </c>
      <c r="R223" s="4">
        <v>8.48</v>
      </c>
      <c r="S223" s="4">
        <v>17.53</v>
      </c>
      <c r="T223" s="4">
        <v>3.66</v>
      </c>
      <c r="U223" s="4">
        <v>6.24</v>
      </c>
      <c r="V223" s="4">
        <v>3503.41</v>
      </c>
      <c r="W223" s="4">
        <v>1036.72</v>
      </c>
      <c r="X223" s="4">
        <v>1186.49</v>
      </c>
      <c r="Y223" s="4">
        <v>730.53</v>
      </c>
      <c r="Z223" s="4">
        <v>5.85</v>
      </c>
      <c r="AA223" s="4">
        <v>1.57</v>
      </c>
      <c r="AB223" s="4">
        <v>4.46</v>
      </c>
      <c r="AC223" s="4">
        <v>69.87</v>
      </c>
      <c r="AD223" s="4">
        <v>680</v>
      </c>
      <c r="AE223" s="4">
        <v>5900</v>
      </c>
      <c r="AF223" s="4">
        <v>76.540000000000006</v>
      </c>
      <c r="AG223" s="4">
        <v>0.59</v>
      </c>
      <c r="AH223" s="4">
        <v>14.6</v>
      </c>
      <c r="AI223" s="4">
        <v>47.79</v>
      </c>
      <c r="AJ223" s="4">
        <v>60</v>
      </c>
      <c r="AK223" s="4">
        <v>9</v>
      </c>
      <c r="AL223" s="4">
        <v>9</v>
      </c>
      <c r="AM223" s="4">
        <v>0.66</v>
      </c>
      <c r="AN223" s="4">
        <v>408</v>
      </c>
      <c r="AO223" s="4">
        <v>413.92</v>
      </c>
      <c r="AP223" s="4">
        <v>363133.97</v>
      </c>
      <c r="AQ223" s="4">
        <v>183711.49</v>
      </c>
      <c r="AR223" s="4" t="s">
        <v>997</v>
      </c>
      <c r="AS223" s="5">
        <f t="shared" si="0"/>
        <v>10.241009132420091</v>
      </c>
    </row>
    <row r="224" spans="1:45" ht="14.25" customHeight="1" x14ac:dyDescent="0.55000000000000004">
      <c r="A224" s="4">
        <v>20.5</v>
      </c>
      <c r="B224" s="4">
        <v>29.02</v>
      </c>
      <c r="C224" s="4">
        <v>5507.02</v>
      </c>
      <c r="D224" s="4">
        <v>7.6</v>
      </c>
      <c r="E224" s="4" t="s">
        <v>1904</v>
      </c>
      <c r="F224" s="4" t="s">
        <v>1905</v>
      </c>
      <c r="G224" s="4" t="s">
        <v>1906</v>
      </c>
      <c r="H224" s="4" t="s">
        <v>1907</v>
      </c>
      <c r="I224" s="4">
        <v>0</v>
      </c>
      <c r="J224" s="4">
        <v>897.82</v>
      </c>
      <c r="K224" s="4">
        <f t="shared" si="10"/>
        <v>59.559999999999995</v>
      </c>
      <c r="L224" s="4">
        <f t="shared" si="11"/>
        <v>59.49</v>
      </c>
      <c r="M224" s="4">
        <f t="shared" si="12"/>
        <v>6.9999999999993179E-2</v>
      </c>
      <c r="N224" s="4">
        <v>7.32</v>
      </c>
      <c r="O224" s="4">
        <v>89.09</v>
      </c>
      <c r="P224" s="4">
        <v>77</v>
      </c>
      <c r="Q224" s="4">
        <v>19.600000000000001</v>
      </c>
      <c r="R224" s="4">
        <v>8.52</v>
      </c>
      <c r="S224" s="4">
        <v>16.78</v>
      </c>
      <c r="T224" s="4">
        <v>3.72</v>
      </c>
      <c r="U224" s="4">
        <v>6.13</v>
      </c>
      <c r="V224" s="4">
        <v>3524.5</v>
      </c>
      <c r="W224" s="4">
        <v>1042.55</v>
      </c>
      <c r="X224" s="4">
        <v>1188.29</v>
      </c>
      <c r="Y224" s="4">
        <v>733.73</v>
      </c>
      <c r="Z224" s="4">
        <v>6.01</v>
      </c>
      <c r="AA224" s="4">
        <v>1.56</v>
      </c>
      <c r="AB224" s="4">
        <v>4.4800000000000004</v>
      </c>
      <c r="AC224" s="4">
        <v>69.61</v>
      </c>
      <c r="AD224" s="4">
        <v>680</v>
      </c>
      <c r="AE224" s="4">
        <v>5900</v>
      </c>
      <c r="AF224" s="4">
        <v>76.91</v>
      </c>
      <c r="AG224" s="4">
        <v>0.59</v>
      </c>
      <c r="AH224" s="4">
        <v>14.98</v>
      </c>
      <c r="AI224" s="4">
        <v>47.54</v>
      </c>
      <c r="AJ224" s="4">
        <v>60</v>
      </c>
      <c r="AK224" s="4">
        <v>9</v>
      </c>
      <c r="AL224" s="4">
        <v>9</v>
      </c>
      <c r="AM224" s="4">
        <v>0.66</v>
      </c>
      <c r="AN224" s="4">
        <v>408</v>
      </c>
      <c r="AO224" s="4">
        <v>413.95</v>
      </c>
      <c r="AP224" s="4">
        <v>380542.56</v>
      </c>
      <c r="AQ224" s="4">
        <v>184435.75</v>
      </c>
      <c r="AR224" s="4" t="s">
        <v>1001</v>
      </c>
      <c r="AS224" s="5">
        <f t="shared" si="0"/>
        <v>11.193311073059361</v>
      </c>
    </row>
    <row r="225" spans="1:45" ht="14.25" customHeight="1" x14ac:dyDescent="0.55000000000000004">
      <c r="A225" s="4">
        <v>20.34</v>
      </c>
      <c r="B225" s="4">
        <v>28.86</v>
      </c>
      <c r="C225" s="4">
        <v>5509.08</v>
      </c>
      <c r="D225" s="4">
        <v>7.6</v>
      </c>
      <c r="E225" s="4" t="s">
        <v>1908</v>
      </c>
      <c r="F225" s="4" t="s">
        <v>1909</v>
      </c>
      <c r="G225" s="4" t="s">
        <v>1865</v>
      </c>
      <c r="H225" s="4" t="s">
        <v>1910</v>
      </c>
      <c r="I225" s="4">
        <v>0</v>
      </c>
      <c r="J225" s="4">
        <v>972.18</v>
      </c>
      <c r="K225" s="4">
        <f t="shared" si="10"/>
        <v>67.790000000000006</v>
      </c>
      <c r="L225" s="4">
        <f t="shared" si="11"/>
        <v>69.350000000000009</v>
      </c>
      <c r="M225" s="4">
        <f t="shared" si="12"/>
        <v>-1.5600000000000023</v>
      </c>
      <c r="N225" s="4">
        <v>7.38</v>
      </c>
      <c r="O225" s="4">
        <v>89</v>
      </c>
      <c r="P225" s="4">
        <v>68</v>
      </c>
      <c r="Q225" s="4">
        <v>20.2</v>
      </c>
      <c r="R225" s="4">
        <v>8.52</v>
      </c>
      <c r="S225" s="4">
        <v>16.21</v>
      </c>
      <c r="T225" s="4">
        <v>4.12</v>
      </c>
      <c r="U225" s="4">
        <v>5.67</v>
      </c>
      <c r="V225" s="4">
        <v>3525.81</v>
      </c>
      <c r="W225" s="4">
        <v>1041.28</v>
      </c>
      <c r="X225" s="4">
        <v>1168.95</v>
      </c>
      <c r="Y225" s="4">
        <v>729.3</v>
      </c>
      <c r="Z225" s="4">
        <v>5.87</v>
      </c>
      <c r="AA225" s="4">
        <v>1.55</v>
      </c>
      <c r="AB225" s="4">
        <v>4.5</v>
      </c>
      <c r="AC225" s="4">
        <v>67.400000000000006</v>
      </c>
      <c r="AD225" s="4">
        <v>680</v>
      </c>
      <c r="AE225" s="4">
        <v>5900</v>
      </c>
      <c r="AF225" s="4">
        <v>76.94</v>
      </c>
      <c r="AG225" s="4">
        <v>0.59</v>
      </c>
      <c r="AH225" s="4">
        <v>16.489999999999998</v>
      </c>
      <c r="AI225" s="4">
        <v>40.770000000000003</v>
      </c>
      <c r="AJ225" s="4">
        <v>60</v>
      </c>
      <c r="AK225" s="4">
        <v>9</v>
      </c>
      <c r="AL225" s="4">
        <v>9</v>
      </c>
      <c r="AM225" s="4">
        <v>0.77</v>
      </c>
      <c r="AN225" s="4">
        <v>408</v>
      </c>
      <c r="AO225" s="4">
        <v>414.94</v>
      </c>
      <c r="AP225" s="4">
        <v>389217.48</v>
      </c>
      <c r="AQ225" s="4">
        <v>227352.06</v>
      </c>
      <c r="AR225" s="4" t="s">
        <v>1006</v>
      </c>
      <c r="AS225" s="5">
        <f t="shared" si="0"/>
        <v>9.2388938356164374</v>
      </c>
    </row>
    <row r="226" spans="1:45" ht="14.25" customHeight="1" x14ac:dyDescent="0.55000000000000004">
      <c r="A226" s="4">
        <v>20.76</v>
      </c>
      <c r="B226" s="4">
        <v>29.28</v>
      </c>
      <c r="C226" s="4">
        <v>5497.07</v>
      </c>
      <c r="D226" s="4">
        <v>7.6</v>
      </c>
      <c r="E226" s="4" t="s">
        <v>1911</v>
      </c>
      <c r="F226" s="4" t="s">
        <v>1912</v>
      </c>
      <c r="G226" s="4" t="s">
        <v>1913</v>
      </c>
      <c r="H226" s="4" t="s">
        <v>1914</v>
      </c>
      <c r="I226" s="4">
        <v>0</v>
      </c>
      <c r="J226" s="4">
        <v>957.46</v>
      </c>
      <c r="K226" s="4">
        <f t="shared" si="10"/>
        <v>65.550000000000011</v>
      </c>
      <c r="L226" s="4">
        <f t="shared" si="11"/>
        <v>67.42</v>
      </c>
      <c r="M226" s="4">
        <f t="shared" si="12"/>
        <v>-1.8699999999999903</v>
      </c>
      <c r="N226" s="4">
        <v>7.36</v>
      </c>
      <c r="O226" s="4">
        <v>88.8</v>
      </c>
      <c r="P226" s="4">
        <v>80</v>
      </c>
      <c r="Q226" s="4">
        <v>19.2</v>
      </c>
      <c r="R226" s="4">
        <v>8.52</v>
      </c>
      <c r="S226" s="4">
        <v>16.760000000000002</v>
      </c>
      <c r="T226" s="4">
        <v>3.99</v>
      </c>
      <c r="U226" s="4">
        <v>5.74</v>
      </c>
      <c r="V226" s="4">
        <v>3518.12</v>
      </c>
      <c r="W226" s="4">
        <v>1039.1099999999999</v>
      </c>
      <c r="X226" s="4">
        <v>1168.56</v>
      </c>
      <c r="Y226" s="4">
        <v>728.1</v>
      </c>
      <c r="Z226" s="4">
        <v>5.83</v>
      </c>
      <c r="AA226" s="4">
        <v>1.56</v>
      </c>
      <c r="AB226" s="4">
        <v>4.4800000000000004</v>
      </c>
      <c r="AC226" s="4">
        <v>68.09</v>
      </c>
      <c r="AD226" s="4">
        <v>680</v>
      </c>
      <c r="AE226" s="4">
        <v>5900</v>
      </c>
      <c r="AF226" s="4">
        <v>76.95</v>
      </c>
      <c r="AG226" s="4">
        <v>0.59</v>
      </c>
      <c r="AH226" s="4">
        <v>16.23</v>
      </c>
      <c r="AI226" s="4">
        <v>41.94</v>
      </c>
      <c r="AJ226" s="4">
        <v>60</v>
      </c>
      <c r="AK226" s="4">
        <v>9</v>
      </c>
      <c r="AL226" s="4">
        <v>9</v>
      </c>
      <c r="AM226" s="4">
        <v>0.75</v>
      </c>
      <c r="AN226" s="4">
        <v>408</v>
      </c>
      <c r="AO226" s="4">
        <v>414.74</v>
      </c>
      <c r="AP226" s="4">
        <v>380191.24</v>
      </c>
      <c r="AQ226" s="4">
        <v>220902.32</v>
      </c>
      <c r="AR226" s="4" t="s">
        <v>1011</v>
      </c>
      <c r="AS226" s="5">
        <f t="shared" si="0"/>
        <v>9.0918333333333319</v>
      </c>
    </row>
    <row r="227" spans="1:45" ht="14.25" customHeight="1" x14ac:dyDescent="0.55000000000000004">
      <c r="A227" s="4">
        <v>20.72</v>
      </c>
      <c r="B227" s="4">
        <v>29.28</v>
      </c>
      <c r="C227" s="4">
        <v>5499.02</v>
      </c>
      <c r="D227" s="4">
        <v>7.6</v>
      </c>
      <c r="E227" s="4" t="s">
        <v>1915</v>
      </c>
      <c r="F227" s="4" t="s">
        <v>1916</v>
      </c>
      <c r="G227" s="4" t="s">
        <v>1906</v>
      </c>
      <c r="H227" s="4" t="s">
        <v>1917</v>
      </c>
      <c r="I227" s="4">
        <v>0</v>
      </c>
      <c r="J227" s="4">
        <v>849.39</v>
      </c>
      <c r="K227" s="4">
        <f t="shared" si="10"/>
        <v>55.63</v>
      </c>
      <c r="L227" s="4">
        <f t="shared" si="11"/>
        <v>55.53</v>
      </c>
      <c r="M227" s="4">
        <f t="shared" si="12"/>
        <v>0.10000000000000142</v>
      </c>
      <c r="N227" s="4">
        <v>7.28</v>
      </c>
      <c r="O227" s="4">
        <v>89.05</v>
      </c>
      <c r="P227" s="4">
        <v>87</v>
      </c>
      <c r="Q227" s="4">
        <v>18.600000000000001</v>
      </c>
      <c r="R227" s="4">
        <v>8.56</v>
      </c>
      <c r="S227" s="4">
        <v>17.03</v>
      </c>
      <c r="T227" s="4">
        <v>3.69</v>
      </c>
      <c r="U227" s="4">
        <v>6.47</v>
      </c>
      <c r="V227" s="4">
        <v>3519.38</v>
      </c>
      <c r="W227" s="4">
        <v>1042.22</v>
      </c>
      <c r="X227" s="4">
        <v>1200.9100000000001</v>
      </c>
      <c r="Y227" s="4">
        <v>736.04</v>
      </c>
      <c r="Z227" s="4">
        <v>6.01</v>
      </c>
      <c r="AA227" s="4">
        <v>1.57</v>
      </c>
      <c r="AB227" s="4">
        <v>4.46</v>
      </c>
      <c r="AC227" s="4">
        <v>69.86</v>
      </c>
      <c r="AD227" s="4">
        <v>680</v>
      </c>
      <c r="AE227" s="4">
        <v>5900</v>
      </c>
      <c r="AF227" s="4">
        <v>77.27</v>
      </c>
      <c r="AG227" s="4">
        <v>0.59</v>
      </c>
      <c r="AH227" s="4">
        <v>14.12</v>
      </c>
      <c r="AI227" s="4">
        <v>50.92</v>
      </c>
      <c r="AJ227" s="4">
        <v>60</v>
      </c>
      <c r="AK227" s="4">
        <v>9</v>
      </c>
      <c r="AL227" s="4">
        <v>9</v>
      </c>
      <c r="AM227" s="4">
        <v>0.62</v>
      </c>
      <c r="AN227" s="4">
        <v>408</v>
      </c>
      <c r="AO227" s="4">
        <v>413.55</v>
      </c>
      <c r="AP227" s="4">
        <v>371843.33</v>
      </c>
      <c r="AQ227" s="4">
        <v>167015.54999999999</v>
      </c>
      <c r="AR227" s="4" t="s">
        <v>1016</v>
      </c>
      <c r="AS227" s="5">
        <f t="shared" si="0"/>
        <v>11.691083333333335</v>
      </c>
    </row>
    <row r="228" spans="1:45" ht="14.25" customHeight="1" x14ac:dyDescent="0.55000000000000004">
      <c r="A228" s="4">
        <v>20.190000000000001</v>
      </c>
      <c r="B228" s="4">
        <v>28.75</v>
      </c>
      <c r="C228" s="4">
        <v>5515.54</v>
      </c>
      <c r="D228" s="4">
        <v>7.6</v>
      </c>
      <c r="E228" s="4" t="s">
        <v>1918</v>
      </c>
      <c r="F228" s="4" t="s">
        <v>1919</v>
      </c>
      <c r="G228" s="4" t="s">
        <v>1920</v>
      </c>
      <c r="H228" s="4" t="s">
        <v>1921</v>
      </c>
      <c r="I228" s="4">
        <v>0</v>
      </c>
      <c r="J228" s="4">
        <v>940.49</v>
      </c>
      <c r="K228" s="4">
        <f t="shared" si="10"/>
        <v>63.400000000000006</v>
      </c>
      <c r="L228" s="4">
        <f t="shared" si="11"/>
        <v>64.070000000000007</v>
      </c>
      <c r="M228" s="4">
        <f t="shared" si="12"/>
        <v>-0.67000000000000171</v>
      </c>
      <c r="N228" s="4">
        <v>7.35</v>
      </c>
      <c r="O228" s="4">
        <v>88.99</v>
      </c>
      <c r="P228" s="4">
        <v>64</v>
      </c>
      <c r="Q228" s="4">
        <v>20.7</v>
      </c>
      <c r="R228" s="4">
        <v>8.56</v>
      </c>
      <c r="S228" s="4">
        <v>16.16</v>
      </c>
      <c r="T228" s="4">
        <v>4.03</v>
      </c>
      <c r="U228" s="4">
        <v>5.86</v>
      </c>
      <c r="V228" s="4">
        <v>3529.94</v>
      </c>
      <c r="W228" s="4">
        <v>1042.8499999999999</v>
      </c>
      <c r="X228" s="4">
        <v>1176.02</v>
      </c>
      <c r="Y228" s="4">
        <v>731.31</v>
      </c>
      <c r="Z228" s="4">
        <v>5.94</v>
      </c>
      <c r="AA228" s="4">
        <v>1.56</v>
      </c>
      <c r="AB228" s="4">
        <v>4.49</v>
      </c>
      <c r="AC228" s="4">
        <v>68</v>
      </c>
      <c r="AD228" s="4">
        <v>680</v>
      </c>
      <c r="AE228" s="4">
        <v>5900</v>
      </c>
      <c r="AF228" s="4">
        <v>77.28</v>
      </c>
      <c r="AG228" s="4">
        <v>0.59</v>
      </c>
      <c r="AH228" s="4">
        <v>15.89</v>
      </c>
      <c r="AI228" s="4">
        <v>44.13</v>
      </c>
      <c r="AJ228" s="4">
        <v>60</v>
      </c>
      <c r="AK228" s="4">
        <v>9</v>
      </c>
      <c r="AL228" s="4">
        <v>9</v>
      </c>
      <c r="AM228" s="4">
        <v>0.71</v>
      </c>
      <c r="AN228" s="4">
        <v>408</v>
      </c>
      <c r="AO228" s="4">
        <v>414.41</v>
      </c>
      <c r="AP228" s="4">
        <v>384278.3</v>
      </c>
      <c r="AQ228" s="4">
        <v>207292.99</v>
      </c>
      <c r="AR228" s="4" t="s">
        <v>1020</v>
      </c>
      <c r="AS228" s="5">
        <f t="shared" si="0"/>
        <v>10.101901255707762</v>
      </c>
    </row>
    <row r="229" spans="1:45" ht="14.25" customHeight="1" x14ac:dyDescent="0.55000000000000004">
      <c r="A229" s="4">
        <v>20.16</v>
      </c>
      <c r="B229" s="4">
        <v>28.75</v>
      </c>
      <c r="C229" s="4">
        <v>5503.02</v>
      </c>
      <c r="D229" s="4">
        <v>7.6</v>
      </c>
      <c r="E229" s="4" t="s">
        <v>1922</v>
      </c>
      <c r="F229" s="4" t="s">
        <v>1923</v>
      </c>
      <c r="G229" s="4" t="s">
        <v>1924</v>
      </c>
      <c r="H229" s="4" t="s">
        <v>1925</v>
      </c>
      <c r="I229" s="4">
        <v>0</v>
      </c>
      <c r="J229" s="4">
        <v>940.77</v>
      </c>
      <c r="K229" s="4">
        <f t="shared" si="10"/>
        <v>64.12</v>
      </c>
      <c r="L229" s="4">
        <f t="shared" si="11"/>
        <v>64.94</v>
      </c>
      <c r="M229" s="4">
        <f t="shared" si="12"/>
        <v>-0.81999999999999318</v>
      </c>
      <c r="N229" s="4">
        <v>7.35</v>
      </c>
      <c r="O229" s="4">
        <v>89.01</v>
      </c>
      <c r="P229" s="4">
        <v>64</v>
      </c>
      <c r="Q229" s="4">
        <v>20.100000000000001</v>
      </c>
      <c r="R229" s="4">
        <v>8.58</v>
      </c>
      <c r="S229" s="4">
        <v>15.61</v>
      </c>
      <c r="T229" s="4">
        <v>4.55</v>
      </c>
      <c r="U229" s="4">
        <v>5.85</v>
      </c>
      <c r="V229" s="4">
        <v>3521.93</v>
      </c>
      <c r="W229" s="4">
        <v>1040.71</v>
      </c>
      <c r="X229" s="4">
        <v>1174.94</v>
      </c>
      <c r="Y229" s="4">
        <v>730.17</v>
      </c>
      <c r="Z229" s="4">
        <v>5.92</v>
      </c>
      <c r="AA229" s="4">
        <v>1.55</v>
      </c>
      <c r="AB229" s="4">
        <v>4.5</v>
      </c>
      <c r="AC229" s="4">
        <v>65.36</v>
      </c>
      <c r="AD229" s="4">
        <v>680</v>
      </c>
      <c r="AE229" s="4">
        <v>5900</v>
      </c>
      <c r="AF229" s="4">
        <v>77.48</v>
      </c>
      <c r="AG229" s="4">
        <v>0.59</v>
      </c>
      <c r="AH229" s="4">
        <v>15.98</v>
      </c>
      <c r="AI229" s="4">
        <v>43.54</v>
      </c>
      <c r="AJ229" s="4">
        <v>60</v>
      </c>
      <c r="AK229" s="4">
        <v>9</v>
      </c>
      <c r="AL229" s="4">
        <v>9</v>
      </c>
      <c r="AM229" s="4">
        <v>0.72</v>
      </c>
      <c r="AN229" s="4">
        <v>408</v>
      </c>
      <c r="AO229" s="4">
        <v>414.49</v>
      </c>
      <c r="AP229" s="4">
        <v>386014.6</v>
      </c>
      <c r="AQ229" s="4">
        <v>208757.88</v>
      </c>
      <c r="AR229" s="4" t="s">
        <v>1025</v>
      </c>
      <c r="AS229" s="5">
        <f t="shared" si="0"/>
        <v>10.117392694063925</v>
      </c>
    </row>
    <row r="230" spans="1:45" ht="14.25" customHeight="1" x14ac:dyDescent="0.55000000000000004">
      <c r="A230" s="4">
        <v>20.190000000000001</v>
      </c>
      <c r="B230" s="4">
        <v>28.75</v>
      </c>
      <c r="C230" s="4">
        <v>5510.77</v>
      </c>
      <c r="D230" s="4">
        <v>7.6</v>
      </c>
      <c r="E230" s="4" t="s">
        <v>1926</v>
      </c>
      <c r="F230" s="4" t="s">
        <v>1927</v>
      </c>
      <c r="G230" s="4" t="s">
        <v>1872</v>
      </c>
      <c r="H230" s="4" t="s">
        <v>1928</v>
      </c>
      <c r="I230" s="4">
        <v>0</v>
      </c>
      <c r="J230" s="4">
        <v>976.97</v>
      </c>
      <c r="K230" s="4">
        <f t="shared" si="10"/>
        <v>68.09</v>
      </c>
      <c r="L230" s="4">
        <f t="shared" si="11"/>
        <v>69.709999999999994</v>
      </c>
      <c r="M230" s="4">
        <f t="shared" si="12"/>
        <v>-1.6199999999999903</v>
      </c>
      <c r="N230" s="4">
        <v>7.38</v>
      </c>
      <c r="O230" s="4">
        <v>89</v>
      </c>
      <c r="P230" s="4">
        <v>63</v>
      </c>
      <c r="Q230" s="4">
        <v>20.6</v>
      </c>
      <c r="R230" s="4">
        <v>8.56</v>
      </c>
      <c r="S230" s="4">
        <v>15.94</v>
      </c>
      <c r="T230" s="4">
        <v>4.25</v>
      </c>
      <c r="U230" s="4">
        <v>5.64</v>
      </c>
      <c r="V230" s="4">
        <v>3526.89</v>
      </c>
      <c r="W230" s="4">
        <v>1041.51</v>
      </c>
      <c r="X230" s="4">
        <v>1168.23</v>
      </c>
      <c r="Y230" s="4">
        <v>729.28</v>
      </c>
      <c r="Z230" s="4">
        <v>5.86</v>
      </c>
      <c r="AA230" s="4">
        <v>1.55</v>
      </c>
      <c r="AB230" s="4">
        <v>4.51</v>
      </c>
      <c r="AC230" s="4">
        <v>66.83</v>
      </c>
      <c r="AD230" s="4">
        <v>680</v>
      </c>
      <c r="AE230" s="4">
        <v>5900</v>
      </c>
      <c r="AF230" s="4">
        <v>77.28</v>
      </c>
      <c r="AG230" s="4">
        <v>0.59</v>
      </c>
      <c r="AH230" s="4">
        <v>16.649999999999999</v>
      </c>
      <c r="AI230" s="4">
        <v>40.56</v>
      </c>
      <c r="AJ230" s="4">
        <v>60</v>
      </c>
      <c r="AK230" s="4">
        <v>9</v>
      </c>
      <c r="AL230" s="4">
        <v>9</v>
      </c>
      <c r="AM230" s="4">
        <v>0.77</v>
      </c>
      <c r="AN230" s="4">
        <v>408</v>
      </c>
      <c r="AO230" s="4">
        <v>414.97</v>
      </c>
      <c r="AP230" s="4">
        <v>388436.68</v>
      </c>
      <c r="AQ230" s="4">
        <v>229143.79</v>
      </c>
      <c r="AR230" s="4" t="s">
        <v>1030</v>
      </c>
      <c r="AS230" s="5">
        <f t="shared" si="0"/>
        <v>9.0920599315068493</v>
      </c>
    </row>
    <row r="231" spans="1:45" ht="14.25" customHeight="1" x14ac:dyDescent="0.55000000000000004">
      <c r="A231" s="4">
        <v>19.940000000000001</v>
      </c>
      <c r="B231" s="4">
        <v>28.46</v>
      </c>
      <c r="C231" s="4">
        <v>5528.35</v>
      </c>
      <c r="D231" s="4">
        <v>7.6</v>
      </c>
      <c r="E231" s="4" t="s">
        <v>1929</v>
      </c>
      <c r="F231" s="4" t="s">
        <v>1930</v>
      </c>
      <c r="G231" s="4" t="s">
        <v>1913</v>
      </c>
      <c r="H231" s="4" t="s">
        <v>1931</v>
      </c>
      <c r="I231" s="4">
        <v>0</v>
      </c>
      <c r="J231" s="4">
        <v>958.27</v>
      </c>
      <c r="K231" s="4">
        <f t="shared" si="10"/>
        <v>65.720000000000013</v>
      </c>
      <c r="L231" s="4">
        <f t="shared" si="11"/>
        <v>66.87</v>
      </c>
      <c r="M231" s="4">
        <f t="shared" si="12"/>
        <v>-1.1499999999999915</v>
      </c>
      <c r="N231" s="4">
        <v>7.36</v>
      </c>
      <c r="O231" s="4">
        <v>89.01</v>
      </c>
      <c r="P231" s="4">
        <v>62</v>
      </c>
      <c r="Q231" s="4">
        <v>20.5</v>
      </c>
      <c r="R231" s="4">
        <v>8.52</v>
      </c>
      <c r="S231" s="4">
        <v>15.72</v>
      </c>
      <c r="T231" s="4">
        <v>4.22</v>
      </c>
      <c r="U231" s="4">
        <v>5.77</v>
      </c>
      <c r="V231" s="4">
        <v>3538.14</v>
      </c>
      <c r="W231" s="4">
        <v>1044.99</v>
      </c>
      <c r="X231" s="4">
        <v>1174.9100000000001</v>
      </c>
      <c r="Y231" s="4">
        <v>732.16</v>
      </c>
      <c r="Z231" s="4">
        <v>5.9</v>
      </c>
      <c r="AA231" s="4">
        <v>1.55</v>
      </c>
      <c r="AB231" s="4">
        <v>4.5</v>
      </c>
      <c r="AC231" s="4">
        <v>66.88</v>
      </c>
      <c r="AD231" s="4">
        <v>680</v>
      </c>
      <c r="AE231" s="4">
        <v>5900</v>
      </c>
      <c r="AF231" s="4">
        <v>76.900000000000006</v>
      </c>
      <c r="AG231" s="4">
        <v>0.59</v>
      </c>
      <c r="AH231" s="4">
        <v>16.12</v>
      </c>
      <c r="AI231" s="4">
        <v>42.28</v>
      </c>
      <c r="AJ231" s="4">
        <v>60</v>
      </c>
      <c r="AK231" s="4">
        <v>9</v>
      </c>
      <c r="AL231" s="4">
        <v>9</v>
      </c>
      <c r="AM231" s="4">
        <v>0.74</v>
      </c>
      <c r="AN231" s="4">
        <v>408</v>
      </c>
      <c r="AO231" s="4">
        <v>414.69</v>
      </c>
      <c r="AP231" s="4">
        <v>387095.6</v>
      </c>
      <c r="AQ231" s="4">
        <v>218507.23</v>
      </c>
      <c r="AR231" s="4" t="s">
        <v>1035</v>
      </c>
      <c r="AS231" s="5">
        <f t="shared" si="0"/>
        <v>9.6226238584474864</v>
      </c>
    </row>
    <row r="232" spans="1:45" ht="14.25" customHeight="1" x14ac:dyDescent="0.55000000000000004">
      <c r="A232" s="4">
        <v>20.74</v>
      </c>
      <c r="B232" s="4">
        <v>29.21</v>
      </c>
      <c r="C232" s="4">
        <v>5486.54</v>
      </c>
      <c r="D232" s="4">
        <v>7.6</v>
      </c>
      <c r="E232" s="4" t="s">
        <v>1932</v>
      </c>
      <c r="F232" s="4" t="s">
        <v>1933</v>
      </c>
      <c r="G232" s="4" t="s">
        <v>764</v>
      </c>
      <c r="H232" s="4" t="s">
        <v>1934</v>
      </c>
      <c r="I232" s="4">
        <v>0</v>
      </c>
      <c r="J232" s="4">
        <v>919</v>
      </c>
      <c r="K232" s="4">
        <f t="shared" si="10"/>
        <v>61.47</v>
      </c>
      <c r="L232" s="4">
        <f t="shared" si="11"/>
        <v>62.45</v>
      </c>
      <c r="M232" s="4">
        <f t="shared" si="12"/>
        <v>-0.98000000000000398</v>
      </c>
      <c r="N232" s="4">
        <v>7.33</v>
      </c>
      <c r="O232" s="4">
        <v>89.07</v>
      </c>
      <c r="P232" s="4">
        <v>83</v>
      </c>
      <c r="Q232" s="4">
        <v>18.899999999999999</v>
      </c>
      <c r="R232" s="4">
        <v>8.4700000000000006</v>
      </c>
      <c r="S232" s="4">
        <v>16.84</v>
      </c>
      <c r="T232" s="4">
        <v>3.9</v>
      </c>
      <c r="U232" s="4">
        <v>5.97</v>
      </c>
      <c r="V232" s="4">
        <v>3511.39</v>
      </c>
      <c r="W232" s="4">
        <v>1037.8800000000001</v>
      </c>
      <c r="X232" s="4">
        <v>1175.79</v>
      </c>
      <c r="Y232" s="4">
        <v>728.9</v>
      </c>
      <c r="Z232" s="4">
        <v>5.91</v>
      </c>
      <c r="AA232" s="4">
        <v>1.56</v>
      </c>
      <c r="AB232" s="4">
        <v>4.4800000000000004</v>
      </c>
      <c r="AC232" s="4">
        <v>68.45</v>
      </c>
      <c r="AD232" s="4">
        <v>680</v>
      </c>
      <c r="AE232" s="4">
        <v>5900</v>
      </c>
      <c r="AF232" s="4">
        <v>76.47</v>
      </c>
      <c r="AG232" s="4">
        <v>0.59</v>
      </c>
      <c r="AH232" s="4">
        <v>15.39</v>
      </c>
      <c r="AI232" s="4">
        <v>45.27</v>
      </c>
      <c r="AJ232" s="4">
        <v>60</v>
      </c>
      <c r="AK232" s="4">
        <v>9</v>
      </c>
      <c r="AL232" s="4">
        <v>9</v>
      </c>
      <c r="AM232" s="4">
        <v>0.69</v>
      </c>
      <c r="AN232" s="4">
        <v>408</v>
      </c>
      <c r="AO232" s="4">
        <v>414.25</v>
      </c>
      <c r="AP232" s="4">
        <v>377436.22</v>
      </c>
      <c r="AQ232" s="4">
        <v>199535.99</v>
      </c>
      <c r="AR232" s="4" t="s">
        <v>1039</v>
      </c>
      <c r="AS232" s="5">
        <f t="shared" si="0"/>
        <v>10.154122716894976</v>
      </c>
    </row>
    <row r="233" spans="1:45" ht="14.25" customHeight="1" x14ac:dyDescent="0.55000000000000004">
      <c r="A233" s="4">
        <v>20.170000000000002</v>
      </c>
      <c r="B233" s="4">
        <v>28.71</v>
      </c>
      <c r="C233" s="4">
        <v>5498.15</v>
      </c>
      <c r="D233" s="4">
        <v>7.6</v>
      </c>
      <c r="E233" s="4" t="s">
        <v>1935</v>
      </c>
      <c r="F233" s="4" t="s">
        <v>1936</v>
      </c>
      <c r="G233" s="4" t="s">
        <v>1879</v>
      </c>
      <c r="H233" s="4" t="s">
        <v>1937</v>
      </c>
      <c r="I233" s="4">
        <v>0</v>
      </c>
      <c r="J233" s="4">
        <v>951.24</v>
      </c>
      <c r="K233" s="4">
        <f t="shared" si="10"/>
        <v>64.739999999999995</v>
      </c>
      <c r="L233" s="4">
        <f t="shared" si="11"/>
        <v>64.73</v>
      </c>
      <c r="M233" s="4">
        <f t="shared" si="12"/>
        <v>9.9999999999909051E-3</v>
      </c>
      <c r="N233" s="4">
        <v>7.36</v>
      </c>
      <c r="O233" s="4">
        <v>89.03</v>
      </c>
      <c r="P233" s="4">
        <v>69</v>
      </c>
      <c r="Q233" s="4">
        <v>20.100000000000001</v>
      </c>
      <c r="R233" s="4">
        <v>8.5399999999999991</v>
      </c>
      <c r="S233" s="4">
        <v>16.25</v>
      </c>
      <c r="T233" s="4">
        <v>3.92</v>
      </c>
      <c r="U233" s="4">
        <v>5.78</v>
      </c>
      <c r="V233" s="4">
        <v>3518.81</v>
      </c>
      <c r="W233" s="4">
        <v>1039.3800000000001</v>
      </c>
      <c r="X233" s="4">
        <v>1169.8800000000001</v>
      </c>
      <c r="Y233" s="4">
        <v>728.46</v>
      </c>
      <c r="Z233" s="4">
        <v>6.5</v>
      </c>
      <c r="AA233" s="4">
        <v>1.55</v>
      </c>
      <c r="AB233" s="4">
        <v>4.5</v>
      </c>
      <c r="AC233" s="4">
        <v>68.52</v>
      </c>
      <c r="AD233" s="4">
        <v>680</v>
      </c>
      <c r="AE233" s="4">
        <v>5900</v>
      </c>
      <c r="AF233" s="4">
        <v>77.069999999999993</v>
      </c>
      <c r="AG233" s="4">
        <v>0.59</v>
      </c>
      <c r="AH233" s="4">
        <v>16.12</v>
      </c>
      <c r="AI233" s="4">
        <v>47.32</v>
      </c>
      <c r="AJ233" s="4">
        <v>60</v>
      </c>
      <c r="AK233" s="4">
        <v>9</v>
      </c>
      <c r="AL233" s="4">
        <v>9</v>
      </c>
      <c r="AM233" s="4">
        <v>0.66</v>
      </c>
      <c r="AN233" s="4">
        <v>408</v>
      </c>
      <c r="AO233" s="4">
        <v>413.97</v>
      </c>
      <c r="AP233" s="4">
        <v>385658.82</v>
      </c>
      <c r="AQ233" s="4">
        <v>249632.15</v>
      </c>
      <c r="AR233" s="4" t="s">
        <v>1044</v>
      </c>
      <c r="AS233" s="5">
        <f t="shared" si="0"/>
        <v>7.7640793378995445</v>
      </c>
    </row>
    <row r="234" spans="1:45" ht="14.25" customHeight="1" x14ac:dyDescent="0.55000000000000004">
      <c r="A234" s="4">
        <v>20.49</v>
      </c>
      <c r="B234" s="4">
        <v>29.05</v>
      </c>
      <c r="C234" s="4">
        <v>5518.75</v>
      </c>
      <c r="D234" s="4">
        <v>7.6</v>
      </c>
      <c r="E234" s="4" t="s">
        <v>1938</v>
      </c>
      <c r="F234" s="4" t="s">
        <v>1939</v>
      </c>
      <c r="G234" s="4" t="s">
        <v>1850</v>
      </c>
      <c r="H234" s="4" t="s">
        <v>1940</v>
      </c>
      <c r="I234" s="4">
        <v>0</v>
      </c>
      <c r="J234" s="4">
        <v>952.15</v>
      </c>
      <c r="K234" s="4">
        <f t="shared" si="10"/>
        <v>65.17</v>
      </c>
      <c r="L234" s="4">
        <f t="shared" si="11"/>
        <v>66.2</v>
      </c>
      <c r="M234" s="4">
        <f t="shared" si="12"/>
        <v>-1.0300000000000011</v>
      </c>
      <c r="N234" s="4">
        <v>7.36</v>
      </c>
      <c r="O234" s="4">
        <v>88.87</v>
      </c>
      <c r="P234" s="4">
        <v>77</v>
      </c>
      <c r="Q234" s="4">
        <v>19.7</v>
      </c>
      <c r="R234" s="4">
        <v>8.56</v>
      </c>
      <c r="S234" s="4">
        <v>16.87</v>
      </c>
      <c r="T234" s="4">
        <v>3.62</v>
      </c>
      <c r="U234" s="4">
        <v>5.8</v>
      </c>
      <c r="V234" s="4">
        <v>3532</v>
      </c>
      <c r="W234" s="4">
        <v>1043.48</v>
      </c>
      <c r="X234" s="4">
        <v>1175.67</v>
      </c>
      <c r="Y234" s="4">
        <v>731.66</v>
      </c>
      <c r="Z234" s="4">
        <v>5.91</v>
      </c>
      <c r="AA234" s="4">
        <v>1.56</v>
      </c>
      <c r="AB234" s="4">
        <v>4.4800000000000004</v>
      </c>
      <c r="AC234" s="4">
        <v>70.27</v>
      </c>
      <c r="AD234" s="4">
        <v>680</v>
      </c>
      <c r="AE234" s="4">
        <v>5900</v>
      </c>
      <c r="AF234" s="4">
        <v>77.27</v>
      </c>
      <c r="AG234" s="4">
        <v>0.59</v>
      </c>
      <c r="AH234" s="4">
        <v>16.11</v>
      </c>
      <c r="AI234" s="4">
        <v>42.71</v>
      </c>
      <c r="AJ234" s="4">
        <v>60</v>
      </c>
      <c r="AK234" s="4">
        <v>9</v>
      </c>
      <c r="AL234" s="4">
        <v>9</v>
      </c>
      <c r="AM234" s="4">
        <v>0.74</v>
      </c>
      <c r="AN234" s="4">
        <v>408</v>
      </c>
      <c r="AO234" s="4">
        <v>414.62</v>
      </c>
      <c r="AP234" s="4">
        <v>386157.51</v>
      </c>
      <c r="AQ234" s="4">
        <v>214225.89</v>
      </c>
      <c r="AR234" s="4" t="s">
        <v>1049</v>
      </c>
      <c r="AS234" s="5">
        <f t="shared" si="0"/>
        <v>9.8134486301369854</v>
      </c>
    </row>
    <row r="235" spans="1:45" ht="14.25" customHeight="1" x14ac:dyDescent="0.55000000000000004">
      <c r="A235" s="4">
        <v>20.76</v>
      </c>
      <c r="B235" s="4">
        <v>29.28</v>
      </c>
      <c r="C235" s="4">
        <v>5501.84</v>
      </c>
      <c r="D235" s="4">
        <v>7.61</v>
      </c>
      <c r="E235" s="4" t="s">
        <v>1941</v>
      </c>
      <c r="F235" s="4" t="s">
        <v>1942</v>
      </c>
      <c r="G235" s="4" t="s">
        <v>803</v>
      </c>
      <c r="H235" s="4" t="s">
        <v>1943</v>
      </c>
      <c r="I235" s="4">
        <v>0</v>
      </c>
      <c r="J235" s="4">
        <v>968.6</v>
      </c>
      <c r="K235" s="4">
        <f t="shared" si="10"/>
        <v>66.62</v>
      </c>
      <c r="L235" s="4">
        <f t="shared" si="11"/>
        <v>67.960000000000008</v>
      </c>
      <c r="M235" s="4">
        <f t="shared" si="12"/>
        <v>-1.3400000000000034</v>
      </c>
      <c r="N235" s="4">
        <v>7.37</v>
      </c>
      <c r="O235" s="4">
        <v>88.99</v>
      </c>
      <c r="P235" s="4">
        <v>76</v>
      </c>
      <c r="Q235" s="4">
        <v>19.7</v>
      </c>
      <c r="R235" s="4">
        <v>8.51</v>
      </c>
      <c r="S235" s="4">
        <v>16.75</v>
      </c>
      <c r="T235" s="4">
        <v>4.0199999999999996</v>
      </c>
      <c r="U235" s="4">
        <v>5.68</v>
      </c>
      <c r="V235" s="4">
        <v>3521.18</v>
      </c>
      <c r="W235" s="4">
        <v>1039.49</v>
      </c>
      <c r="X235" s="4">
        <v>1164.69</v>
      </c>
      <c r="Y235" s="4">
        <v>727.4</v>
      </c>
      <c r="Z235" s="4">
        <v>5.88</v>
      </c>
      <c r="AA235" s="4">
        <v>1.57</v>
      </c>
      <c r="AB235" s="4">
        <v>4.47</v>
      </c>
      <c r="AC235" s="4">
        <v>67.94</v>
      </c>
      <c r="AD235" s="4">
        <v>680</v>
      </c>
      <c r="AE235" s="4">
        <v>5900</v>
      </c>
      <c r="AF235" s="4">
        <v>76.849999999999994</v>
      </c>
      <c r="AG235" s="4">
        <v>0.59</v>
      </c>
      <c r="AH235" s="4">
        <v>16.420000000000002</v>
      </c>
      <c r="AI235" s="4">
        <v>41.61</v>
      </c>
      <c r="AJ235" s="4">
        <v>60</v>
      </c>
      <c r="AK235" s="4">
        <v>9</v>
      </c>
      <c r="AL235" s="4">
        <v>9</v>
      </c>
      <c r="AM235" s="4">
        <v>0.76</v>
      </c>
      <c r="AN235" s="4">
        <v>408</v>
      </c>
      <c r="AO235" s="4">
        <v>414.8</v>
      </c>
      <c r="AP235" s="4">
        <v>388412.7</v>
      </c>
      <c r="AQ235" s="4">
        <v>225637.44</v>
      </c>
      <c r="AR235" s="4" t="s">
        <v>1054</v>
      </c>
      <c r="AS235" s="5">
        <f t="shared" si="0"/>
        <v>9.2908253424657534</v>
      </c>
    </row>
    <row r="236" spans="1:45" ht="14.25" customHeight="1" x14ac:dyDescent="0.55000000000000004">
      <c r="A236" s="4">
        <v>21.13</v>
      </c>
      <c r="B236" s="4">
        <v>29.62</v>
      </c>
      <c r="C236" s="4">
        <v>5506.58</v>
      </c>
      <c r="D236" s="4">
        <v>7.6</v>
      </c>
      <c r="E236" s="4" t="s">
        <v>1944</v>
      </c>
      <c r="F236" s="4" t="s">
        <v>1945</v>
      </c>
      <c r="G236" s="4" t="s">
        <v>1946</v>
      </c>
      <c r="H236" s="4" t="s">
        <v>1947</v>
      </c>
      <c r="I236" s="4">
        <v>0</v>
      </c>
      <c r="J236" s="4">
        <v>897.64</v>
      </c>
      <c r="K236" s="4">
        <f t="shared" si="10"/>
        <v>60.429999999999993</v>
      </c>
      <c r="L236" s="4">
        <f t="shared" si="11"/>
        <v>65.95</v>
      </c>
      <c r="M236" s="4">
        <f t="shared" si="12"/>
        <v>-5.5200000000000102</v>
      </c>
      <c r="N236" s="4">
        <v>7.33</v>
      </c>
      <c r="O236" s="4">
        <v>89.01</v>
      </c>
      <c r="P236" s="4">
        <v>72</v>
      </c>
      <c r="Q236" s="4">
        <v>20.9</v>
      </c>
      <c r="R236" s="4">
        <v>8.49</v>
      </c>
      <c r="S236" s="4">
        <v>17.37</v>
      </c>
      <c r="T236" s="4">
        <v>3.75</v>
      </c>
      <c r="U236" s="4">
        <v>6.13</v>
      </c>
      <c r="V236" s="4">
        <v>3524.21</v>
      </c>
      <c r="W236" s="4">
        <v>1042.8399999999999</v>
      </c>
      <c r="X236" s="4">
        <v>1190.95</v>
      </c>
      <c r="Y236" s="4">
        <v>734.55</v>
      </c>
      <c r="Z236" s="4">
        <v>5.5</v>
      </c>
      <c r="AA236" s="4">
        <v>1.58</v>
      </c>
      <c r="AB236" s="4">
        <v>4.4400000000000004</v>
      </c>
      <c r="AC236" s="4">
        <v>69.37</v>
      </c>
      <c r="AD236" s="4">
        <v>680</v>
      </c>
      <c r="AE236" s="4">
        <v>5900</v>
      </c>
      <c r="AF236" s="4">
        <v>76.680000000000007</v>
      </c>
      <c r="AG236" s="4">
        <v>0.59</v>
      </c>
      <c r="AH236" s="4">
        <v>14.94</v>
      </c>
      <c r="AI236" s="4">
        <v>42.88</v>
      </c>
      <c r="AJ236" s="4">
        <v>60</v>
      </c>
      <c r="AK236" s="4">
        <v>9</v>
      </c>
      <c r="AL236" s="4">
        <v>9</v>
      </c>
      <c r="AM236" s="4">
        <v>0.73</v>
      </c>
      <c r="AN236" s="4">
        <v>408</v>
      </c>
      <c r="AO236" s="4">
        <v>414.59</v>
      </c>
      <c r="AP236" s="4">
        <v>336871.19</v>
      </c>
      <c r="AQ236" s="4">
        <v>209486.06</v>
      </c>
      <c r="AR236" s="4" t="s">
        <v>1058</v>
      </c>
      <c r="AS236" s="5">
        <f t="shared" si="0"/>
        <v>7.2708407534246575</v>
      </c>
    </row>
    <row r="237" spans="1:45" ht="14.25" customHeight="1" x14ac:dyDescent="0.55000000000000004">
      <c r="A237" s="4">
        <v>21.31</v>
      </c>
      <c r="B237" s="4">
        <v>29.99</v>
      </c>
      <c r="C237" s="4">
        <v>5471.03</v>
      </c>
      <c r="D237" s="4">
        <v>7.6</v>
      </c>
      <c r="E237" s="4" t="s">
        <v>1948</v>
      </c>
      <c r="F237" s="4" t="s">
        <v>1949</v>
      </c>
      <c r="G237" s="4" t="s">
        <v>1950</v>
      </c>
      <c r="H237" s="4" t="s">
        <v>1951</v>
      </c>
      <c r="I237" s="4">
        <v>0</v>
      </c>
      <c r="J237" s="4">
        <v>900.31</v>
      </c>
      <c r="K237" s="4">
        <f t="shared" si="10"/>
        <v>61.6</v>
      </c>
      <c r="L237" s="4">
        <f t="shared" si="11"/>
        <v>64.94</v>
      </c>
      <c r="M237" s="4">
        <f t="shared" si="12"/>
        <v>-3.3399999999999963</v>
      </c>
      <c r="N237" s="4">
        <v>7.34</v>
      </c>
      <c r="O237" s="4">
        <v>89.1</v>
      </c>
      <c r="P237" s="4">
        <v>83</v>
      </c>
      <c r="Q237" s="4">
        <v>19.7</v>
      </c>
      <c r="R237" s="4">
        <v>8.68</v>
      </c>
      <c r="S237" s="4">
        <v>17.61</v>
      </c>
      <c r="T237" s="4">
        <v>3.7</v>
      </c>
      <c r="U237" s="4">
        <v>6.08</v>
      </c>
      <c r="V237" s="4">
        <v>3501.46</v>
      </c>
      <c r="W237" s="4">
        <v>1037.07</v>
      </c>
      <c r="X237" s="4">
        <v>1189.93</v>
      </c>
      <c r="Y237" s="4">
        <v>732.01</v>
      </c>
      <c r="Z237" s="4">
        <v>5.69</v>
      </c>
      <c r="AA237" s="4">
        <v>1.57</v>
      </c>
      <c r="AB237" s="4">
        <v>4.45</v>
      </c>
      <c r="AC237" s="4">
        <v>70.13</v>
      </c>
      <c r="AD237" s="4">
        <v>680</v>
      </c>
      <c r="AE237" s="4">
        <v>5900</v>
      </c>
      <c r="AF237" s="4">
        <v>78.34</v>
      </c>
      <c r="AG237" s="4">
        <v>0.59</v>
      </c>
      <c r="AH237" s="4">
        <v>15.43</v>
      </c>
      <c r="AI237" s="4">
        <v>43.54</v>
      </c>
      <c r="AJ237" s="4">
        <v>60</v>
      </c>
      <c r="AK237" s="4">
        <v>9</v>
      </c>
      <c r="AL237" s="4">
        <v>9</v>
      </c>
      <c r="AM237" s="4">
        <v>0.72</v>
      </c>
      <c r="AN237" s="4">
        <v>408</v>
      </c>
      <c r="AO237" s="4">
        <v>414.49</v>
      </c>
      <c r="AP237" s="4">
        <v>356641.54</v>
      </c>
      <c r="AQ237" s="4">
        <v>197437.44</v>
      </c>
      <c r="AR237" s="4" t="s">
        <v>1063</v>
      </c>
      <c r="AS237" s="5">
        <f t="shared" si="0"/>
        <v>9.0869920091324179</v>
      </c>
    </row>
    <row r="238" spans="1:45" ht="14.25" customHeight="1" x14ac:dyDescent="0.55000000000000004">
      <c r="A238" s="4">
        <v>21.66</v>
      </c>
      <c r="B238" s="4">
        <v>30.19</v>
      </c>
      <c r="C238" s="4">
        <v>5459.3</v>
      </c>
      <c r="D238" s="4">
        <v>7.6</v>
      </c>
      <c r="E238" s="4" t="s">
        <v>1952</v>
      </c>
      <c r="F238" s="4" t="s">
        <v>1953</v>
      </c>
      <c r="G238" s="4" t="s">
        <v>1954</v>
      </c>
      <c r="H238" s="4" t="s">
        <v>1955</v>
      </c>
      <c r="I238" s="4">
        <v>0</v>
      </c>
      <c r="J238" s="4">
        <v>876.19</v>
      </c>
      <c r="K238" s="4">
        <f t="shared" si="10"/>
        <v>58.27</v>
      </c>
      <c r="L238" s="4">
        <f t="shared" si="11"/>
        <v>64.02</v>
      </c>
      <c r="M238" s="4">
        <f t="shared" si="12"/>
        <v>-5.7499999999999929</v>
      </c>
      <c r="N238" s="4">
        <v>7.31</v>
      </c>
      <c r="O238" s="4">
        <v>89.18</v>
      </c>
      <c r="P238" s="4">
        <v>79</v>
      </c>
      <c r="Q238" s="4">
        <v>20.9</v>
      </c>
      <c r="R238" s="4">
        <v>8.5299999999999994</v>
      </c>
      <c r="S238" s="4">
        <v>18.27</v>
      </c>
      <c r="T238" s="4">
        <v>3.39</v>
      </c>
      <c r="U238" s="4">
        <v>6.23</v>
      </c>
      <c r="V238" s="4">
        <v>3493.95</v>
      </c>
      <c r="W238" s="4">
        <v>1034.3900000000001</v>
      </c>
      <c r="X238" s="4">
        <v>1186.8</v>
      </c>
      <c r="Y238" s="4">
        <v>729.67</v>
      </c>
      <c r="Z238" s="4">
        <v>5.46</v>
      </c>
      <c r="AA238" s="4">
        <v>1.58</v>
      </c>
      <c r="AB238" s="4">
        <v>4.4400000000000004</v>
      </c>
      <c r="AC238" s="4">
        <v>71.569999999999993</v>
      </c>
      <c r="AD238" s="4">
        <v>680</v>
      </c>
      <c r="AE238" s="4">
        <v>5900</v>
      </c>
      <c r="AF238" s="4">
        <v>77.03</v>
      </c>
      <c r="AG238" s="4">
        <v>0.59</v>
      </c>
      <c r="AH238" s="4">
        <v>14.73</v>
      </c>
      <c r="AI238" s="4">
        <v>44.16</v>
      </c>
      <c r="AJ238" s="4">
        <v>60</v>
      </c>
      <c r="AK238" s="4">
        <v>9</v>
      </c>
      <c r="AL238" s="4">
        <v>9</v>
      </c>
      <c r="AM238" s="4">
        <v>0.71</v>
      </c>
      <c r="AN238" s="4">
        <v>408</v>
      </c>
      <c r="AO238" s="4">
        <v>414.4</v>
      </c>
      <c r="AP238" s="4">
        <v>328867.19</v>
      </c>
      <c r="AQ238" s="4">
        <v>201586.88</v>
      </c>
      <c r="AR238" s="4" t="s">
        <v>1068</v>
      </c>
      <c r="AS238" s="5">
        <f t="shared" si="0"/>
        <v>7.2648578767123286</v>
      </c>
    </row>
    <row r="239" spans="1:45" ht="14.25" customHeight="1" x14ac:dyDescent="0.55000000000000004">
      <c r="A239" s="4">
        <v>21.31</v>
      </c>
      <c r="B239" s="4">
        <v>29.83</v>
      </c>
      <c r="C239" s="4">
        <v>5523.8</v>
      </c>
      <c r="D239" s="4">
        <v>7.61</v>
      </c>
      <c r="E239" s="4" t="s">
        <v>1956</v>
      </c>
      <c r="F239" s="4" t="s">
        <v>1957</v>
      </c>
      <c r="G239" s="4" t="s">
        <v>1096</v>
      </c>
      <c r="H239" s="4" t="s">
        <v>1958</v>
      </c>
      <c r="I239" s="4">
        <v>0</v>
      </c>
      <c r="J239" s="4">
        <v>868.38</v>
      </c>
      <c r="K239" s="4">
        <f t="shared" si="10"/>
        <v>57.699999999999996</v>
      </c>
      <c r="L239" s="4">
        <f t="shared" si="11"/>
        <v>63.420000000000009</v>
      </c>
      <c r="M239" s="4">
        <f t="shared" si="12"/>
        <v>-5.7200000000000131</v>
      </c>
      <c r="N239" s="4">
        <v>7.3</v>
      </c>
      <c r="O239" s="4">
        <v>88.95</v>
      </c>
      <c r="P239" s="4">
        <v>84</v>
      </c>
      <c r="Q239" s="4">
        <v>19.8</v>
      </c>
      <c r="R239" s="4">
        <v>8.52</v>
      </c>
      <c r="S239" s="4">
        <v>17.829999999999998</v>
      </c>
      <c r="T239" s="4">
        <v>3.48</v>
      </c>
      <c r="U239" s="4">
        <v>6.36</v>
      </c>
      <c r="V239" s="4">
        <v>3535.23</v>
      </c>
      <c r="W239" s="4">
        <v>1046.94</v>
      </c>
      <c r="X239" s="4">
        <v>1204.1199999999999</v>
      </c>
      <c r="Y239" s="4">
        <v>739.15</v>
      </c>
      <c r="Z239" s="4">
        <v>5.46</v>
      </c>
      <c r="AA239" s="4">
        <v>1.59</v>
      </c>
      <c r="AB239" s="4">
        <v>4.42</v>
      </c>
      <c r="AC239" s="4">
        <v>70.98</v>
      </c>
      <c r="AD239" s="4">
        <v>680</v>
      </c>
      <c r="AE239" s="4">
        <v>5900</v>
      </c>
      <c r="AF239" s="4">
        <v>76.87</v>
      </c>
      <c r="AG239" s="4">
        <v>0.59</v>
      </c>
      <c r="AH239" s="4">
        <v>14.34</v>
      </c>
      <c r="AI239" s="4">
        <v>44.58</v>
      </c>
      <c r="AJ239" s="4">
        <v>60</v>
      </c>
      <c r="AK239" s="4">
        <v>9</v>
      </c>
      <c r="AL239" s="4">
        <v>9</v>
      </c>
      <c r="AM239" s="4">
        <v>0.7</v>
      </c>
      <c r="AN239" s="4">
        <v>408</v>
      </c>
      <c r="AO239" s="4">
        <v>414.34</v>
      </c>
      <c r="AP239" s="4">
        <v>327504.13</v>
      </c>
      <c r="AQ239" s="4">
        <v>198147.71</v>
      </c>
      <c r="AR239" s="4" t="s">
        <v>1072</v>
      </c>
      <c r="AS239" s="5">
        <f t="shared" si="0"/>
        <v>7.383357305936074</v>
      </c>
    </row>
    <row r="240" spans="1:45" ht="14.25" customHeight="1" x14ac:dyDescent="0.55000000000000004">
      <c r="A240" s="4">
        <v>21.57</v>
      </c>
      <c r="B240" s="4">
        <v>30.09</v>
      </c>
      <c r="C240" s="4">
        <v>5493.28</v>
      </c>
      <c r="D240" s="4">
        <v>7.61</v>
      </c>
      <c r="E240" s="4" t="s">
        <v>1959</v>
      </c>
      <c r="F240" s="4" t="s">
        <v>1960</v>
      </c>
      <c r="G240" s="4" t="s">
        <v>176</v>
      </c>
      <c r="H240" s="4" t="s">
        <v>1961</v>
      </c>
      <c r="I240" s="4">
        <v>0</v>
      </c>
      <c r="J240" s="4">
        <v>787.62</v>
      </c>
      <c r="K240" s="4">
        <f t="shared" si="10"/>
        <v>53.02</v>
      </c>
      <c r="L240" s="4">
        <f t="shared" si="11"/>
        <v>58.22</v>
      </c>
      <c r="M240" s="4">
        <f t="shared" si="12"/>
        <v>-5.1999999999999957</v>
      </c>
      <c r="N240" s="4">
        <v>7.25</v>
      </c>
      <c r="O240" s="4">
        <v>89.09</v>
      </c>
      <c r="P240" s="4">
        <v>86</v>
      </c>
      <c r="Q240" s="4">
        <v>19.600000000000001</v>
      </c>
      <c r="R240" s="4">
        <v>8.52</v>
      </c>
      <c r="S240" s="4">
        <v>17.88</v>
      </c>
      <c r="T240" s="4">
        <v>3.69</v>
      </c>
      <c r="U240" s="4">
        <v>6.97</v>
      </c>
      <c r="V240" s="4">
        <v>3515.7</v>
      </c>
      <c r="W240" s="4">
        <v>1043.8</v>
      </c>
      <c r="X240" s="4">
        <v>1227.31</v>
      </c>
      <c r="Y240" s="4">
        <v>742.37</v>
      </c>
      <c r="Z240" s="4">
        <v>5.46</v>
      </c>
      <c r="AA240" s="4">
        <v>1.6</v>
      </c>
      <c r="AB240" s="4">
        <v>4.4000000000000004</v>
      </c>
      <c r="AC240" s="4">
        <v>69.77</v>
      </c>
      <c r="AD240" s="4">
        <v>680</v>
      </c>
      <c r="AE240" s="4">
        <v>5900</v>
      </c>
      <c r="AF240" s="4">
        <v>76.87</v>
      </c>
      <c r="AG240" s="4">
        <v>0.59</v>
      </c>
      <c r="AH240" s="4">
        <v>12.87</v>
      </c>
      <c r="AI240" s="4">
        <v>48.57</v>
      </c>
      <c r="AJ240" s="4">
        <v>60</v>
      </c>
      <c r="AK240" s="4">
        <v>9</v>
      </c>
      <c r="AL240" s="4">
        <v>9</v>
      </c>
      <c r="AM240" s="4">
        <v>0.65</v>
      </c>
      <c r="AN240" s="4">
        <v>408</v>
      </c>
      <c r="AO240" s="4">
        <v>413.82</v>
      </c>
      <c r="AP240" s="4">
        <v>325675.96000000002</v>
      </c>
      <c r="AQ240" s="4">
        <v>171837.9</v>
      </c>
      <c r="AR240" s="4" t="s">
        <v>1077</v>
      </c>
      <c r="AS240" s="5">
        <f t="shared" si="0"/>
        <v>8.7807111872146137</v>
      </c>
    </row>
    <row r="241" spans="1:45" ht="14.25" customHeight="1" x14ac:dyDescent="0.55000000000000004">
      <c r="A241" s="4">
        <v>21.06</v>
      </c>
      <c r="B241" s="4">
        <v>29.55</v>
      </c>
      <c r="C241" s="4">
        <v>5505.89</v>
      </c>
      <c r="D241" s="4">
        <v>7.6</v>
      </c>
      <c r="E241" s="4" t="s">
        <v>1962</v>
      </c>
      <c r="F241" s="4" t="s">
        <v>1963</v>
      </c>
      <c r="G241" s="4" t="s">
        <v>724</v>
      </c>
      <c r="H241" s="4" t="s">
        <v>1964</v>
      </c>
      <c r="I241" s="4">
        <v>0</v>
      </c>
      <c r="J241" s="4">
        <v>921.95</v>
      </c>
      <c r="K241" s="4">
        <f t="shared" si="10"/>
        <v>62.330000000000005</v>
      </c>
      <c r="L241" s="4">
        <f t="shared" si="11"/>
        <v>68.319999999999993</v>
      </c>
      <c r="M241" s="4">
        <f t="shared" si="12"/>
        <v>-5.9899999999999878</v>
      </c>
      <c r="N241" s="4">
        <v>7.34</v>
      </c>
      <c r="O241" s="4">
        <v>88.93</v>
      </c>
      <c r="P241" s="4">
        <v>70</v>
      </c>
      <c r="Q241" s="4">
        <v>21.1</v>
      </c>
      <c r="R241" s="4">
        <v>8.49</v>
      </c>
      <c r="S241" s="4">
        <v>17.3</v>
      </c>
      <c r="T241" s="4">
        <v>3.75</v>
      </c>
      <c r="U241" s="4">
        <v>5.97</v>
      </c>
      <c r="V241" s="4">
        <v>3523.77</v>
      </c>
      <c r="W241" s="4">
        <v>1041.94</v>
      </c>
      <c r="X241" s="4">
        <v>1182.55</v>
      </c>
      <c r="Y241" s="4">
        <v>732.38</v>
      </c>
      <c r="Z241" s="4">
        <v>5.47</v>
      </c>
      <c r="AA241" s="4">
        <v>1.57</v>
      </c>
      <c r="AB241" s="4">
        <v>4.46</v>
      </c>
      <c r="AC241" s="4">
        <v>69.34</v>
      </c>
      <c r="AD241" s="4">
        <v>680</v>
      </c>
      <c r="AE241" s="4">
        <v>5900</v>
      </c>
      <c r="AF241" s="4">
        <v>76.63</v>
      </c>
      <c r="AG241" s="4">
        <v>0.59</v>
      </c>
      <c r="AH241" s="4">
        <v>15.41</v>
      </c>
      <c r="AI241" s="4">
        <v>41.38</v>
      </c>
      <c r="AJ241" s="4">
        <v>60</v>
      </c>
      <c r="AK241" s="4">
        <v>9</v>
      </c>
      <c r="AL241" s="4">
        <v>9</v>
      </c>
      <c r="AM241" s="4">
        <v>0.76</v>
      </c>
      <c r="AN241" s="4">
        <v>408</v>
      </c>
      <c r="AO241" s="4">
        <v>414.83</v>
      </c>
      <c r="AP241" s="4">
        <v>336881.2</v>
      </c>
      <c r="AQ241" s="4">
        <v>221663.71</v>
      </c>
      <c r="AR241" s="4" t="s">
        <v>1081</v>
      </c>
      <c r="AS241" s="5">
        <f t="shared" si="0"/>
        <v>6.5763407534246587</v>
      </c>
    </row>
    <row r="242" spans="1:45" ht="14.25" customHeight="1" x14ac:dyDescent="0.55000000000000004">
      <c r="A242" s="4">
        <v>21.19</v>
      </c>
      <c r="B242" s="4">
        <v>29.95</v>
      </c>
      <c r="C242" s="4">
        <v>5467.94</v>
      </c>
      <c r="D242" s="4">
        <v>7.6</v>
      </c>
      <c r="E242" s="4" t="s">
        <v>1965</v>
      </c>
      <c r="F242" s="4" t="s">
        <v>1966</v>
      </c>
      <c r="G242" s="4" t="s">
        <v>1967</v>
      </c>
      <c r="H242" s="4" t="s">
        <v>1968</v>
      </c>
      <c r="I242" s="4">
        <v>0</v>
      </c>
      <c r="J242" s="4">
        <v>851.39</v>
      </c>
      <c r="K242" s="4">
        <f t="shared" si="10"/>
        <v>57.980000000000004</v>
      </c>
      <c r="L242" s="4">
        <f t="shared" si="11"/>
        <v>62.34</v>
      </c>
      <c r="M242" s="4">
        <f t="shared" si="12"/>
        <v>-4.3599999999999994</v>
      </c>
      <c r="N242" s="4">
        <v>7.31</v>
      </c>
      <c r="O242" s="4">
        <v>89.04</v>
      </c>
      <c r="P242" s="4">
        <v>83</v>
      </c>
      <c r="Q242" s="4">
        <v>19.399999999999999</v>
      </c>
      <c r="R242" s="4">
        <v>8.76</v>
      </c>
      <c r="S242" s="4">
        <v>17.32</v>
      </c>
      <c r="T242" s="4">
        <v>3.86</v>
      </c>
      <c r="U242" s="4">
        <v>6.42</v>
      </c>
      <c r="V242" s="4">
        <v>3499.48</v>
      </c>
      <c r="W242" s="4">
        <v>1038.32</v>
      </c>
      <c r="X242" s="4">
        <v>1208.3399999999999</v>
      </c>
      <c r="Y242" s="4">
        <v>736.49</v>
      </c>
      <c r="Z242" s="4">
        <v>5.58</v>
      </c>
      <c r="AA242" s="4">
        <v>1.59</v>
      </c>
      <c r="AB242" s="4">
        <v>4.43</v>
      </c>
      <c r="AC242" s="4">
        <v>69.39</v>
      </c>
      <c r="AD242" s="4">
        <v>680</v>
      </c>
      <c r="AE242" s="4">
        <v>5900</v>
      </c>
      <c r="AF242" s="4">
        <v>79.09</v>
      </c>
      <c r="AG242" s="4">
        <v>0.59</v>
      </c>
      <c r="AH242" s="4">
        <v>14.59</v>
      </c>
      <c r="AI242" s="4">
        <v>45.35</v>
      </c>
      <c r="AJ242" s="4">
        <v>60</v>
      </c>
      <c r="AK242" s="4">
        <v>9</v>
      </c>
      <c r="AL242" s="4">
        <v>9</v>
      </c>
      <c r="AM242" s="4">
        <v>0.69</v>
      </c>
      <c r="AN242" s="4">
        <v>408</v>
      </c>
      <c r="AO242" s="4">
        <v>414.23</v>
      </c>
      <c r="AP242" s="4">
        <v>339829.9</v>
      </c>
      <c r="AQ242" s="4">
        <v>182632.22</v>
      </c>
      <c r="AR242" s="4" t="s">
        <v>1085</v>
      </c>
      <c r="AS242" s="5">
        <f t="shared" si="0"/>
        <v>8.972470319634704</v>
      </c>
    </row>
    <row r="243" spans="1:45" ht="14.25" customHeight="1" x14ac:dyDescent="0.55000000000000004">
      <c r="A243" s="4">
        <v>21.45</v>
      </c>
      <c r="B243" s="4">
        <v>30.13</v>
      </c>
      <c r="C243" s="4">
        <v>5476.83</v>
      </c>
      <c r="D243" s="4">
        <v>7.6</v>
      </c>
      <c r="E243" s="4" t="s">
        <v>1969</v>
      </c>
      <c r="F243" s="4" t="s">
        <v>802</v>
      </c>
      <c r="G243" s="4" t="s">
        <v>1970</v>
      </c>
      <c r="H243" s="4" t="s">
        <v>1023</v>
      </c>
      <c r="I243" s="4">
        <v>0</v>
      </c>
      <c r="J243" s="4">
        <v>944.33</v>
      </c>
      <c r="K243" s="4">
        <f t="shared" si="10"/>
        <v>66.78</v>
      </c>
      <c r="L243" s="4">
        <f t="shared" si="11"/>
        <v>66.78</v>
      </c>
      <c r="M243" s="4">
        <f t="shared" si="12"/>
        <v>0</v>
      </c>
      <c r="N243" s="4">
        <v>7.37</v>
      </c>
      <c r="O243" s="4">
        <v>88.92</v>
      </c>
      <c r="P243" s="4">
        <v>70</v>
      </c>
      <c r="Q243" s="4">
        <v>21.9</v>
      </c>
      <c r="R243" s="4">
        <v>8.69</v>
      </c>
      <c r="S243" s="4">
        <v>18.05</v>
      </c>
      <c r="T243" s="4">
        <v>3.4</v>
      </c>
      <c r="U243" s="4">
        <v>5.8</v>
      </c>
      <c r="V243" s="4">
        <v>3505.17</v>
      </c>
      <c r="W243" s="4">
        <v>1037.18</v>
      </c>
      <c r="X243" s="4">
        <v>1179.33</v>
      </c>
      <c r="Y243" s="4">
        <v>729.97</v>
      </c>
      <c r="Z243" s="4">
        <v>12.32</v>
      </c>
      <c r="AA243" s="4">
        <v>1.57</v>
      </c>
      <c r="AB243" s="4">
        <v>4.45</v>
      </c>
      <c r="AC243" s="4">
        <v>71.900000000000006</v>
      </c>
      <c r="AD243" s="4">
        <v>680</v>
      </c>
      <c r="AE243" s="4">
        <v>5900</v>
      </c>
      <c r="AF243" s="4">
        <v>78.430000000000007</v>
      </c>
      <c r="AG243" s="4">
        <v>0.59</v>
      </c>
      <c r="AH243" s="4">
        <v>16.34</v>
      </c>
      <c r="AI243" s="4">
        <v>86.92</v>
      </c>
      <c r="AJ243" s="4">
        <v>60</v>
      </c>
      <c r="AK243" s="4">
        <v>9</v>
      </c>
      <c r="AL243" s="4">
        <v>9</v>
      </c>
      <c r="AM243" s="4">
        <v>0.36</v>
      </c>
      <c r="AN243" s="4">
        <v>408</v>
      </c>
      <c r="AO243" s="4">
        <v>411.25</v>
      </c>
      <c r="AP243" s="4">
        <v>341337.13</v>
      </c>
      <c r="AQ243" s="4">
        <v>341337.13</v>
      </c>
      <c r="AR243" s="4" t="s">
        <v>1089</v>
      </c>
      <c r="AS243" s="5">
        <f t="shared" si="0"/>
        <v>0</v>
      </c>
    </row>
    <row r="244" spans="1:45" ht="14.25" customHeight="1" x14ac:dyDescent="0.55000000000000004">
      <c r="A244" s="4">
        <v>21.33</v>
      </c>
      <c r="B244" s="4">
        <v>30.02</v>
      </c>
      <c r="C244" s="4">
        <v>5491.78</v>
      </c>
      <c r="D244" s="4">
        <v>7.6</v>
      </c>
      <c r="E244" s="4" t="s">
        <v>1971</v>
      </c>
      <c r="F244" s="4" t="s">
        <v>1972</v>
      </c>
      <c r="G244" s="4" t="s">
        <v>1973</v>
      </c>
      <c r="H244" s="4" t="s">
        <v>1974</v>
      </c>
      <c r="I244" s="4">
        <v>0</v>
      </c>
      <c r="J244" s="4">
        <v>850.3</v>
      </c>
      <c r="K244" s="4">
        <f t="shared" si="10"/>
        <v>57.290000000000006</v>
      </c>
      <c r="L244" s="4">
        <f t="shared" si="11"/>
        <v>60.68</v>
      </c>
      <c r="M244" s="4">
        <f t="shared" si="12"/>
        <v>-3.3899999999999935</v>
      </c>
      <c r="N244" s="4">
        <v>7.31</v>
      </c>
      <c r="O244" s="4">
        <v>88.98</v>
      </c>
      <c r="P244" s="4">
        <v>85</v>
      </c>
      <c r="Q244" s="4">
        <v>19.8</v>
      </c>
      <c r="R244" s="4">
        <v>8.68</v>
      </c>
      <c r="S244" s="4">
        <v>17.96</v>
      </c>
      <c r="T244" s="4">
        <v>3.37</v>
      </c>
      <c r="U244" s="4">
        <v>6.46</v>
      </c>
      <c r="V244" s="4">
        <v>3514.74</v>
      </c>
      <c r="W244" s="4">
        <v>1042.69</v>
      </c>
      <c r="X244" s="4">
        <v>1212.56</v>
      </c>
      <c r="Y244" s="4">
        <v>739.34</v>
      </c>
      <c r="Z244" s="4">
        <v>5.67</v>
      </c>
      <c r="AA244" s="4">
        <v>1.58</v>
      </c>
      <c r="AB244" s="4">
        <v>4.43</v>
      </c>
      <c r="AC244" s="4">
        <v>72.02</v>
      </c>
      <c r="AD244" s="4">
        <v>680</v>
      </c>
      <c r="AE244" s="4">
        <v>5900</v>
      </c>
      <c r="AF244" s="4">
        <v>78.400000000000006</v>
      </c>
      <c r="AG244" s="4">
        <v>0.59</v>
      </c>
      <c r="AH244" s="4">
        <v>14.36</v>
      </c>
      <c r="AI244" s="4">
        <v>46.6</v>
      </c>
      <c r="AJ244" s="4">
        <v>60</v>
      </c>
      <c r="AK244" s="4">
        <v>9</v>
      </c>
      <c r="AL244" s="4">
        <v>9</v>
      </c>
      <c r="AM244" s="4">
        <v>0.67</v>
      </c>
      <c r="AN244" s="4">
        <v>408</v>
      </c>
      <c r="AO244" s="4">
        <v>414.07</v>
      </c>
      <c r="AP244" s="4">
        <v>344792.63</v>
      </c>
      <c r="AQ244" s="4">
        <v>177323.27</v>
      </c>
      <c r="AR244" s="4" t="s">
        <v>1093</v>
      </c>
      <c r="AS244" s="5">
        <f t="shared" si="0"/>
        <v>9.5587534246575352</v>
      </c>
    </row>
    <row r="245" spans="1:45" ht="14.25" customHeight="1" x14ac:dyDescent="0.55000000000000004">
      <c r="A245" s="4">
        <v>21.32</v>
      </c>
      <c r="B245" s="4">
        <v>30</v>
      </c>
      <c r="C245" s="4">
        <v>5465.16</v>
      </c>
      <c r="D245" s="4">
        <v>7.6</v>
      </c>
      <c r="E245" s="4" t="s">
        <v>1975</v>
      </c>
      <c r="F245" s="4" t="s">
        <v>1976</v>
      </c>
      <c r="G245" s="4" t="s">
        <v>1977</v>
      </c>
      <c r="H245" s="4" t="s">
        <v>1978</v>
      </c>
      <c r="I245" s="4">
        <v>0</v>
      </c>
      <c r="J245" s="4">
        <v>864.14</v>
      </c>
      <c r="K245" s="4">
        <f t="shared" si="10"/>
        <v>58.6</v>
      </c>
      <c r="L245" s="4">
        <f t="shared" si="11"/>
        <v>61.93</v>
      </c>
      <c r="M245" s="4">
        <f t="shared" si="12"/>
        <v>-3.3299999999999983</v>
      </c>
      <c r="N245" s="4">
        <v>7.32</v>
      </c>
      <c r="O245" s="4">
        <v>89.07</v>
      </c>
      <c r="P245" s="4">
        <v>85</v>
      </c>
      <c r="Q245" s="4">
        <v>19.5</v>
      </c>
      <c r="R245" s="4">
        <v>8.68</v>
      </c>
      <c r="S245" s="4">
        <v>17.66</v>
      </c>
      <c r="T245" s="4">
        <v>3.65</v>
      </c>
      <c r="U245" s="4">
        <v>6.32</v>
      </c>
      <c r="V245" s="4">
        <v>3497.71</v>
      </c>
      <c r="W245" s="4">
        <v>1037.47</v>
      </c>
      <c r="X245" s="4">
        <v>1203.79</v>
      </c>
      <c r="Y245" s="4">
        <v>735.19</v>
      </c>
      <c r="Z245" s="4">
        <v>5.68</v>
      </c>
      <c r="AA245" s="4">
        <v>1.58</v>
      </c>
      <c r="AB245" s="4">
        <v>4.43</v>
      </c>
      <c r="AC245" s="4">
        <v>70.37</v>
      </c>
      <c r="AD245" s="4">
        <v>680</v>
      </c>
      <c r="AE245" s="4">
        <v>5900</v>
      </c>
      <c r="AF245" s="4">
        <v>78.349999999999994</v>
      </c>
      <c r="AG245" s="4">
        <v>0.59</v>
      </c>
      <c r="AH245" s="4">
        <v>14.71</v>
      </c>
      <c r="AI245" s="4">
        <v>45.66</v>
      </c>
      <c r="AJ245" s="4">
        <v>60</v>
      </c>
      <c r="AK245" s="4">
        <v>9</v>
      </c>
      <c r="AL245" s="4">
        <v>9</v>
      </c>
      <c r="AM245" s="4">
        <v>0.69</v>
      </c>
      <c r="AN245" s="4">
        <v>408</v>
      </c>
      <c r="AO245" s="4">
        <v>414.19</v>
      </c>
      <c r="AP245" s="4">
        <v>347908.12</v>
      </c>
      <c r="AQ245" s="4">
        <v>181124.71</v>
      </c>
      <c r="AR245" s="4" t="s">
        <v>1098</v>
      </c>
      <c r="AS245" s="5">
        <f t="shared" si="0"/>
        <v>9.5196010273972611</v>
      </c>
    </row>
    <row r="246" spans="1:45" ht="14.25" customHeight="1" x14ac:dyDescent="0.55000000000000004">
      <c r="A246" s="4">
        <v>21.04</v>
      </c>
      <c r="B246" s="4">
        <v>29.56</v>
      </c>
      <c r="C246" s="4">
        <v>5505.97</v>
      </c>
      <c r="D246" s="4">
        <v>7.6</v>
      </c>
      <c r="E246" s="4" t="s">
        <v>1979</v>
      </c>
      <c r="F246" s="4" t="s">
        <v>1980</v>
      </c>
      <c r="G246" s="4" t="s">
        <v>1981</v>
      </c>
      <c r="H246" s="4" t="s">
        <v>1982</v>
      </c>
      <c r="I246" s="4">
        <v>0</v>
      </c>
      <c r="J246" s="4">
        <v>923.87</v>
      </c>
      <c r="K246" s="4">
        <f t="shared" si="10"/>
        <v>63</v>
      </c>
      <c r="L246" s="4">
        <f t="shared" si="11"/>
        <v>68.899999999999991</v>
      </c>
      <c r="M246" s="4">
        <f t="shared" si="12"/>
        <v>-5.8999999999999915</v>
      </c>
      <c r="N246" s="4">
        <v>7.35</v>
      </c>
      <c r="O246" s="4">
        <v>88.97</v>
      </c>
      <c r="P246" s="4">
        <v>67</v>
      </c>
      <c r="Q246" s="4">
        <v>21</v>
      </c>
      <c r="R246" s="4">
        <v>8.52</v>
      </c>
      <c r="S246" s="4">
        <v>16.82</v>
      </c>
      <c r="T246" s="4">
        <v>4.22</v>
      </c>
      <c r="U246" s="4">
        <v>5.96</v>
      </c>
      <c r="V246" s="4">
        <v>3523.82</v>
      </c>
      <c r="W246" s="4">
        <v>1042.1099999999999</v>
      </c>
      <c r="X246" s="4">
        <v>1183.45</v>
      </c>
      <c r="Y246" s="4">
        <v>732.72</v>
      </c>
      <c r="Z246" s="4">
        <v>5.49</v>
      </c>
      <c r="AA246" s="4">
        <v>1.57</v>
      </c>
      <c r="AB246" s="4">
        <v>4.46</v>
      </c>
      <c r="AC246" s="4">
        <v>66.89</v>
      </c>
      <c r="AD246" s="4">
        <v>680</v>
      </c>
      <c r="AE246" s="4">
        <v>5900</v>
      </c>
      <c r="AF246" s="4">
        <v>76.89</v>
      </c>
      <c r="AG246" s="4">
        <v>0.59</v>
      </c>
      <c r="AH246" s="4">
        <v>15.5</v>
      </c>
      <c r="AI246" s="4">
        <v>41.04</v>
      </c>
      <c r="AJ246" s="4">
        <v>60</v>
      </c>
      <c r="AK246" s="4">
        <v>9</v>
      </c>
      <c r="AL246" s="4">
        <v>9</v>
      </c>
      <c r="AM246" s="4">
        <v>0.77</v>
      </c>
      <c r="AN246" s="4">
        <v>408</v>
      </c>
      <c r="AO246" s="4">
        <v>414.89</v>
      </c>
      <c r="AP246" s="4">
        <v>340002.48</v>
      </c>
      <c r="AQ246" s="4">
        <v>222351.38</v>
      </c>
      <c r="AR246" s="4" t="s">
        <v>1102</v>
      </c>
      <c r="AS246" s="5">
        <f t="shared" si="0"/>
        <v>6.7152454337899528</v>
      </c>
    </row>
    <row r="247" spans="1:45" ht="14.25" customHeight="1" x14ac:dyDescent="0.55000000000000004">
      <c r="A247" s="4">
        <v>21.33</v>
      </c>
      <c r="B247" s="4">
        <v>30</v>
      </c>
      <c r="C247" s="4">
        <v>5484.53</v>
      </c>
      <c r="D247" s="4">
        <v>7.6</v>
      </c>
      <c r="E247" s="4" t="s">
        <v>1983</v>
      </c>
      <c r="F247" s="4" t="s">
        <v>1984</v>
      </c>
      <c r="G247" s="4" t="s">
        <v>1950</v>
      </c>
      <c r="H247" s="4" t="s">
        <v>1985</v>
      </c>
      <c r="I247" s="4">
        <v>0</v>
      </c>
      <c r="J247" s="4">
        <v>889.59</v>
      </c>
      <c r="K247" s="4">
        <f t="shared" si="10"/>
        <v>59.65</v>
      </c>
      <c r="L247" s="4">
        <f t="shared" si="11"/>
        <v>64.73</v>
      </c>
      <c r="M247" s="4">
        <f t="shared" si="12"/>
        <v>-5.0800000000000054</v>
      </c>
      <c r="N247" s="4">
        <v>7.34</v>
      </c>
      <c r="O247" s="4">
        <v>88.86</v>
      </c>
      <c r="P247" s="4">
        <v>73</v>
      </c>
      <c r="Q247" s="4">
        <v>21.1</v>
      </c>
      <c r="R247" s="4">
        <v>8.67</v>
      </c>
      <c r="S247" s="4">
        <v>17.690000000000001</v>
      </c>
      <c r="T247" s="4">
        <v>3.64</v>
      </c>
      <c r="U247" s="4">
        <v>6.17</v>
      </c>
      <c r="V247" s="4">
        <v>3510.1</v>
      </c>
      <c r="W247" s="4">
        <v>1040.1600000000001</v>
      </c>
      <c r="X247" s="4">
        <v>1197.9100000000001</v>
      </c>
      <c r="Y247" s="4">
        <v>735.17</v>
      </c>
      <c r="Z247" s="4">
        <v>5.53</v>
      </c>
      <c r="AA247" s="4">
        <v>1.58</v>
      </c>
      <c r="AB247" s="4">
        <v>4.4400000000000004</v>
      </c>
      <c r="AC247" s="4">
        <v>70.44</v>
      </c>
      <c r="AD247" s="4">
        <v>680</v>
      </c>
      <c r="AE247" s="4">
        <v>5900</v>
      </c>
      <c r="AF247" s="4">
        <v>78.27</v>
      </c>
      <c r="AG247" s="4">
        <v>0.59</v>
      </c>
      <c r="AH247" s="4">
        <v>15.15</v>
      </c>
      <c r="AI247" s="4">
        <v>43.68</v>
      </c>
      <c r="AJ247" s="4">
        <v>60</v>
      </c>
      <c r="AK247" s="4">
        <v>9</v>
      </c>
      <c r="AL247" s="4">
        <v>9</v>
      </c>
      <c r="AM247" s="4">
        <v>0.72</v>
      </c>
      <c r="AN247" s="4">
        <v>408</v>
      </c>
      <c r="AO247" s="4">
        <v>414.47</v>
      </c>
      <c r="AP247" s="4">
        <v>332225.38</v>
      </c>
      <c r="AQ247" s="4">
        <v>196573.74</v>
      </c>
      <c r="AR247" s="4" t="s">
        <v>1106</v>
      </c>
      <c r="AS247" s="5">
        <f t="shared" si="0"/>
        <v>7.7426735159817364</v>
      </c>
    </row>
    <row r="248" spans="1:45" ht="14.25" customHeight="1" x14ac:dyDescent="0.55000000000000004">
      <c r="A248" s="4">
        <v>21.32</v>
      </c>
      <c r="B248" s="4">
        <v>29.79</v>
      </c>
      <c r="C248" s="4">
        <v>5510.4</v>
      </c>
      <c r="D248" s="4">
        <v>7.59</v>
      </c>
      <c r="E248" s="4" t="s">
        <v>1986</v>
      </c>
      <c r="F248" s="4" t="s">
        <v>1987</v>
      </c>
      <c r="G248" s="4" t="s">
        <v>1092</v>
      </c>
      <c r="H248" s="4" t="s">
        <v>1988</v>
      </c>
      <c r="I248" s="4">
        <v>0</v>
      </c>
      <c r="J248" s="4">
        <v>879.07</v>
      </c>
      <c r="K248" s="4">
        <f t="shared" si="10"/>
        <v>58.370000000000005</v>
      </c>
      <c r="L248" s="4">
        <f t="shared" si="11"/>
        <v>63.92</v>
      </c>
      <c r="M248" s="4">
        <f t="shared" si="12"/>
        <v>-5.5499999999999972</v>
      </c>
      <c r="N248" s="4">
        <v>7.31</v>
      </c>
      <c r="O248" s="4">
        <v>89.05</v>
      </c>
      <c r="P248" s="4">
        <v>85</v>
      </c>
      <c r="Q248" s="4">
        <v>19.399999999999999</v>
      </c>
      <c r="R248" s="4">
        <v>8.4700000000000006</v>
      </c>
      <c r="S248" s="4">
        <v>17.57</v>
      </c>
      <c r="T248" s="4">
        <v>3.75</v>
      </c>
      <c r="U248" s="4">
        <v>6.27</v>
      </c>
      <c r="V248" s="4">
        <v>3526.65</v>
      </c>
      <c r="W248" s="4">
        <v>1043.68</v>
      </c>
      <c r="X248" s="4">
        <v>1194.74</v>
      </c>
      <c r="Y248" s="4">
        <v>735.56</v>
      </c>
      <c r="Z248" s="4">
        <v>5.48</v>
      </c>
      <c r="AA248" s="4">
        <v>1.58</v>
      </c>
      <c r="AB248" s="4">
        <v>4.4400000000000004</v>
      </c>
      <c r="AC248" s="4">
        <v>69.3</v>
      </c>
      <c r="AD248" s="4">
        <v>680</v>
      </c>
      <c r="AE248" s="4">
        <v>5900</v>
      </c>
      <c r="AF248" s="4">
        <v>76.459999999999994</v>
      </c>
      <c r="AG248" s="4">
        <v>0.59</v>
      </c>
      <c r="AH248" s="4">
        <v>14.51</v>
      </c>
      <c r="AI248" s="4">
        <v>44.24</v>
      </c>
      <c r="AJ248" s="4">
        <v>60</v>
      </c>
      <c r="AK248" s="4">
        <v>9</v>
      </c>
      <c r="AL248" s="4">
        <v>9</v>
      </c>
      <c r="AM248" s="4">
        <v>0.71</v>
      </c>
      <c r="AN248" s="4">
        <v>408</v>
      </c>
      <c r="AO248" s="4">
        <v>414.39</v>
      </c>
      <c r="AP248" s="4">
        <v>331576.44</v>
      </c>
      <c r="AQ248" s="4">
        <v>203134.46</v>
      </c>
      <c r="AR248" s="4" t="s">
        <v>1111</v>
      </c>
      <c r="AS248" s="5">
        <f t="shared" si="0"/>
        <v>7.3311632420091328</v>
      </c>
    </row>
    <row r="249" spans="1:45" ht="14.25" customHeight="1" x14ac:dyDescent="0.55000000000000004">
      <c r="A249" s="4">
        <v>21.48</v>
      </c>
      <c r="B249" s="4">
        <v>30.03</v>
      </c>
      <c r="C249" s="4">
        <v>5509.01</v>
      </c>
      <c r="D249" s="4">
        <v>7.59</v>
      </c>
      <c r="E249" s="4" t="s">
        <v>1989</v>
      </c>
      <c r="F249" s="4" t="s">
        <v>1990</v>
      </c>
      <c r="G249" s="4" t="s">
        <v>1991</v>
      </c>
      <c r="H249" s="4" t="s">
        <v>1992</v>
      </c>
      <c r="I249" s="4">
        <v>0</v>
      </c>
      <c r="J249" s="4">
        <v>851.17</v>
      </c>
      <c r="K249" s="4">
        <f t="shared" si="10"/>
        <v>56.64</v>
      </c>
      <c r="L249" s="4">
        <f t="shared" si="11"/>
        <v>62.429999999999993</v>
      </c>
      <c r="M249" s="4">
        <f t="shared" si="12"/>
        <v>-5.789999999999992</v>
      </c>
      <c r="N249" s="4">
        <v>7.3</v>
      </c>
      <c r="O249" s="4">
        <v>88.9</v>
      </c>
      <c r="P249" s="4">
        <v>81</v>
      </c>
      <c r="Q249" s="4">
        <v>20.100000000000001</v>
      </c>
      <c r="R249" s="4">
        <v>8.5500000000000007</v>
      </c>
      <c r="S249" s="4">
        <v>17.75</v>
      </c>
      <c r="T249" s="4">
        <v>3.73</v>
      </c>
      <c r="U249" s="4">
        <v>6.47</v>
      </c>
      <c r="V249" s="4">
        <v>3525.77</v>
      </c>
      <c r="W249" s="4">
        <v>1044.93</v>
      </c>
      <c r="X249" s="4">
        <v>1208.81</v>
      </c>
      <c r="Y249" s="4">
        <v>739.26</v>
      </c>
      <c r="Z249" s="4">
        <v>5.44</v>
      </c>
      <c r="AA249" s="4">
        <v>1.58</v>
      </c>
      <c r="AB249" s="4">
        <v>4.42</v>
      </c>
      <c r="AC249" s="4">
        <v>69.599999999999994</v>
      </c>
      <c r="AD249" s="4">
        <v>680</v>
      </c>
      <c r="AE249" s="4">
        <v>5900</v>
      </c>
      <c r="AF249" s="4">
        <v>77.14</v>
      </c>
      <c r="AG249" s="4">
        <v>0.59</v>
      </c>
      <c r="AH249" s="4">
        <v>14.1</v>
      </c>
      <c r="AI249" s="4">
        <v>45.29</v>
      </c>
      <c r="AJ249" s="4">
        <v>60</v>
      </c>
      <c r="AK249" s="4">
        <v>9</v>
      </c>
      <c r="AL249" s="4">
        <v>9</v>
      </c>
      <c r="AM249" s="4">
        <v>0.69</v>
      </c>
      <c r="AN249" s="4">
        <v>408</v>
      </c>
      <c r="AO249" s="4">
        <v>414.24</v>
      </c>
      <c r="AP249" s="4">
        <v>324200.51</v>
      </c>
      <c r="AQ249" s="4">
        <v>191510.24</v>
      </c>
      <c r="AR249" s="4" t="s">
        <v>1116</v>
      </c>
      <c r="AS249" s="5">
        <f t="shared" si="0"/>
        <v>7.5736455479452065</v>
      </c>
    </row>
    <row r="250" spans="1:45" ht="14.25" customHeight="1" x14ac:dyDescent="0.55000000000000004">
      <c r="A250" s="4">
        <v>21.07</v>
      </c>
      <c r="B250" s="4">
        <v>29.6</v>
      </c>
      <c r="C250" s="4">
        <v>5510.87</v>
      </c>
      <c r="D250" s="4">
        <v>7.6</v>
      </c>
      <c r="E250" s="4" t="s">
        <v>1993</v>
      </c>
      <c r="F250" s="4" t="s">
        <v>1994</v>
      </c>
      <c r="G250" s="4" t="s">
        <v>1995</v>
      </c>
      <c r="H250" s="4" t="s">
        <v>1996</v>
      </c>
      <c r="I250" s="4">
        <v>0</v>
      </c>
      <c r="J250" s="4">
        <v>860.13</v>
      </c>
      <c r="K250" s="4">
        <f t="shared" si="10"/>
        <v>57.509999999999991</v>
      </c>
      <c r="L250" s="4">
        <f t="shared" si="11"/>
        <v>62.679999999999993</v>
      </c>
      <c r="M250" s="4">
        <f t="shared" si="12"/>
        <v>-5.1700000000000017</v>
      </c>
      <c r="N250" s="4">
        <v>7.3</v>
      </c>
      <c r="O250" s="4">
        <v>88.98</v>
      </c>
      <c r="P250" s="4">
        <v>73</v>
      </c>
      <c r="Q250" s="4">
        <v>20.5</v>
      </c>
      <c r="R250" s="4">
        <v>8.5399999999999991</v>
      </c>
      <c r="S250" s="4">
        <v>17.13</v>
      </c>
      <c r="T250" s="4">
        <v>3.94</v>
      </c>
      <c r="U250" s="4">
        <v>6.41</v>
      </c>
      <c r="V250" s="4">
        <v>3526.96</v>
      </c>
      <c r="W250" s="4">
        <v>1045.1600000000001</v>
      </c>
      <c r="X250" s="4">
        <v>1207.21</v>
      </c>
      <c r="Y250" s="4">
        <v>739.1</v>
      </c>
      <c r="Z250" s="4">
        <v>5.51</v>
      </c>
      <c r="AA250" s="4">
        <v>1.59</v>
      </c>
      <c r="AB250" s="4">
        <v>4.43</v>
      </c>
      <c r="AC250" s="4">
        <v>68.42</v>
      </c>
      <c r="AD250" s="4">
        <v>680</v>
      </c>
      <c r="AE250" s="4">
        <v>5900</v>
      </c>
      <c r="AF250" s="4">
        <v>77.05</v>
      </c>
      <c r="AG250" s="4">
        <v>0.59</v>
      </c>
      <c r="AH250" s="4">
        <v>14.25</v>
      </c>
      <c r="AI250" s="4">
        <v>45.11</v>
      </c>
      <c r="AJ250" s="4">
        <v>60</v>
      </c>
      <c r="AK250" s="4">
        <v>9</v>
      </c>
      <c r="AL250" s="4">
        <v>9</v>
      </c>
      <c r="AM250" s="4">
        <v>0.7</v>
      </c>
      <c r="AN250" s="4">
        <v>408</v>
      </c>
      <c r="AO250" s="4">
        <v>414.27</v>
      </c>
      <c r="AP250" s="4">
        <v>331700.81</v>
      </c>
      <c r="AQ250" s="4">
        <v>191670.75</v>
      </c>
      <c r="AR250" s="4" t="s">
        <v>1121</v>
      </c>
      <c r="AS250" s="5">
        <f t="shared" si="0"/>
        <v>7.9925833333333332</v>
      </c>
    </row>
    <row r="251" spans="1:45" ht="14.25" customHeight="1" x14ac:dyDescent="0.55000000000000004">
      <c r="A251" s="4">
        <v>21.46</v>
      </c>
      <c r="B251" s="4">
        <v>30.15</v>
      </c>
      <c r="C251" s="4">
        <v>5476.65</v>
      </c>
      <c r="D251" s="4">
        <v>7.6</v>
      </c>
      <c r="E251" s="4" t="s">
        <v>1997</v>
      </c>
      <c r="F251" s="4" t="s">
        <v>1998</v>
      </c>
      <c r="G251" s="4" t="s">
        <v>1999</v>
      </c>
      <c r="H251" s="4" t="s">
        <v>2000</v>
      </c>
      <c r="I251" s="4">
        <v>0</v>
      </c>
      <c r="J251" s="4">
        <v>879.71</v>
      </c>
      <c r="K251" s="4">
        <f t="shared" si="10"/>
        <v>61.47</v>
      </c>
      <c r="L251" s="4">
        <f t="shared" si="11"/>
        <v>66.010000000000005</v>
      </c>
      <c r="M251" s="4">
        <f t="shared" si="12"/>
        <v>-4.5400000000000063</v>
      </c>
      <c r="N251" s="4">
        <v>7.33</v>
      </c>
      <c r="O251" s="4">
        <v>89.01</v>
      </c>
      <c r="P251" s="4">
        <v>86</v>
      </c>
      <c r="Q251" s="4">
        <v>19.7</v>
      </c>
      <c r="R251" s="4">
        <v>8.69</v>
      </c>
      <c r="S251" s="4">
        <v>17.98</v>
      </c>
      <c r="T251" s="4">
        <v>3.48</v>
      </c>
      <c r="U251" s="4">
        <v>6.23</v>
      </c>
      <c r="V251" s="4">
        <v>3505.06</v>
      </c>
      <c r="W251" s="4">
        <v>1038.73</v>
      </c>
      <c r="X251" s="4">
        <v>1197.82</v>
      </c>
      <c r="Y251" s="4">
        <v>734.4</v>
      </c>
      <c r="Z251" s="4">
        <v>5.59</v>
      </c>
      <c r="AA251" s="4">
        <v>1.59</v>
      </c>
      <c r="AB251" s="4">
        <v>4.43</v>
      </c>
      <c r="AC251" s="4">
        <v>71.42</v>
      </c>
      <c r="AD251" s="4">
        <v>680</v>
      </c>
      <c r="AE251" s="4">
        <v>5900</v>
      </c>
      <c r="AF251" s="4">
        <v>78.44</v>
      </c>
      <c r="AG251" s="4">
        <v>0.59</v>
      </c>
      <c r="AH251" s="4">
        <v>15.01</v>
      </c>
      <c r="AI251" s="4">
        <v>42.83</v>
      </c>
      <c r="AJ251" s="4">
        <v>60</v>
      </c>
      <c r="AK251" s="4">
        <v>9</v>
      </c>
      <c r="AL251" s="4">
        <v>9</v>
      </c>
      <c r="AM251" s="4">
        <v>0.73</v>
      </c>
      <c r="AN251" s="4">
        <v>408</v>
      </c>
      <c r="AO251" s="4">
        <v>414.6</v>
      </c>
      <c r="AP251" s="4">
        <v>352989.1</v>
      </c>
      <c r="AQ251" s="4">
        <v>199441.24</v>
      </c>
      <c r="AR251" s="4" t="s">
        <v>1126</v>
      </c>
      <c r="AS251" s="5">
        <f t="shared" si="0"/>
        <v>8.7641472602739725</v>
      </c>
    </row>
    <row r="252" spans="1:45" ht="14.25" customHeight="1" x14ac:dyDescent="0.55000000000000004"/>
    <row r="253" spans="1:45" ht="14.25" customHeight="1" x14ac:dyDescent="0.55000000000000004"/>
    <row r="254" spans="1:45" ht="14.25" customHeight="1" x14ac:dyDescent="0.55000000000000004"/>
    <row r="255" spans="1:45" ht="14.25" customHeight="1" x14ac:dyDescent="0.55000000000000004"/>
    <row r="256" spans="1:45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topLeftCell="AI221" workbookViewId="0">
      <selection activeCell="L3" sqref="L3"/>
    </sheetView>
  </sheetViews>
  <sheetFormatPr defaultColWidth="14.41796875" defaultRowHeight="15" customHeight="1" x14ac:dyDescent="0.55000000000000004"/>
  <cols>
    <col min="1" max="1" width="11.3125" bestFit="1" customWidth="1"/>
    <col min="2" max="2" width="11.1015625" bestFit="1" customWidth="1"/>
    <col min="3" max="3" width="13.15625" bestFit="1" customWidth="1"/>
    <col min="4" max="4" width="8.68359375" customWidth="1"/>
    <col min="5" max="6" width="11.68359375" bestFit="1" customWidth="1"/>
    <col min="7" max="7" width="15.3671875" bestFit="1" customWidth="1"/>
    <col min="8" max="8" width="10.68359375" bestFit="1" customWidth="1"/>
    <col min="9" max="9" width="6.89453125" bestFit="1" customWidth="1"/>
    <col min="10" max="10" width="14.3125" bestFit="1" customWidth="1"/>
    <col min="11" max="11" width="11.3671875" bestFit="1" customWidth="1"/>
    <col min="12" max="12" width="11.26171875" bestFit="1" customWidth="1"/>
    <col min="13" max="13" width="14.578125" bestFit="1" customWidth="1"/>
    <col min="14" max="14" width="8.68359375" customWidth="1"/>
    <col min="15" max="15" width="17.3125" bestFit="1" customWidth="1"/>
    <col min="16" max="16" width="15.20703125" bestFit="1" customWidth="1"/>
    <col min="17" max="17" width="12.7890625" bestFit="1" customWidth="1"/>
    <col min="18" max="18" width="10.1015625" bestFit="1" customWidth="1"/>
    <col min="19" max="19" width="12.83984375" bestFit="1" customWidth="1"/>
    <col min="20" max="20" width="13.578125" bestFit="1" customWidth="1"/>
    <col min="21" max="24" width="8.68359375" customWidth="1"/>
    <col min="25" max="25" width="9.68359375" bestFit="1" customWidth="1"/>
    <col min="26" max="26" width="9.26171875" bestFit="1" customWidth="1"/>
    <col min="27" max="28" width="8.68359375" customWidth="1"/>
    <col min="29" max="29" width="9.47265625" bestFit="1" customWidth="1"/>
    <col min="30" max="30" width="9.89453125" bestFit="1" customWidth="1"/>
    <col min="31" max="32" width="8.68359375" customWidth="1"/>
    <col min="33" max="33" width="8.26171875" bestFit="1" customWidth="1"/>
    <col min="34" max="34" width="13" bestFit="1" customWidth="1"/>
    <col min="35" max="35" width="14.47265625" bestFit="1" customWidth="1"/>
    <col min="36" max="36" width="13.5234375" bestFit="1" customWidth="1"/>
    <col min="37" max="37" width="17.7890625" bestFit="1" customWidth="1"/>
    <col min="38" max="38" width="13.05078125" bestFit="1" customWidth="1"/>
    <col min="39" max="39" width="16.1015625" bestFit="1" customWidth="1"/>
    <col min="40" max="40" width="11.578125" bestFit="1" customWidth="1"/>
    <col min="41" max="41" width="10.26171875" bestFit="1" customWidth="1"/>
    <col min="42" max="42" width="18.47265625" bestFit="1" customWidth="1"/>
    <col min="43" max="43" width="16" bestFit="1" customWidth="1"/>
    <col min="44" max="44" width="52.41796875" customWidth="1"/>
    <col min="45" max="45" width="10.26171875" customWidth="1"/>
  </cols>
  <sheetData>
    <row r="1" spans="1:4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6" t="s">
        <v>3083</v>
      </c>
      <c r="F1" s="6" t="s">
        <v>3084</v>
      </c>
      <c r="G1" s="6" t="s">
        <v>3085</v>
      </c>
      <c r="H1" s="6" t="s">
        <v>3086</v>
      </c>
      <c r="I1" s="1" t="s">
        <v>4</v>
      </c>
      <c r="J1" s="1" t="s">
        <v>5</v>
      </c>
      <c r="K1" s="1" t="s">
        <v>3088</v>
      </c>
      <c r="L1" s="1" t="s">
        <v>3092</v>
      </c>
      <c r="M1" s="1" t="s">
        <v>3090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2">
        <f>SUM(AS2:AS251)</f>
        <v>445.3856569634703</v>
      </c>
    </row>
    <row r="2" spans="1:45" ht="14.25" customHeight="1" x14ac:dyDescent="0.55000000000000004">
      <c r="A2" s="4">
        <v>20.38</v>
      </c>
      <c r="B2" s="4">
        <v>29.8</v>
      </c>
      <c r="C2" s="4">
        <v>5506.5</v>
      </c>
      <c r="D2" s="4">
        <v>7.61</v>
      </c>
      <c r="E2" s="4" t="s">
        <v>2001</v>
      </c>
      <c r="F2" s="4" t="s">
        <v>74</v>
      </c>
      <c r="G2" s="4" t="s">
        <v>2002</v>
      </c>
      <c r="H2" s="4" t="s">
        <v>2003</v>
      </c>
      <c r="I2" s="4">
        <v>0</v>
      </c>
      <c r="J2" s="4">
        <v>772.06</v>
      </c>
      <c r="K2" s="4">
        <f>IF(E2=0,0,
VALUE(MID(E2,2,FIND(",",E2)-2))+
VALUE(MID(F2,2,FIND(",",F2)-2))+
VALUE(MID(G2,2,FIND(",",G2)-2))
)</f>
        <v>65.58</v>
      </c>
      <c r="L2" s="4">
        <f>IF(E2=0,0,
VALUE(MID(E2,FIND(",",E2)+1,FIND("]",E2)-FIND(",",E2)-1))+
VALUE(MID(F2,FIND(",",F2)+1,FIND("]",F2)-FIND(",",F2)-1))+
VALUE(MID(G2,FIND(",",G2)+1,FIND("]",G2)-FIND(",",G2)-1))
)</f>
        <v>65.58</v>
      </c>
      <c r="M2" s="4">
        <f>(K2-L2)</f>
        <v>0</v>
      </c>
      <c r="N2" s="4">
        <v>7.26</v>
      </c>
      <c r="O2" s="4">
        <v>82.03</v>
      </c>
      <c r="P2" s="4">
        <v>44</v>
      </c>
      <c r="Q2" s="4">
        <v>22.5</v>
      </c>
      <c r="R2" s="4">
        <v>9.41</v>
      </c>
      <c r="S2" s="4">
        <v>14.96</v>
      </c>
      <c r="T2" s="4">
        <v>5.42</v>
      </c>
      <c r="U2" s="4">
        <v>7.13</v>
      </c>
      <c r="V2" s="4">
        <v>3524.16</v>
      </c>
      <c r="W2" s="4">
        <v>1049.01</v>
      </c>
      <c r="X2" s="4">
        <v>1252.24</v>
      </c>
      <c r="Y2" s="4">
        <v>750.71</v>
      </c>
      <c r="Z2" s="4">
        <v>25.29</v>
      </c>
      <c r="AA2" s="4">
        <v>1.59</v>
      </c>
      <c r="AB2" s="4">
        <v>4.42</v>
      </c>
      <c r="AC2" s="4">
        <v>63.48</v>
      </c>
      <c r="AD2" s="4">
        <v>680</v>
      </c>
      <c r="AE2" s="4">
        <v>5900</v>
      </c>
      <c r="AF2" s="4">
        <v>84.98</v>
      </c>
      <c r="AG2" s="4">
        <v>0.59</v>
      </c>
      <c r="AH2" s="4">
        <v>13.86</v>
      </c>
      <c r="AI2" s="4">
        <v>181.7</v>
      </c>
      <c r="AJ2" s="4">
        <v>60</v>
      </c>
      <c r="AK2" s="4">
        <v>9</v>
      </c>
      <c r="AL2" s="4">
        <v>9</v>
      </c>
      <c r="AM2" s="4">
        <v>0.17</v>
      </c>
      <c r="AN2" s="4">
        <v>408</v>
      </c>
      <c r="AO2" s="4">
        <v>409.56</v>
      </c>
      <c r="AP2" s="4">
        <v>368601.8</v>
      </c>
      <c r="AQ2" s="4">
        <v>368601.8</v>
      </c>
      <c r="AR2" s="4" t="s">
        <v>42</v>
      </c>
      <c r="AS2" s="5">
        <f t="shared" ref="AS2:AS251" si="0">(AP2-AQ2)/(365*24*2)</f>
        <v>0</v>
      </c>
    </row>
    <row r="3" spans="1:45" ht="14.25" customHeight="1" x14ac:dyDescent="0.55000000000000004">
      <c r="A3" s="4">
        <v>20.170000000000002</v>
      </c>
      <c r="B3" s="4">
        <v>29.59</v>
      </c>
      <c r="C3" s="4">
        <v>5509.1</v>
      </c>
      <c r="D3" s="4">
        <v>7.6</v>
      </c>
      <c r="E3" s="4" t="s">
        <v>2004</v>
      </c>
      <c r="F3" s="4" t="s">
        <v>2005</v>
      </c>
      <c r="G3" s="4" t="s">
        <v>570</v>
      </c>
      <c r="H3" s="4" t="s">
        <v>2006</v>
      </c>
      <c r="I3" s="4">
        <v>0</v>
      </c>
      <c r="J3" s="4">
        <v>775.57</v>
      </c>
      <c r="K3" s="4">
        <f t="shared" ref="K3:K66" si="1">IF(E3=0,0,
VALUE(MID(E3,2,FIND(",",E3)-2))+
VALUE(MID(F3,2,FIND(",",F3)-2))+
VALUE(MID(G3,2,FIND(",",G3)-2))
)</f>
        <v>65.669999999999987</v>
      </c>
      <c r="L3" s="4">
        <f t="shared" ref="L3:L66" si="2">IF(E3=0,0,
VALUE(MID(E3,FIND(",",E3)+1,FIND("]",E3)-FIND(",",E3)-1))+
VALUE(MID(F3,FIND(",",F3)+1,FIND("]",F3)-FIND(",",F3)-1))+
VALUE(MID(G3,FIND(",",G3)+1,FIND("]",G3)-FIND(",",G3)-1))
)</f>
        <v>65.669999999999987</v>
      </c>
      <c r="M3" s="4">
        <f t="shared" ref="M3:M66" si="3">(K3-L3)</f>
        <v>0</v>
      </c>
      <c r="N3" s="4">
        <v>7.26</v>
      </c>
      <c r="O3" s="4">
        <v>81.97</v>
      </c>
      <c r="P3" s="4">
        <v>46</v>
      </c>
      <c r="Q3" s="4">
        <v>21.7</v>
      </c>
      <c r="R3" s="4">
        <v>9.42</v>
      </c>
      <c r="S3" s="4">
        <v>14.59</v>
      </c>
      <c r="T3" s="4">
        <v>5.58</v>
      </c>
      <c r="U3" s="4">
        <v>7.1</v>
      </c>
      <c r="V3" s="4">
        <v>3525.82</v>
      </c>
      <c r="W3" s="4">
        <v>1049.49</v>
      </c>
      <c r="X3" s="4">
        <v>1252.17</v>
      </c>
      <c r="Y3" s="4">
        <v>750.96</v>
      </c>
      <c r="Z3" s="4">
        <v>27.77</v>
      </c>
      <c r="AA3" s="4">
        <v>1.59</v>
      </c>
      <c r="AB3" s="4">
        <v>4.43</v>
      </c>
      <c r="AC3" s="4">
        <v>62.8</v>
      </c>
      <c r="AD3" s="4">
        <v>680</v>
      </c>
      <c r="AE3" s="4">
        <v>5900</v>
      </c>
      <c r="AF3" s="4">
        <v>85.04</v>
      </c>
      <c r="AG3" s="4">
        <v>0.59</v>
      </c>
      <c r="AH3" s="4">
        <v>13.93</v>
      </c>
      <c r="AI3" s="4">
        <v>199.3</v>
      </c>
      <c r="AJ3" s="4">
        <v>60</v>
      </c>
      <c r="AK3" s="4">
        <v>9</v>
      </c>
      <c r="AL3" s="4">
        <v>9</v>
      </c>
      <c r="AM3" s="4">
        <v>0.16</v>
      </c>
      <c r="AN3" s="4">
        <v>408</v>
      </c>
      <c r="AO3" s="4">
        <v>409.42</v>
      </c>
      <c r="AP3" s="4">
        <v>364838.58</v>
      </c>
      <c r="AQ3" s="4">
        <v>364838.58</v>
      </c>
      <c r="AR3" s="4" t="s">
        <v>47</v>
      </c>
      <c r="AS3" s="5">
        <f t="shared" si="0"/>
        <v>0</v>
      </c>
    </row>
    <row r="4" spans="1:45" ht="14.25" customHeight="1" x14ac:dyDescent="0.55000000000000004">
      <c r="A4" s="4">
        <v>20.91</v>
      </c>
      <c r="B4" s="4">
        <v>30.33</v>
      </c>
      <c r="C4" s="4">
        <v>5549.4</v>
      </c>
      <c r="D4" s="4">
        <v>7.61</v>
      </c>
      <c r="E4" s="4" t="s">
        <v>2007</v>
      </c>
      <c r="F4" s="4" t="s">
        <v>2008</v>
      </c>
      <c r="G4" s="4" t="s">
        <v>2009</v>
      </c>
      <c r="H4" s="4" t="s">
        <v>2010</v>
      </c>
      <c r="I4" s="4">
        <v>0</v>
      </c>
      <c r="J4" s="4">
        <v>811.67</v>
      </c>
      <c r="K4" s="4">
        <f t="shared" si="1"/>
        <v>69.489999999999995</v>
      </c>
      <c r="L4" s="4">
        <f t="shared" si="2"/>
        <v>68.12</v>
      </c>
      <c r="M4" s="4">
        <f t="shared" si="3"/>
        <v>1.3699999999999903</v>
      </c>
      <c r="N4" s="4">
        <v>7.29</v>
      </c>
      <c r="O4" s="4">
        <v>81.99</v>
      </c>
      <c r="P4" s="4">
        <v>63</v>
      </c>
      <c r="Q4" s="4">
        <v>19.899999999999999</v>
      </c>
      <c r="R4" s="4">
        <v>9.41</v>
      </c>
      <c r="S4" s="4">
        <v>15.3</v>
      </c>
      <c r="T4" s="4">
        <v>5.61</v>
      </c>
      <c r="U4" s="4">
        <v>6.84</v>
      </c>
      <c r="V4" s="4">
        <v>3551.62</v>
      </c>
      <c r="W4" s="4">
        <v>1056.0999999999999</v>
      </c>
      <c r="X4" s="4">
        <v>1248.32</v>
      </c>
      <c r="Y4" s="4">
        <v>753.4</v>
      </c>
      <c r="Z4" s="4">
        <v>10.199999999999999</v>
      </c>
      <c r="AA4" s="4">
        <v>1.61</v>
      </c>
      <c r="AB4" s="4">
        <v>4.3899999999999997</v>
      </c>
      <c r="AC4" s="4">
        <v>62.67</v>
      </c>
      <c r="AD4" s="4">
        <v>680</v>
      </c>
      <c r="AE4" s="4">
        <v>5900</v>
      </c>
      <c r="AF4" s="4">
        <v>84.99</v>
      </c>
      <c r="AG4" s="4">
        <v>0.59</v>
      </c>
      <c r="AH4" s="4">
        <v>14.56</v>
      </c>
      <c r="AI4" s="4">
        <v>69.180000000000007</v>
      </c>
      <c r="AJ4" s="4">
        <v>60</v>
      </c>
      <c r="AK4" s="4">
        <v>9</v>
      </c>
      <c r="AL4" s="4">
        <v>9</v>
      </c>
      <c r="AM4" s="4">
        <v>0.45</v>
      </c>
      <c r="AN4" s="4">
        <v>408</v>
      </c>
      <c r="AO4" s="4">
        <v>412.09</v>
      </c>
      <c r="AP4" s="4">
        <v>427883.33</v>
      </c>
      <c r="AQ4" s="4">
        <v>396394.66</v>
      </c>
      <c r="AR4" s="4" t="s">
        <v>52</v>
      </c>
      <c r="AS4" s="5">
        <f t="shared" si="0"/>
        <v>1.7972985159817376</v>
      </c>
    </row>
    <row r="5" spans="1:45" ht="14.25" customHeight="1" x14ac:dyDescent="0.55000000000000004">
      <c r="A5" s="4">
        <v>21.18</v>
      </c>
      <c r="B5" s="4">
        <v>30.42</v>
      </c>
      <c r="C5" s="4">
        <v>5467</v>
      </c>
      <c r="D5" s="4">
        <v>7.6</v>
      </c>
      <c r="E5" s="4" t="s">
        <v>2011</v>
      </c>
      <c r="F5" s="4" t="s">
        <v>2012</v>
      </c>
      <c r="G5" s="4" t="s">
        <v>2013</v>
      </c>
      <c r="H5" s="4" t="s">
        <v>2014</v>
      </c>
      <c r="I5" s="4">
        <v>0</v>
      </c>
      <c r="J5" s="4">
        <v>743.1</v>
      </c>
      <c r="K5" s="4">
        <f t="shared" si="1"/>
        <v>63.46</v>
      </c>
      <c r="L5" s="4">
        <f t="shared" si="2"/>
        <v>59.73</v>
      </c>
      <c r="M5" s="4">
        <f t="shared" si="3"/>
        <v>3.730000000000004</v>
      </c>
      <c r="N5" s="4">
        <v>7.24</v>
      </c>
      <c r="O5" s="4">
        <v>81.94</v>
      </c>
      <c r="P5" s="4">
        <v>87</v>
      </c>
      <c r="Q5" s="4">
        <v>17.2</v>
      </c>
      <c r="R5" s="4">
        <v>9.25</v>
      </c>
      <c r="S5" s="4">
        <v>15.66</v>
      </c>
      <c r="T5" s="4">
        <v>5.52</v>
      </c>
      <c r="U5" s="4">
        <v>7.36</v>
      </c>
      <c r="V5" s="4">
        <v>3498.88</v>
      </c>
      <c r="W5" s="4">
        <v>1042.97</v>
      </c>
      <c r="X5" s="4">
        <v>1258.53</v>
      </c>
      <c r="Y5" s="4">
        <v>749.26</v>
      </c>
      <c r="Z5" s="4">
        <v>11.69</v>
      </c>
      <c r="AA5" s="4">
        <v>1.6</v>
      </c>
      <c r="AB5" s="4">
        <v>4.4000000000000004</v>
      </c>
      <c r="AC5" s="4">
        <v>62.64</v>
      </c>
      <c r="AD5" s="4">
        <v>680</v>
      </c>
      <c r="AE5" s="4">
        <v>5900</v>
      </c>
      <c r="AF5" s="4">
        <v>83.48</v>
      </c>
      <c r="AG5" s="4">
        <v>0.59</v>
      </c>
      <c r="AH5" s="4">
        <v>13.13</v>
      </c>
      <c r="AI5" s="4">
        <v>86.78</v>
      </c>
      <c r="AJ5" s="4">
        <v>60</v>
      </c>
      <c r="AK5" s="4">
        <v>9</v>
      </c>
      <c r="AL5" s="4">
        <v>9</v>
      </c>
      <c r="AM5" s="4">
        <v>0.36</v>
      </c>
      <c r="AN5" s="4">
        <v>408</v>
      </c>
      <c r="AO5" s="4">
        <v>411.26</v>
      </c>
      <c r="AP5" s="4">
        <v>433461.75</v>
      </c>
      <c r="AQ5" s="4">
        <v>360257.99</v>
      </c>
      <c r="AR5" s="4" t="s">
        <v>57</v>
      </c>
      <c r="AS5" s="5">
        <f t="shared" si="0"/>
        <v>4.1782968036529686</v>
      </c>
    </row>
    <row r="6" spans="1:45" ht="14.25" customHeight="1" x14ac:dyDescent="0.55000000000000004">
      <c r="A6" s="4">
        <v>20.94</v>
      </c>
      <c r="B6" s="4">
        <v>30.34</v>
      </c>
      <c r="C6" s="4">
        <v>5545.6</v>
      </c>
      <c r="D6" s="4">
        <v>7.59</v>
      </c>
      <c r="E6" s="4" t="s">
        <v>2015</v>
      </c>
      <c r="F6" s="4" t="s">
        <v>2016</v>
      </c>
      <c r="G6" s="4" t="s">
        <v>2017</v>
      </c>
      <c r="H6" s="4" t="s">
        <v>2018</v>
      </c>
      <c r="I6" s="4">
        <v>0</v>
      </c>
      <c r="J6" s="4">
        <v>804.76</v>
      </c>
      <c r="K6" s="4">
        <f t="shared" si="1"/>
        <v>69.240000000000009</v>
      </c>
      <c r="L6" s="4">
        <f t="shared" si="2"/>
        <v>67.03</v>
      </c>
      <c r="M6" s="4">
        <f t="shared" si="3"/>
        <v>2.210000000000008</v>
      </c>
      <c r="N6" s="4">
        <v>7.29</v>
      </c>
      <c r="O6" s="4">
        <v>82.01</v>
      </c>
      <c r="P6" s="4">
        <v>63</v>
      </c>
      <c r="Q6" s="4">
        <v>19.600000000000001</v>
      </c>
      <c r="R6" s="4">
        <v>9.4</v>
      </c>
      <c r="S6" s="4">
        <v>15.03</v>
      </c>
      <c r="T6" s="4">
        <v>5.91</v>
      </c>
      <c r="U6" s="4">
        <v>6.89</v>
      </c>
      <c r="V6" s="4">
        <v>3549.18</v>
      </c>
      <c r="W6" s="4">
        <v>1055.78</v>
      </c>
      <c r="X6" s="4">
        <v>1251.42</v>
      </c>
      <c r="Y6" s="4">
        <v>753.94</v>
      </c>
      <c r="Z6" s="4">
        <v>10.33</v>
      </c>
      <c r="AA6" s="4">
        <v>1.59</v>
      </c>
      <c r="AB6" s="4">
        <v>4.41</v>
      </c>
      <c r="AC6" s="4">
        <v>61.4</v>
      </c>
      <c r="AD6" s="4">
        <v>680</v>
      </c>
      <c r="AE6" s="4">
        <v>5900</v>
      </c>
      <c r="AF6" s="4">
        <v>84.84</v>
      </c>
      <c r="AG6" s="4">
        <v>0.59</v>
      </c>
      <c r="AH6" s="4">
        <v>14.4</v>
      </c>
      <c r="AI6" s="4">
        <v>70.31</v>
      </c>
      <c r="AJ6" s="4">
        <v>60</v>
      </c>
      <c r="AK6" s="4">
        <v>9</v>
      </c>
      <c r="AL6" s="4">
        <v>9</v>
      </c>
      <c r="AM6" s="4">
        <v>0.45</v>
      </c>
      <c r="AN6" s="4">
        <v>408</v>
      </c>
      <c r="AO6" s="4">
        <v>412.02</v>
      </c>
      <c r="AP6" s="4">
        <v>435967.34</v>
      </c>
      <c r="AQ6" s="4">
        <v>386465.4</v>
      </c>
      <c r="AR6" s="4" t="s">
        <v>62</v>
      </c>
      <c r="AS6" s="5">
        <f t="shared" si="0"/>
        <v>2.825453196347032</v>
      </c>
    </row>
    <row r="7" spans="1:45" ht="14.25" customHeight="1" x14ac:dyDescent="0.55000000000000004">
      <c r="A7" s="4">
        <v>20.28</v>
      </c>
      <c r="B7" s="4">
        <v>29.68</v>
      </c>
      <c r="C7" s="4">
        <v>5502.8</v>
      </c>
      <c r="D7" s="4">
        <v>7.59</v>
      </c>
      <c r="E7" s="4" t="s">
        <v>2019</v>
      </c>
      <c r="F7" s="4" t="s">
        <v>2020</v>
      </c>
      <c r="G7" s="4" t="s">
        <v>2021</v>
      </c>
      <c r="H7" s="4" t="s">
        <v>2022</v>
      </c>
      <c r="I7" s="4">
        <v>0</v>
      </c>
      <c r="J7" s="4">
        <v>807.15</v>
      </c>
      <c r="K7" s="4">
        <f t="shared" si="1"/>
        <v>69.17</v>
      </c>
      <c r="L7" s="4">
        <f t="shared" si="2"/>
        <v>65.75</v>
      </c>
      <c r="M7" s="4">
        <f t="shared" si="3"/>
        <v>3.4200000000000017</v>
      </c>
      <c r="N7" s="4">
        <v>7.29</v>
      </c>
      <c r="O7" s="4">
        <v>82</v>
      </c>
      <c r="P7" s="4">
        <v>68</v>
      </c>
      <c r="Q7" s="4">
        <v>17.8</v>
      </c>
      <c r="R7" s="4">
        <v>9.4</v>
      </c>
      <c r="S7" s="4">
        <v>13.99</v>
      </c>
      <c r="T7" s="4">
        <v>6.29</v>
      </c>
      <c r="U7" s="4">
        <v>6.82</v>
      </c>
      <c r="V7" s="4">
        <v>3521.79</v>
      </c>
      <c r="W7" s="4">
        <v>1047.46</v>
      </c>
      <c r="X7" s="4">
        <v>1240.1500000000001</v>
      </c>
      <c r="Y7" s="4">
        <v>747.68</v>
      </c>
      <c r="Z7" s="4">
        <v>10.52</v>
      </c>
      <c r="AA7" s="4">
        <v>1.57</v>
      </c>
      <c r="AB7" s="4">
        <v>4.45</v>
      </c>
      <c r="AC7" s="4">
        <v>59.92</v>
      </c>
      <c r="AD7" s="4">
        <v>680</v>
      </c>
      <c r="AE7" s="4">
        <v>5900</v>
      </c>
      <c r="AF7" s="4">
        <v>84.88</v>
      </c>
      <c r="AG7" s="4">
        <v>0.59</v>
      </c>
      <c r="AH7" s="4">
        <v>14.59</v>
      </c>
      <c r="AI7" s="4">
        <v>71.69</v>
      </c>
      <c r="AJ7" s="4">
        <v>60</v>
      </c>
      <c r="AK7" s="4">
        <v>9</v>
      </c>
      <c r="AL7" s="4">
        <v>9</v>
      </c>
      <c r="AM7" s="4">
        <v>0.44</v>
      </c>
      <c r="AN7" s="4">
        <v>408</v>
      </c>
      <c r="AO7" s="4">
        <v>411.94</v>
      </c>
      <c r="AP7" s="4">
        <v>446171.19</v>
      </c>
      <c r="AQ7" s="4">
        <v>377724.03</v>
      </c>
      <c r="AR7" s="4" t="s">
        <v>67</v>
      </c>
      <c r="AS7" s="5">
        <f t="shared" si="0"/>
        <v>3.9068013698630124</v>
      </c>
    </row>
    <row r="8" spans="1:45" ht="14.25" customHeight="1" x14ac:dyDescent="0.55000000000000004">
      <c r="A8" s="4">
        <v>20.82</v>
      </c>
      <c r="B8" s="4">
        <v>30.21</v>
      </c>
      <c r="C8" s="4">
        <v>5560.1</v>
      </c>
      <c r="D8" s="4">
        <v>7.62</v>
      </c>
      <c r="E8" s="4" t="s">
        <v>2023</v>
      </c>
      <c r="F8" s="4" t="s">
        <v>2024</v>
      </c>
      <c r="G8" s="4" t="s">
        <v>486</v>
      </c>
      <c r="H8" s="4" t="s">
        <v>2025</v>
      </c>
      <c r="I8" s="4">
        <v>0</v>
      </c>
      <c r="J8" s="4">
        <v>782.64</v>
      </c>
      <c r="K8" s="4">
        <f t="shared" si="1"/>
        <v>67</v>
      </c>
      <c r="L8" s="4">
        <f t="shared" si="2"/>
        <v>66.75</v>
      </c>
      <c r="M8" s="4">
        <f t="shared" si="3"/>
        <v>0.25</v>
      </c>
      <c r="N8" s="4">
        <v>7.27</v>
      </c>
      <c r="O8" s="4">
        <v>82.02</v>
      </c>
      <c r="P8" s="4">
        <v>56</v>
      </c>
      <c r="Q8" s="4">
        <v>20.9</v>
      </c>
      <c r="R8" s="4">
        <v>9.3800000000000008</v>
      </c>
      <c r="S8" s="4">
        <v>15.29</v>
      </c>
      <c r="T8" s="4">
        <v>5.54</v>
      </c>
      <c r="U8" s="4">
        <v>7.1</v>
      </c>
      <c r="V8" s="4">
        <v>3558.46</v>
      </c>
      <c r="W8" s="4">
        <v>1059.3499999999999</v>
      </c>
      <c r="X8" s="4">
        <v>1263.73</v>
      </c>
      <c r="Y8" s="4">
        <v>758.13</v>
      </c>
      <c r="Z8" s="4">
        <v>10.54</v>
      </c>
      <c r="AA8" s="4">
        <v>1.62</v>
      </c>
      <c r="AB8" s="4">
        <v>4.38</v>
      </c>
      <c r="AC8" s="4">
        <v>62.89</v>
      </c>
      <c r="AD8" s="4">
        <v>680</v>
      </c>
      <c r="AE8" s="4">
        <v>5900</v>
      </c>
      <c r="AF8" s="4">
        <v>84.69</v>
      </c>
      <c r="AG8" s="4">
        <v>0.59</v>
      </c>
      <c r="AH8" s="4">
        <v>13.87</v>
      </c>
      <c r="AI8" s="4">
        <v>74.13</v>
      </c>
      <c r="AJ8" s="4">
        <v>60</v>
      </c>
      <c r="AK8" s="4">
        <v>9</v>
      </c>
      <c r="AL8" s="4">
        <v>9</v>
      </c>
      <c r="AM8" s="4">
        <v>0.42</v>
      </c>
      <c r="AN8" s="4">
        <v>408</v>
      </c>
      <c r="AO8" s="4">
        <v>411.81</v>
      </c>
      <c r="AP8" s="4">
        <v>410190.43</v>
      </c>
      <c r="AQ8" s="4">
        <v>400615.74</v>
      </c>
      <c r="AR8" s="4" t="s">
        <v>72</v>
      </c>
      <c r="AS8" s="5">
        <f t="shared" si="0"/>
        <v>0.5465005707762558</v>
      </c>
    </row>
    <row r="9" spans="1:45" ht="14.25" customHeight="1" x14ac:dyDescent="0.55000000000000004">
      <c r="A9" s="4">
        <v>20.78</v>
      </c>
      <c r="B9" s="4">
        <v>30.19</v>
      </c>
      <c r="C9" s="4">
        <v>5554.2</v>
      </c>
      <c r="D9" s="4">
        <v>7.6</v>
      </c>
      <c r="E9" s="4" t="s">
        <v>2026</v>
      </c>
      <c r="F9" s="4" t="s">
        <v>504</v>
      </c>
      <c r="G9" s="4" t="s">
        <v>2021</v>
      </c>
      <c r="H9" s="4" t="s">
        <v>2027</v>
      </c>
      <c r="I9" s="4">
        <v>0</v>
      </c>
      <c r="J9" s="4">
        <v>782.31</v>
      </c>
      <c r="K9" s="4">
        <f t="shared" si="1"/>
        <v>67.16</v>
      </c>
      <c r="L9" s="4">
        <f t="shared" si="2"/>
        <v>67.16</v>
      </c>
      <c r="M9" s="4">
        <f t="shared" si="3"/>
        <v>0</v>
      </c>
      <c r="N9" s="4">
        <v>7.27</v>
      </c>
      <c r="O9" s="4">
        <v>81.98</v>
      </c>
      <c r="P9" s="4">
        <v>50</v>
      </c>
      <c r="Q9" s="4">
        <v>21.9</v>
      </c>
      <c r="R9" s="4">
        <v>9.41</v>
      </c>
      <c r="S9" s="4">
        <v>15.33</v>
      </c>
      <c r="T9" s="4">
        <v>5.45</v>
      </c>
      <c r="U9" s="4">
        <v>7.1</v>
      </c>
      <c r="V9" s="4">
        <v>3554.69</v>
      </c>
      <c r="W9" s="4">
        <v>1058.17</v>
      </c>
      <c r="X9" s="4">
        <v>1262.03</v>
      </c>
      <c r="Y9" s="4">
        <v>757.2</v>
      </c>
      <c r="Z9" s="4">
        <v>13.79</v>
      </c>
      <c r="AA9" s="4">
        <v>1.6</v>
      </c>
      <c r="AB9" s="4">
        <v>4.4000000000000004</v>
      </c>
      <c r="AC9" s="4">
        <v>63.32</v>
      </c>
      <c r="AD9" s="4">
        <v>680</v>
      </c>
      <c r="AE9" s="4">
        <v>5900</v>
      </c>
      <c r="AF9" s="4">
        <v>84.94</v>
      </c>
      <c r="AG9" s="4">
        <v>0.59</v>
      </c>
      <c r="AH9" s="4">
        <v>13.92</v>
      </c>
      <c r="AI9" s="4">
        <v>96.74</v>
      </c>
      <c r="AJ9" s="4">
        <v>60</v>
      </c>
      <c r="AK9" s="4">
        <v>9</v>
      </c>
      <c r="AL9" s="4">
        <v>9</v>
      </c>
      <c r="AM9" s="4">
        <v>0.32</v>
      </c>
      <c r="AN9" s="4">
        <v>408</v>
      </c>
      <c r="AO9" s="4">
        <v>410.92</v>
      </c>
      <c r="AP9" s="4">
        <v>393848.1</v>
      </c>
      <c r="AQ9" s="4">
        <v>393848.1</v>
      </c>
      <c r="AR9" s="4" t="s">
        <v>77</v>
      </c>
      <c r="AS9" s="5">
        <f t="shared" si="0"/>
        <v>0</v>
      </c>
    </row>
    <row r="10" spans="1:45" ht="14.25" customHeight="1" x14ac:dyDescent="0.55000000000000004">
      <c r="A10" s="4">
        <v>20.079999999999998</v>
      </c>
      <c r="B10" s="4">
        <v>29.41</v>
      </c>
      <c r="C10" s="4">
        <v>5510.9</v>
      </c>
      <c r="D10" s="4">
        <v>7.6</v>
      </c>
      <c r="E10" s="4" t="s">
        <v>2028</v>
      </c>
      <c r="F10" s="4" t="s">
        <v>89</v>
      </c>
      <c r="G10" s="4" t="s">
        <v>2029</v>
      </c>
      <c r="H10" s="4" t="s">
        <v>2030</v>
      </c>
      <c r="I10" s="4">
        <v>0</v>
      </c>
      <c r="J10" s="4">
        <v>724.4</v>
      </c>
      <c r="K10" s="4">
        <f t="shared" si="1"/>
        <v>62.440000000000005</v>
      </c>
      <c r="L10" s="4">
        <f t="shared" si="2"/>
        <v>62.440000000000005</v>
      </c>
      <c r="M10" s="4">
        <f t="shared" si="3"/>
        <v>0</v>
      </c>
      <c r="N10" s="4">
        <v>7.23</v>
      </c>
      <c r="O10" s="4">
        <v>81.96</v>
      </c>
      <c r="P10" s="4">
        <v>49</v>
      </c>
      <c r="Q10" s="4">
        <v>20.8</v>
      </c>
      <c r="R10" s="4">
        <v>9.33</v>
      </c>
      <c r="S10" s="4">
        <v>14.25</v>
      </c>
      <c r="T10" s="4">
        <v>5.83</v>
      </c>
      <c r="U10" s="4">
        <v>7.61</v>
      </c>
      <c r="V10" s="4">
        <v>3526.98</v>
      </c>
      <c r="W10" s="4">
        <v>1052.5</v>
      </c>
      <c r="X10" s="4">
        <v>1280.1600000000001</v>
      </c>
      <c r="Y10" s="4">
        <v>758.3</v>
      </c>
      <c r="Z10" s="4">
        <v>29.58</v>
      </c>
      <c r="AA10" s="4">
        <v>1.59</v>
      </c>
      <c r="AB10" s="4">
        <v>4.42</v>
      </c>
      <c r="AC10" s="4">
        <v>61.56</v>
      </c>
      <c r="AD10" s="4">
        <v>680</v>
      </c>
      <c r="AE10" s="4">
        <v>5900</v>
      </c>
      <c r="AF10" s="4">
        <v>84.26</v>
      </c>
      <c r="AG10" s="4">
        <v>0.59</v>
      </c>
      <c r="AH10" s="4">
        <v>12.75</v>
      </c>
      <c r="AI10" s="4">
        <v>223.22</v>
      </c>
      <c r="AJ10" s="4">
        <v>60</v>
      </c>
      <c r="AK10" s="4">
        <v>9</v>
      </c>
      <c r="AL10" s="4">
        <v>9</v>
      </c>
      <c r="AM10" s="4">
        <v>0.14000000000000001</v>
      </c>
      <c r="AN10" s="4">
        <v>408</v>
      </c>
      <c r="AO10" s="4">
        <v>409.27</v>
      </c>
      <c r="AP10" s="4">
        <v>361777.17</v>
      </c>
      <c r="AQ10" s="4">
        <v>361777.17</v>
      </c>
      <c r="AR10" s="4" t="s">
        <v>82</v>
      </c>
      <c r="AS10" s="5">
        <f t="shared" si="0"/>
        <v>0</v>
      </c>
    </row>
    <row r="11" spans="1:45" ht="14.25" customHeight="1" x14ac:dyDescent="0.55000000000000004">
      <c r="A11" s="4">
        <v>20.67</v>
      </c>
      <c r="B11" s="4">
        <v>30.12</v>
      </c>
      <c r="C11" s="4">
        <v>5538.8</v>
      </c>
      <c r="D11" s="4">
        <v>7.61</v>
      </c>
      <c r="E11" s="4" t="s">
        <v>2031</v>
      </c>
      <c r="F11" s="4" t="s">
        <v>2032</v>
      </c>
      <c r="G11" s="4" t="s">
        <v>592</v>
      </c>
      <c r="H11" s="4" t="s">
        <v>2033</v>
      </c>
      <c r="I11" s="4">
        <v>0</v>
      </c>
      <c r="J11" s="4">
        <v>752.63</v>
      </c>
      <c r="K11" s="4">
        <f t="shared" si="1"/>
        <v>64.430000000000007</v>
      </c>
      <c r="L11" s="4">
        <f t="shared" si="2"/>
        <v>64.430000000000007</v>
      </c>
      <c r="M11" s="4">
        <f t="shared" si="3"/>
        <v>0</v>
      </c>
      <c r="N11" s="4">
        <v>7.25</v>
      </c>
      <c r="O11" s="4">
        <v>81.94</v>
      </c>
      <c r="P11" s="4">
        <v>47</v>
      </c>
      <c r="Q11" s="4">
        <v>22.2</v>
      </c>
      <c r="R11" s="4">
        <v>9.4600000000000009</v>
      </c>
      <c r="S11" s="4">
        <v>15.16</v>
      </c>
      <c r="T11" s="4">
        <v>5.51</v>
      </c>
      <c r="U11" s="4">
        <v>7.36</v>
      </c>
      <c r="V11" s="4">
        <v>3544.83</v>
      </c>
      <c r="W11" s="4">
        <v>1056.6300000000001</v>
      </c>
      <c r="X11" s="4">
        <v>1273.29</v>
      </c>
      <c r="Y11" s="4">
        <v>758.86</v>
      </c>
      <c r="Z11" s="4">
        <v>15.51</v>
      </c>
      <c r="AA11" s="4">
        <v>1.61</v>
      </c>
      <c r="AB11" s="4">
        <v>4.3899999999999997</v>
      </c>
      <c r="AC11" s="4">
        <v>63.18</v>
      </c>
      <c r="AD11" s="4">
        <v>680</v>
      </c>
      <c r="AE11" s="4">
        <v>5900</v>
      </c>
      <c r="AF11" s="4">
        <v>85.36</v>
      </c>
      <c r="AG11" s="4">
        <v>0.59</v>
      </c>
      <c r="AH11" s="4">
        <v>13.42</v>
      </c>
      <c r="AI11" s="4">
        <v>113.42</v>
      </c>
      <c r="AJ11" s="4">
        <v>60</v>
      </c>
      <c r="AK11" s="4">
        <v>9</v>
      </c>
      <c r="AL11" s="4">
        <v>9</v>
      </c>
      <c r="AM11" s="4">
        <v>0.28000000000000003</v>
      </c>
      <c r="AN11" s="4">
        <v>408</v>
      </c>
      <c r="AO11" s="4">
        <v>410.49</v>
      </c>
      <c r="AP11" s="4">
        <v>382706.28</v>
      </c>
      <c r="AQ11" s="4">
        <v>382706.28</v>
      </c>
      <c r="AR11" s="4" t="s">
        <v>1166</v>
      </c>
      <c r="AS11" s="5">
        <f t="shared" si="0"/>
        <v>0</v>
      </c>
    </row>
    <row r="12" spans="1:45" ht="14.25" customHeight="1" x14ac:dyDescent="0.55000000000000004">
      <c r="A12" s="4">
        <v>20.51</v>
      </c>
      <c r="B12" s="4">
        <v>29.92</v>
      </c>
      <c r="C12" s="4">
        <v>5520.7</v>
      </c>
      <c r="D12" s="4">
        <v>7.61</v>
      </c>
      <c r="E12" s="4" t="s">
        <v>2034</v>
      </c>
      <c r="F12" s="4" t="s">
        <v>2035</v>
      </c>
      <c r="G12" s="4" t="s">
        <v>2036</v>
      </c>
      <c r="H12" s="4" t="s">
        <v>2037</v>
      </c>
      <c r="I12" s="4">
        <v>0</v>
      </c>
      <c r="J12" s="4">
        <v>812.62</v>
      </c>
      <c r="K12" s="4">
        <f t="shared" si="1"/>
        <v>69.800000000000011</v>
      </c>
      <c r="L12" s="4">
        <f t="shared" si="2"/>
        <v>66.45</v>
      </c>
      <c r="M12" s="4">
        <f t="shared" si="3"/>
        <v>3.3500000000000085</v>
      </c>
      <c r="N12" s="4">
        <v>7.29</v>
      </c>
      <c r="O12" s="4">
        <v>82</v>
      </c>
      <c r="P12" s="4">
        <v>65</v>
      </c>
      <c r="Q12" s="4">
        <v>18.399999999999999</v>
      </c>
      <c r="R12" s="4">
        <v>9.41</v>
      </c>
      <c r="S12" s="4">
        <v>14.18</v>
      </c>
      <c r="T12" s="4">
        <v>6.32</v>
      </c>
      <c r="U12" s="4">
        <v>6.79</v>
      </c>
      <c r="V12" s="4">
        <v>3533.25</v>
      </c>
      <c r="W12" s="4">
        <v>1050.5899999999999</v>
      </c>
      <c r="X12" s="4">
        <v>1241.3900000000001</v>
      </c>
      <c r="Y12" s="4">
        <v>749.38</v>
      </c>
      <c r="Z12" s="4">
        <v>10.51</v>
      </c>
      <c r="AA12" s="4">
        <v>1.6</v>
      </c>
      <c r="AB12" s="4">
        <v>4.41</v>
      </c>
      <c r="AC12" s="4">
        <v>59.8</v>
      </c>
      <c r="AD12" s="4">
        <v>680</v>
      </c>
      <c r="AE12" s="4">
        <v>5900</v>
      </c>
      <c r="AF12" s="4">
        <v>84.93</v>
      </c>
      <c r="AG12" s="4">
        <v>0.59</v>
      </c>
      <c r="AH12" s="4">
        <v>14.66</v>
      </c>
      <c r="AI12" s="4">
        <v>70.92</v>
      </c>
      <c r="AJ12" s="4">
        <v>60</v>
      </c>
      <c r="AK12" s="4">
        <v>9</v>
      </c>
      <c r="AL12" s="4">
        <v>9</v>
      </c>
      <c r="AM12" s="4">
        <v>0.44</v>
      </c>
      <c r="AN12" s="4">
        <v>408</v>
      </c>
      <c r="AO12" s="4">
        <v>411.99</v>
      </c>
      <c r="AP12" s="4">
        <v>447650.99</v>
      </c>
      <c r="AQ12" s="4">
        <v>383335.48</v>
      </c>
      <c r="AR12" s="4" t="s">
        <v>87</v>
      </c>
      <c r="AS12" s="5">
        <f t="shared" si="0"/>
        <v>3.6709765981735165</v>
      </c>
    </row>
    <row r="13" spans="1:45" ht="14.25" customHeight="1" x14ac:dyDescent="0.55000000000000004">
      <c r="A13" s="4">
        <v>20.93</v>
      </c>
      <c r="B13" s="4">
        <v>30.35</v>
      </c>
      <c r="C13" s="4">
        <v>5551.4</v>
      </c>
      <c r="D13" s="4">
        <v>7.63</v>
      </c>
      <c r="E13" s="4" t="s">
        <v>2038</v>
      </c>
      <c r="F13" s="4" t="s">
        <v>2039</v>
      </c>
      <c r="G13" s="4" t="s">
        <v>2040</v>
      </c>
      <c r="H13" s="4" t="s">
        <v>2041</v>
      </c>
      <c r="I13" s="4">
        <v>0</v>
      </c>
      <c r="J13" s="4">
        <v>809.34</v>
      </c>
      <c r="K13" s="4">
        <f t="shared" si="1"/>
        <v>68.8</v>
      </c>
      <c r="L13" s="4">
        <f t="shared" si="2"/>
        <v>68.19</v>
      </c>
      <c r="M13" s="4">
        <f t="shared" si="3"/>
        <v>0.60999999999999943</v>
      </c>
      <c r="N13" s="4">
        <v>7.28</v>
      </c>
      <c r="O13" s="4">
        <v>81.95</v>
      </c>
      <c r="P13" s="4">
        <v>62</v>
      </c>
      <c r="Q13" s="4">
        <v>20.3</v>
      </c>
      <c r="R13" s="4">
        <v>9.42</v>
      </c>
      <c r="S13" s="4">
        <v>15.54</v>
      </c>
      <c r="T13" s="4">
        <v>5.39</v>
      </c>
      <c r="U13" s="4">
        <v>6.86</v>
      </c>
      <c r="V13" s="4">
        <v>3552.9</v>
      </c>
      <c r="W13" s="4">
        <v>1055.8399999999999</v>
      </c>
      <c r="X13" s="4">
        <v>1244.44</v>
      </c>
      <c r="Y13" s="4">
        <v>752.21</v>
      </c>
      <c r="Z13" s="4">
        <v>10.09</v>
      </c>
      <c r="AA13" s="4">
        <v>1.63</v>
      </c>
      <c r="AB13" s="4">
        <v>4.37</v>
      </c>
      <c r="AC13" s="4">
        <v>63.6</v>
      </c>
      <c r="AD13" s="4">
        <v>680</v>
      </c>
      <c r="AE13" s="4">
        <v>5900</v>
      </c>
      <c r="AF13" s="4">
        <v>85.06</v>
      </c>
      <c r="AG13" s="4">
        <v>0.59</v>
      </c>
      <c r="AH13" s="4">
        <v>14.52</v>
      </c>
      <c r="AI13" s="4">
        <v>69.11</v>
      </c>
      <c r="AJ13" s="4">
        <v>60</v>
      </c>
      <c r="AK13" s="4">
        <v>9</v>
      </c>
      <c r="AL13" s="4">
        <v>9</v>
      </c>
      <c r="AM13" s="4">
        <v>0.45</v>
      </c>
      <c r="AN13" s="4">
        <v>408</v>
      </c>
      <c r="AO13" s="4">
        <v>412.09</v>
      </c>
      <c r="AP13" s="4">
        <v>421428.35</v>
      </c>
      <c r="AQ13" s="4">
        <v>402222.89</v>
      </c>
      <c r="AR13" s="4" t="s">
        <v>91</v>
      </c>
      <c r="AS13" s="5">
        <f t="shared" si="0"/>
        <v>1.0962020547945184</v>
      </c>
    </row>
    <row r="14" spans="1:45" ht="14.25" customHeight="1" x14ac:dyDescent="0.55000000000000004">
      <c r="A14" s="4">
        <v>21.02</v>
      </c>
      <c r="B14" s="4">
        <v>30.16</v>
      </c>
      <c r="C14" s="4">
        <v>5490.5</v>
      </c>
      <c r="D14" s="4">
        <v>7.6</v>
      </c>
      <c r="E14" s="4" t="s">
        <v>2042</v>
      </c>
      <c r="F14" s="4" t="s">
        <v>2043</v>
      </c>
      <c r="G14" s="4" t="s">
        <v>2044</v>
      </c>
      <c r="H14" s="4" t="s">
        <v>2045</v>
      </c>
      <c r="I14" s="4">
        <v>0</v>
      </c>
      <c r="J14" s="4">
        <v>722.91</v>
      </c>
      <c r="K14" s="4">
        <f t="shared" si="1"/>
        <v>61.94</v>
      </c>
      <c r="L14" s="4">
        <f t="shared" si="2"/>
        <v>57.67</v>
      </c>
      <c r="M14" s="4">
        <f t="shared" si="3"/>
        <v>4.269999999999996</v>
      </c>
      <c r="N14" s="4">
        <v>7.23</v>
      </c>
      <c r="O14" s="4">
        <v>82.14</v>
      </c>
      <c r="P14" s="4">
        <v>84</v>
      </c>
      <c r="Q14" s="4">
        <v>18.399999999999999</v>
      </c>
      <c r="R14" s="4">
        <v>9.14</v>
      </c>
      <c r="S14" s="4">
        <v>16.47</v>
      </c>
      <c r="T14" s="4">
        <v>4.55</v>
      </c>
      <c r="U14" s="4">
        <v>7.6</v>
      </c>
      <c r="V14" s="4">
        <v>3513.92</v>
      </c>
      <c r="W14" s="4">
        <v>1048.4100000000001</v>
      </c>
      <c r="X14" s="4">
        <v>1274.27</v>
      </c>
      <c r="Y14" s="4">
        <v>755.07</v>
      </c>
      <c r="Z14" s="4">
        <v>11.81</v>
      </c>
      <c r="AA14" s="4">
        <v>1.61</v>
      </c>
      <c r="AB14" s="4">
        <v>4.3899999999999997</v>
      </c>
      <c r="AC14" s="4">
        <v>66.760000000000005</v>
      </c>
      <c r="AD14" s="4">
        <v>680</v>
      </c>
      <c r="AE14" s="4">
        <v>5900</v>
      </c>
      <c r="AF14" s="4">
        <v>82.51</v>
      </c>
      <c r="AG14" s="4">
        <v>0.59</v>
      </c>
      <c r="AH14" s="4">
        <v>12.51</v>
      </c>
      <c r="AI14" s="4">
        <v>89.88</v>
      </c>
      <c r="AJ14" s="4">
        <v>60</v>
      </c>
      <c r="AK14" s="4">
        <v>9</v>
      </c>
      <c r="AL14" s="4">
        <v>9</v>
      </c>
      <c r="AM14" s="4">
        <v>0.35</v>
      </c>
      <c r="AN14" s="4">
        <v>408</v>
      </c>
      <c r="AO14" s="4">
        <v>411.15</v>
      </c>
      <c r="AP14" s="4">
        <v>435870.18</v>
      </c>
      <c r="AQ14" s="4">
        <v>343414.01</v>
      </c>
      <c r="AR14" s="4" t="s">
        <v>96</v>
      </c>
      <c r="AS14" s="5">
        <f t="shared" si="0"/>
        <v>5.2771786529680353</v>
      </c>
    </row>
    <row r="15" spans="1:45" ht="14.25" customHeight="1" x14ac:dyDescent="0.55000000000000004">
      <c r="A15" s="4">
        <v>20.67</v>
      </c>
      <c r="B15" s="4">
        <v>30.08</v>
      </c>
      <c r="C15" s="4">
        <v>5532.4</v>
      </c>
      <c r="D15" s="4">
        <v>7.6</v>
      </c>
      <c r="E15" s="4" t="s">
        <v>2046</v>
      </c>
      <c r="F15" s="4" t="s">
        <v>2047</v>
      </c>
      <c r="G15" s="4" t="s">
        <v>2048</v>
      </c>
      <c r="H15" s="4" t="s">
        <v>2049</v>
      </c>
      <c r="I15" s="4">
        <v>0</v>
      </c>
      <c r="J15" s="4">
        <v>818.93</v>
      </c>
      <c r="K15" s="4">
        <f t="shared" si="1"/>
        <v>69.989999999999995</v>
      </c>
      <c r="L15" s="4">
        <f t="shared" si="2"/>
        <v>66.69</v>
      </c>
      <c r="M15" s="4">
        <f t="shared" si="3"/>
        <v>3.2999999999999972</v>
      </c>
      <c r="N15" s="4">
        <v>7.3</v>
      </c>
      <c r="O15" s="4">
        <v>82</v>
      </c>
      <c r="P15" s="4">
        <v>64</v>
      </c>
      <c r="Q15" s="4">
        <v>18.8</v>
      </c>
      <c r="R15" s="4">
        <v>9.41</v>
      </c>
      <c r="S15" s="4">
        <v>14.43</v>
      </c>
      <c r="T15" s="4">
        <v>6.24</v>
      </c>
      <c r="U15" s="4">
        <v>6.76</v>
      </c>
      <c r="V15" s="4">
        <v>3540.74</v>
      </c>
      <c r="W15" s="4">
        <v>1052.3900000000001</v>
      </c>
      <c r="X15" s="4">
        <v>1240.08</v>
      </c>
      <c r="Y15" s="4">
        <v>749.89</v>
      </c>
      <c r="Z15" s="4">
        <v>10.49</v>
      </c>
      <c r="AA15" s="4">
        <v>1.59</v>
      </c>
      <c r="AB15" s="4">
        <v>4.42</v>
      </c>
      <c r="AC15" s="4">
        <v>60.11</v>
      </c>
      <c r="AD15" s="4">
        <v>680</v>
      </c>
      <c r="AE15" s="4">
        <v>5900</v>
      </c>
      <c r="AF15" s="4">
        <v>84.92</v>
      </c>
      <c r="AG15" s="4">
        <v>0.59</v>
      </c>
      <c r="AH15" s="4">
        <v>14.75</v>
      </c>
      <c r="AI15" s="4">
        <v>70.66</v>
      </c>
      <c r="AJ15" s="4">
        <v>60</v>
      </c>
      <c r="AK15" s="4">
        <v>9</v>
      </c>
      <c r="AL15" s="4">
        <v>9</v>
      </c>
      <c r="AM15" s="4">
        <v>0.44</v>
      </c>
      <c r="AN15" s="4">
        <v>408</v>
      </c>
      <c r="AO15" s="4">
        <v>412</v>
      </c>
      <c r="AP15" s="4">
        <v>446713.72</v>
      </c>
      <c r="AQ15" s="4">
        <v>387113.78</v>
      </c>
      <c r="AR15" s="4" t="s">
        <v>101</v>
      </c>
      <c r="AS15" s="5">
        <f t="shared" si="0"/>
        <v>3.4018230593607273</v>
      </c>
    </row>
    <row r="16" spans="1:45" ht="14.25" customHeight="1" x14ac:dyDescent="0.55000000000000004">
      <c r="A16" s="4">
        <v>20.72</v>
      </c>
      <c r="B16" s="4">
        <v>30.14</v>
      </c>
      <c r="C16" s="4">
        <v>5557.2</v>
      </c>
      <c r="D16" s="4">
        <v>7.6</v>
      </c>
      <c r="E16" s="4" t="s">
        <v>2050</v>
      </c>
      <c r="F16" s="4" t="s">
        <v>2051</v>
      </c>
      <c r="G16" s="4" t="s">
        <v>2052</v>
      </c>
      <c r="H16" s="4" t="s">
        <v>976</v>
      </c>
      <c r="I16" s="4">
        <v>0</v>
      </c>
      <c r="J16" s="4">
        <v>784.93</v>
      </c>
      <c r="K16" s="4">
        <f t="shared" si="1"/>
        <v>67.52</v>
      </c>
      <c r="L16" s="4">
        <f t="shared" si="2"/>
        <v>67.52</v>
      </c>
      <c r="M16" s="4">
        <f t="shared" si="3"/>
        <v>0</v>
      </c>
      <c r="N16" s="4">
        <v>7.28</v>
      </c>
      <c r="O16" s="4">
        <v>81.97</v>
      </c>
      <c r="P16" s="4">
        <v>53</v>
      </c>
      <c r="Q16" s="4">
        <v>21.4</v>
      </c>
      <c r="R16" s="4">
        <v>9.42</v>
      </c>
      <c r="S16" s="4">
        <v>15.32</v>
      </c>
      <c r="T16" s="4">
        <v>5.4</v>
      </c>
      <c r="U16" s="4">
        <v>7.08</v>
      </c>
      <c r="V16" s="4">
        <v>3556.61</v>
      </c>
      <c r="W16" s="4">
        <v>1059.1199999999999</v>
      </c>
      <c r="X16" s="4">
        <v>1265.07</v>
      </c>
      <c r="Y16" s="4">
        <v>758.45</v>
      </c>
      <c r="Z16" s="4">
        <v>11.83</v>
      </c>
      <c r="AA16" s="4">
        <v>1.61</v>
      </c>
      <c r="AB16" s="4">
        <v>4.3899999999999997</v>
      </c>
      <c r="AC16" s="4">
        <v>63.57</v>
      </c>
      <c r="AD16" s="4">
        <v>680</v>
      </c>
      <c r="AE16" s="4">
        <v>5900</v>
      </c>
      <c r="AF16" s="4">
        <v>85.07</v>
      </c>
      <c r="AG16" s="4">
        <v>0.59</v>
      </c>
      <c r="AH16" s="4">
        <v>13.99</v>
      </c>
      <c r="AI16" s="4">
        <v>82.57</v>
      </c>
      <c r="AJ16" s="4">
        <v>60</v>
      </c>
      <c r="AK16" s="4">
        <v>9</v>
      </c>
      <c r="AL16" s="4">
        <v>9</v>
      </c>
      <c r="AM16" s="4">
        <v>0.38</v>
      </c>
      <c r="AN16" s="4">
        <v>408</v>
      </c>
      <c r="AO16" s="4">
        <v>411.42</v>
      </c>
      <c r="AP16" s="4">
        <v>400809.04</v>
      </c>
      <c r="AQ16" s="4">
        <v>400809.04</v>
      </c>
      <c r="AR16" s="4" t="s">
        <v>106</v>
      </c>
      <c r="AS16" s="5">
        <f t="shared" si="0"/>
        <v>0</v>
      </c>
    </row>
    <row r="17" spans="1:45" ht="14.25" customHeight="1" x14ac:dyDescent="0.55000000000000004">
      <c r="A17" s="4">
        <v>20.39</v>
      </c>
      <c r="B17" s="4">
        <v>29.63</v>
      </c>
      <c r="C17" s="4">
        <v>5484.5</v>
      </c>
      <c r="D17" s="4">
        <v>7.6</v>
      </c>
      <c r="E17" s="4" t="s">
        <v>2053</v>
      </c>
      <c r="F17" s="4" t="s">
        <v>2054</v>
      </c>
      <c r="G17" s="4" t="s">
        <v>2055</v>
      </c>
      <c r="H17" s="4" t="s">
        <v>2056</v>
      </c>
      <c r="I17" s="4">
        <v>0</v>
      </c>
      <c r="J17" s="4">
        <v>796.4</v>
      </c>
      <c r="K17" s="4">
        <f t="shared" si="1"/>
        <v>67.78</v>
      </c>
      <c r="L17" s="4">
        <f t="shared" si="2"/>
        <v>64.599999999999994</v>
      </c>
      <c r="M17" s="4">
        <f t="shared" si="3"/>
        <v>3.1800000000000068</v>
      </c>
      <c r="N17" s="4">
        <v>7.28</v>
      </c>
      <c r="O17" s="4">
        <v>81.99</v>
      </c>
      <c r="P17" s="4">
        <v>69</v>
      </c>
      <c r="Q17" s="4">
        <v>18.600000000000001</v>
      </c>
      <c r="R17" s="4">
        <v>9.24</v>
      </c>
      <c r="S17" s="4">
        <v>14.85</v>
      </c>
      <c r="T17" s="4">
        <v>5.53</v>
      </c>
      <c r="U17" s="4">
        <v>6.89</v>
      </c>
      <c r="V17" s="4">
        <v>3510.08</v>
      </c>
      <c r="W17" s="4">
        <v>1044.02</v>
      </c>
      <c r="X17" s="4">
        <v>1237.8599999999999</v>
      </c>
      <c r="Y17" s="4">
        <v>745.46</v>
      </c>
      <c r="Z17" s="4">
        <v>10.49</v>
      </c>
      <c r="AA17" s="4">
        <v>1.58</v>
      </c>
      <c r="AB17" s="4">
        <v>4.45</v>
      </c>
      <c r="AC17" s="4">
        <v>62.56</v>
      </c>
      <c r="AD17" s="4">
        <v>680</v>
      </c>
      <c r="AE17" s="4">
        <v>5900</v>
      </c>
      <c r="AF17" s="4">
        <v>83.42</v>
      </c>
      <c r="AG17" s="4">
        <v>0.59</v>
      </c>
      <c r="AH17" s="4">
        <v>14.17</v>
      </c>
      <c r="AI17" s="4">
        <v>72.95</v>
      </c>
      <c r="AJ17" s="4">
        <v>60</v>
      </c>
      <c r="AK17" s="4">
        <v>9</v>
      </c>
      <c r="AL17" s="4">
        <v>9</v>
      </c>
      <c r="AM17" s="4">
        <v>0.43</v>
      </c>
      <c r="AN17" s="4">
        <v>408</v>
      </c>
      <c r="AO17" s="4">
        <v>411.88</v>
      </c>
      <c r="AP17" s="4">
        <v>441618.2</v>
      </c>
      <c r="AQ17" s="4">
        <v>371997.8</v>
      </c>
      <c r="AR17" s="4" t="s">
        <v>111</v>
      </c>
      <c r="AS17" s="5">
        <f t="shared" si="0"/>
        <v>3.9737671232876726</v>
      </c>
    </row>
    <row r="18" spans="1:45" ht="14.25" customHeight="1" x14ac:dyDescent="0.55000000000000004">
      <c r="A18" s="4">
        <v>20.45</v>
      </c>
      <c r="B18" s="4">
        <v>29.82</v>
      </c>
      <c r="C18" s="4">
        <v>5520.9</v>
      </c>
      <c r="D18" s="4">
        <v>7.6</v>
      </c>
      <c r="E18" s="4" t="s">
        <v>2057</v>
      </c>
      <c r="F18" s="4" t="s">
        <v>2058</v>
      </c>
      <c r="G18" s="4" t="s">
        <v>592</v>
      </c>
      <c r="H18" s="4" t="s">
        <v>2059</v>
      </c>
      <c r="I18" s="4">
        <v>0</v>
      </c>
      <c r="J18" s="4">
        <v>750.68</v>
      </c>
      <c r="K18" s="4">
        <f t="shared" si="1"/>
        <v>64.23</v>
      </c>
      <c r="L18" s="4">
        <f t="shared" si="2"/>
        <v>64.23</v>
      </c>
      <c r="M18" s="4">
        <f t="shared" si="3"/>
        <v>0</v>
      </c>
      <c r="N18" s="4">
        <v>7.25</v>
      </c>
      <c r="O18" s="4">
        <v>82.03</v>
      </c>
      <c r="P18" s="4">
        <v>44</v>
      </c>
      <c r="Q18" s="4">
        <v>22.6</v>
      </c>
      <c r="R18" s="4">
        <v>9.3699999999999992</v>
      </c>
      <c r="S18" s="4">
        <v>15.05</v>
      </c>
      <c r="T18" s="4">
        <v>5.4</v>
      </c>
      <c r="U18" s="4">
        <v>7.35</v>
      </c>
      <c r="V18" s="4">
        <v>3533.38</v>
      </c>
      <c r="W18" s="4">
        <v>1053.33</v>
      </c>
      <c r="X18" s="4">
        <v>1270.26</v>
      </c>
      <c r="Y18" s="4">
        <v>756.69</v>
      </c>
      <c r="Z18" s="4">
        <v>23.02</v>
      </c>
      <c r="AA18" s="4">
        <v>1.6</v>
      </c>
      <c r="AB18" s="4">
        <v>4.41</v>
      </c>
      <c r="AC18" s="4">
        <v>63.42</v>
      </c>
      <c r="AD18" s="4">
        <v>680</v>
      </c>
      <c r="AE18" s="4">
        <v>5900</v>
      </c>
      <c r="AF18" s="4">
        <v>84.56</v>
      </c>
      <c r="AG18" s="4">
        <v>0.59</v>
      </c>
      <c r="AH18" s="4">
        <v>13.31</v>
      </c>
      <c r="AI18" s="4">
        <v>168.91</v>
      </c>
      <c r="AJ18" s="4">
        <v>60</v>
      </c>
      <c r="AK18" s="4">
        <v>9</v>
      </c>
      <c r="AL18" s="4">
        <v>9</v>
      </c>
      <c r="AM18" s="4">
        <v>0.19</v>
      </c>
      <c r="AN18" s="4">
        <v>408</v>
      </c>
      <c r="AO18" s="4">
        <v>409.67</v>
      </c>
      <c r="AP18" s="4">
        <v>368398.24</v>
      </c>
      <c r="AQ18" s="4">
        <v>368398.24</v>
      </c>
      <c r="AR18" s="4" t="s">
        <v>116</v>
      </c>
      <c r="AS18" s="5">
        <f t="shared" si="0"/>
        <v>0</v>
      </c>
    </row>
    <row r="19" spans="1:45" ht="14.25" customHeight="1" x14ac:dyDescent="0.55000000000000004">
      <c r="A19" s="4">
        <v>20.12</v>
      </c>
      <c r="B19" s="4">
        <v>29.51</v>
      </c>
      <c r="C19" s="4">
        <v>5507</v>
      </c>
      <c r="D19" s="4">
        <v>7.6</v>
      </c>
      <c r="E19" s="4" t="s">
        <v>2060</v>
      </c>
      <c r="F19" s="4" t="s">
        <v>128</v>
      </c>
      <c r="G19" s="4" t="s">
        <v>2017</v>
      </c>
      <c r="H19" s="4" t="s">
        <v>2061</v>
      </c>
      <c r="I19" s="4">
        <v>0</v>
      </c>
      <c r="J19" s="4">
        <v>764.28</v>
      </c>
      <c r="K19" s="4">
        <f t="shared" si="1"/>
        <v>65.73</v>
      </c>
      <c r="L19" s="4">
        <f t="shared" si="2"/>
        <v>65.73</v>
      </c>
      <c r="M19" s="4">
        <f t="shared" si="3"/>
        <v>0</v>
      </c>
      <c r="N19" s="4">
        <v>7.26</v>
      </c>
      <c r="O19" s="4">
        <v>81.92</v>
      </c>
      <c r="P19" s="4">
        <v>48</v>
      </c>
      <c r="Q19" s="4">
        <v>21</v>
      </c>
      <c r="R19" s="4">
        <v>9.3800000000000008</v>
      </c>
      <c r="S19" s="4">
        <v>14.28</v>
      </c>
      <c r="T19" s="4">
        <v>5.84</v>
      </c>
      <c r="U19" s="4">
        <v>7.21</v>
      </c>
      <c r="V19" s="4">
        <v>3524.48</v>
      </c>
      <c r="W19" s="4">
        <v>1050.07</v>
      </c>
      <c r="X19" s="4">
        <v>1260.56</v>
      </c>
      <c r="Y19" s="4">
        <v>753.15</v>
      </c>
      <c r="Z19" s="4">
        <v>29.36</v>
      </c>
      <c r="AA19" s="4">
        <v>1.58</v>
      </c>
      <c r="AB19" s="4">
        <v>4.43</v>
      </c>
      <c r="AC19" s="4">
        <v>61.62</v>
      </c>
      <c r="AD19" s="4">
        <v>680</v>
      </c>
      <c r="AE19" s="4">
        <v>5900</v>
      </c>
      <c r="AF19" s="4">
        <v>84.71</v>
      </c>
      <c r="AG19" s="4">
        <v>0.59</v>
      </c>
      <c r="AH19" s="4">
        <v>13.65</v>
      </c>
      <c r="AI19" s="4">
        <v>210.51</v>
      </c>
      <c r="AJ19" s="4">
        <v>60</v>
      </c>
      <c r="AK19" s="4">
        <v>9</v>
      </c>
      <c r="AL19" s="4">
        <v>9</v>
      </c>
      <c r="AM19" s="4">
        <v>0.15</v>
      </c>
      <c r="AN19" s="4">
        <v>408</v>
      </c>
      <c r="AO19" s="4">
        <v>409.34</v>
      </c>
      <c r="AP19" s="4">
        <v>365741.06</v>
      </c>
      <c r="AQ19" s="4">
        <v>365741.06</v>
      </c>
      <c r="AR19" s="4" t="s">
        <v>121</v>
      </c>
      <c r="AS19" s="5">
        <f t="shared" si="0"/>
        <v>0</v>
      </c>
    </row>
    <row r="20" spans="1:45" ht="14.25" customHeight="1" x14ac:dyDescent="0.55000000000000004">
      <c r="A20" s="4">
        <v>20.100000000000001</v>
      </c>
      <c r="B20" s="4">
        <v>29.41</v>
      </c>
      <c r="C20" s="4">
        <v>5489.9</v>
      </c>
      <c r="D20" s="4">
        <v>7.59</v>
      </c>
      <c r="E20" s="4" t="s">
        <v>2062</v>
      </c>
      <c r="F20" s="4" t="s">
        <v>2063</v>
      </c>
      <c r="G20" s="4" t="s">
        <v>2064</v>
      </c>
      <c r="H20" s="4" t="s">
        <v>2065</v>
      </c>
      <c r="I20" s="4">
        <v>0</v>
      </c>
      <c r="J20" s="4">
        <v>789.31</v>
      </c>
      <c r="K20" s="4">
        <f t="shared" si="1"/>
        <v>67.28</v>
      </c>
      <c r="L20" s="4">
        <f t="shared" si="2"/>
        <v>63.81</v>
      </c>
      <c r="M20" s="4">
        <f t="shared" si="3"/>
        <v>3.4699999999999989</v>
      </c>
      <c r="N20" s="4">
        <v>7.27</v>
      </c>
      <c r="O20" s="4">
        <v>82.01</v>
      </c>
      <c r="P20" s="4">
        <v>66</v>
      </c>
      <c r="Q20" s="4">
        <v>18.5</v>
      </c>
      <c r="R20" s="4">
        <v>9.31</v>
      </c>
      <c r="S20" s="4">
        <v>14.4</v>
      </c>
      <c r="T20" s="4">
        <v>5.71</v>
      </c>
      <c r="U20" s="4">
        <v>6.96</v>
      </c>
      <c r="V20" s="4">
        <v>3513.54</v>
      </c>
      <c r="W20" s="4">
        <v>1045.1199999999999</v>
      </c>
      <c r="X20" s="4">
        <v>1240.5899999999999</v>
      </c>
      <c r="Y20" s="4">
        <v>746.46</v>
      </c>
      <c r="Z20" s="4">
        <v>10.54</v>
      </c>
      <c r="AA20" s="4">
        <v>1.57</v>
      </c>
      <c r="AB20" s="4">
        <v>4.45</v>
      </c>
      <c r="AC20" s="4">
        <v>62</v>
      </c>
      <c r="AD20" s="4">
        <v>680</v>
      </c>
      <c r="AE20" s="4">
        <v>5900</v>
      </c>
      <c r="AF20" s="4">
        <v>84.05</v>
      </c>
      <c r="AG20" s="4">
        <v>0.59</v>
      </c>
      <c r="AH20" s="4">
        <v>14.11</v>
      </c>
      <c r="AI20" s="4">
        <v>73.849999999999994</v>
      </c>
      <c r="AJ20" s="4">
        <v>60</v>
      </c>
      <c r="AK20" s="4">
        <v>9</v>
      </c>
      <c r="AL20" s="4">
        <v>9</v>
      </c>
      <c r="AM20" s="4">
        <v>0.43</v>
      </c>
      <c r="AN20" s="4">
        <v>408</v>
      </c>
      <c r="AO20" s="4">
        <v>411.83</v>
      </c>
      <c r="AP20" s="4">
        <v>444837.02</v>
      </c>
      <c r="AQ20" s="4">
        <v>366989.7</v>
      </c>
      <c r="AR20" s="4" t="s">
        <v>126</v>
      </c>
      <c r="AS20" s="5">
        <f t="shared" si="0"/>
        <v>4.4433401826484022</v>
      </c>
    </row>
    <row r="21" spans="1:45" ht="14.25" customHeight="1" x14ac:dyDescent="0.55000000000000004">
      <c r="A21" s="4">
        <v>20.260000000000002</v>
      </c>
      <c r="B21" s="4">
        <v>29.67</v>
      </c>
      <c r="C21" s="4">
        <v>5508.3</v>
      </c>
      <c r="D21" s="4">
        <v>7.61</v>
      </c>
      <c r="E21" s="4" t="s">
        <v>2066</v>
      </c>
      <c r="F21" s="4" t="s">
        <v>504</v>
      </c>
      <c r="G21" s="4" t="s">
        <v>2067</v>
      </c>
      <c r="H21" s="4" t="s">
        <v>2068</v>
      </c>
      <c r="I21" s="4">
        <v>0</v>
      </c>
      <c r="J21" s="4">
        <v>783.68</v>
      </c>
      <c r="K21" s="4">
        <f t="shared" si="1"/>
        <v>66.05</v>
      </c>
      <c r="L21" s="4">
        <f t="shared" si="2"/>
        <v>66.05</v>
      </c>
      <c r="M21" s="4">
        <f t="shared" si="3"/>
        <v>0</v>
      </c>
      <c r="N21" s="4">
        <v>7.26</v>
      </c>
      <c r="O21" s="4">
        <v>81.99</v>
      </c>
      <c r="P21" s="4">
        <v>45</v>
      </c>
      <c r="Q21" s="4">
        <v>22.2</v>
      </c>
      <c r="R21" s="4">
        <v>9.41</v>
      </c>
      <c r="S21" s="4">
        <v>14.86</v>
      </c>
      <c r="T21" s="4">
        <v>5.4</v>
      </c>
      <c r="U21" s="4">
        <v>7.03</v>
      </c>
      <c r="V21" s="4">
        <v>3525.31</v>
      </c>
      <c r="W21" s="4">
        <v>1048.24</v>
      </c>
      <c r="X21" s="4">
        <v>1242.83</v>
      </c>
      <c r="Y21" s="4">
        <v>748.18</v>
      </c>
      <c r="Z21" s="4">
        <v>26.54</v>
      </c>
      <c r="AA21" s="4">
        <v>1.59</v>
      </c>
      <c r="AB21" s="4">
        <v>4.43</v>
      </c>
      <c r="AC21" s="4">
        <v>63.56</v>
      </c>
      <c r="AD21" s="4">
        <v>680</v>
      </c>
      <c r="AE21" s="4">
        <v>5900</v>
      </c>
      <c r="AF21" s="4">
        <v>84.97</v>
      </c>
      <c r="AG21" s="4">
        <v>0.59</v>
      </c>
      <c r="AH21" s="4">
        <v>14.09</v>
      </c>
      <c r="AI21" s="4">
        <v>189.31</v>
      </c>
      <c r="AJ21" s="4">
        <v>60</v>
      </c>
      <c r="AK21" s="4">
        <v>9</v>
      </c>
      <c r="AL21" s="4">
        <v>9</v>
      </c>
      <c r="AM21" s="4">
        <v>0.17</v>
      </c>
      <c r="AN21" s="4">
        <v>408</v>
      </c>
      <c r="AO21" s="4">
        <v>409.49</v>
      </c>
      <c r="AP21" s="4">
        <v>368709.91</v>
      </c>
      <c r="AQ21" s="4">
        <v>368709.91</v>
      </c>
      <c r="AR21" s="4" t="s">
        <v>131</v>
      </c>
      <c r="AS21" s="5">
        <f t="shared" si="0"/>
        <v>0</v>
      </c>
    </row>
    <row r="22" spans="1:45" ht="14.25" customHeight="1" x14ac:dyDescent="0.55000000000000004">
      <c r="A22" s="4">
        <v>20.37</v>
      </c>
      <c r="B22" s="4">
        <v>29.75</v>
      </c>
      <c r="C22" s="4">
        <v>5513.1</v>
      </c>
      <c r="D22" s="4">
        <v>7.61</v>
      </c>
      <c r="E22" s="4" t="s">
        <v>2069</v>
      </c>
      <c r="F22" s="4" t="s">
        <v>2070</v>
      </c>
      <c r="G22" s="4" t="s">
        <v>2017</v>
      </c>
      <c r="H22" s="4" t="s">
        <v>2071</v>
      </c>
      <c r="I22" s="4">
        <v>0</v>
      </c>
      <c r="J22" s="4">
        <v>810.76</v>
      </c>
      <c r="K22" s="4">
        <f t="shared" si="1"/>
        <v>69.83</v>
      </c>
      <c r="L22" s="4">
        <f t="shared" si="2"/>
        <v>66.48</v>
      </c>
      <c r="M22" s="4">
        <f t="shared" si="3"/>
        <v>3.3499999999999943</v>
      </c>
      <c r="N22" s="4">
        <v>7.29</v>
      </c>
      <c r="O22" s="4">
        <v>82.01</v>
      </c>
      <c r="P22" s="4">
        <v>66</v>
      </c>
      <c r="Q22" s="4">
        <v>18.100000000000001</v>
      </c>
      <c r="R22" s="4">
        <v>9.3800000000000008</v>
      </c>
      <c r="S22" s="4">
        <v>14.03</v>
      </c>
      <c r="T22" s="4">
        <v>6.34</v>
      </c>
      <c r="U22" s="4">
        <v>6.8</v>
      </c>
      <c r="V22" s="4">
        <v>3528.38</v>
      </c>
      <c r="W22" s="4">
        <v>1049.3599999999999</v>
      </c>
      <c r="X22" s="4">
        <v>1241.55</v>
      </c>
      <c r="Y22" s="4">
        <v>748.89</v>
      </c>
      <c r="Z22" s="4">
        <v>10.5</v>
      </c>
      <c r="AA22" s="4">
        <v>1.6</v>
      </c>
      <c r="AB22" s="4">
        <v>4.42</v>
      </c>
      <c r="AC22" s="4">
        <v>59.65</v>
      </c>
      <c r="AD22" s="4">
        <v>680</v>
      </c>
      <c r="AE22" s="4">
        <v>5900</v>
      </c>
      <c r="AF22" s="4">
        <v>84.65</v>
      </c>
      <c r="AG22" s="4">
        <v>0.59</v>
      </c>
      <c r="AH22" s="4">
        <v>14.59</v>
      </c>
      <c r="AI22" s="4">
        <v>70.88</v>
      </c>
      <c r="AJ22" s="4">
        <v>60</v>
      </c>
      <c r="AK22" s="4">
        <v>9</v>
      </c>
      <c r="AL22" s="4">
        <v>9</v>
      </c>
      <c r="AM22" s="4">
        <v>0.44</v>
      </c>
      <c r="AN22" s="4">
        <v>408</v>
      </c>
      <c r="AO22" s="4">
        <v>411.99</v>
      </c>
      <c r="AP22" s="4">
        <v>447728.19</v>
      </c>
      <c r="AQ22" s="4">
        <v>382295.84</v>
      </c>
      <c r="AR22" s="4" t="s">
        <v>135</v>
      </c>
      <c r="AS22" s="5">
        <f t="shared" si="0"/>
        <v>3.7347231735159805</v>
      </c>
    </row>
    <row r="23" spans="1:45" ht="14.25" customHeight="1" x14ac:dyDescent="0.55000000000000004">
      <c r="A23" s="4">
        <v>20.48</v>
      </c>
      <c r="B23" s="4">
        <v>29.85</v>
      </c>
      <c r="C23" s="4">
        <v>5524.8</v>
      </c>
      <c r="D23" s="4">
        <v>7.59</v>
      </c>
      <c r="E23" s="4" t="s">
        <v>2072</v>
      </c>
      <c r="F23" s="4" t="s">
        <v>2073</v>
      </c>
      <c r="G23" s="4" t="s">
        <v>2074</v>
      </c>
      <c r="H23" s="4" t="s">
        <v>2075</v>
      </c>
      <c r="I23" s="4">
        <v>0</v>
      </c>
      <c r="J23" s="4">
        <v>780.69</v>
      </c>
      <c r="K23" s="4">
        <f t="shared" si="1"/>
        <v>67.240000000000009</v>
      </c>
      <c r="L23" s="4">
        <f t="shared" si="2"/>
        <v>67.240000000000009</v>
      </c>
      <c r="M23" s="4">
        <f t="shared" si="3"/>
        <v>0</v>
      </c>
      <c r="N23" s="4">
        <v>7.27</v>
      </c>
      <c r="O23" s="4">
        <v>81.93</v>
      </c>
      <c r="P23" s="4">
        <v>44</v>
      </c>
      <c r="Q23" s="4">
        <v>22.9</v>
      </c>
      <c r="R23" s="4">
        <v>9.3699999999999992</v>
      </c>
      <c r="S23" s="4">
        <v>15.3</v>
      </c>
      <c r="T23" s="4">
        <v>5.18</v>
      </c>
      <c r="U23" s="4">
        <v>7.08</v>
      </c>
      <c r="V23" s="4">
        <v>3535.87</v>
      </c>
      <c r="W23" s="4">
        <v>1052.77</v>
      </c>
      <c r="X23" s="4">
        <v>1257.04</v>
      </c>
      <c r="Y23" s="4">
        <v>753.68</v>
      </c>
      <c r="Z23" s="4">
        <v>21.38</v>
      </c>
      <c r="AA23" s="4">
        <v>1.59</v>
      </c>
      <c r="AB23" s="4">
        <v>4.42</v>
      </c>
      <c r="AC23" s="4">
        <v>64.400000000000006</v>
      </c>
      <c r="AD23" s="4">
        <v>680</v>
      </c>
      <c r="AE23" s="4">
        <v>5900</v>
      </c>
      <c r="AF23" s="4">
        <v>84.59</v>
      </c>
      <c r="AG23" s="4">
        <v>0.59</v>
      </c>
      <c r="AH23" s="4">
        <v>13.92</v>
      </c>
      <c r="AI23" s="4">
        <v>149.83000000000001</v>
      </c>
      <c r="AJ23" s="4">
        <v>60</v>
      </c>
      <c r="AK23" s="4">
        <v>9</v>
      </c>
      <c r="AL23" s="4">
        <v>9</v>
      </c>
      <c r="AM23" s="4">
        <v>0.21</v>
      </c>
      <c r="AN23" s="4">
        <v>408</v>
      </c>
      <c r="AO23" s="4">
        <v>409.89</v>
      </c>
      <c r="AP23" s="4">
        <v>376690.03</v>
      </c>
      <c r="AQ23" s="4">
        <v>376690.03</v>
      </c>
      <c r="AR23" s="4" t="s">
        <v>140</v>
      </c>
      <c r="AS23" s="5">
        <f t="shared" si="0"/>
        <v>0</v>
      </c>
    </row>
    <row r="24" spans="1:45" ht="14.25" customHeight="1" x14ac:dyDescent="0.55000000000000004">
      <c r="A24" s="4">
        <v>20.89</v>
      </c>
      <c r="B24" s="4">
        <v>30.16</v>
      </c>
      <c r="C24" s="4">
        <v>5451.5</v>
      </c>
      <c r="D24" s="4">
        <v>7.6</v>
      </c>
      <c r="E24" s="4" t="s">
        <v>2076</v>
      </c>
      <c r="F24" s="4" t="s">
        <v>2077</v>
      </c>
      <c r="G24" s="4" t="s">
        <v>2013</v>
      </c>
      <c r="H24" s="4" t="s">
        <v>2078</v>
      </c>
      <c r="I24" s="4">
        <v>0</v>
      </c>
      <c r="J24" s="4">
        <v>791.68</v>
      </c>
      <c r="K24" s="4">
        <f t="shared" si="1"/>
        <v>67.539999999999992</v>
      </c>
      <c r="L24" s="4">
        <f t="shared" si="2"/>
        <v>65.569999999999993</v>
      </c>
      <c r="M24" s="4">
        <f t="shared" si="3"/>
        <v>1.9699999999999989</v>
      </c>
      <c r="N24" s="4">
        <v>7.28</v>
      </c>
      <c r="O24" s="4">
        <v>81.95</v>
      </c>
      <c r="P24" s="4">
        <v>86</v>
      </c>
      <c r="Q24" s="4">
        <v>17.100000000000001</v>
      </c>
      <c r="R24" s="4">
        <v>9.27</v>
      </c>
      <c r="S24" s="4">
        <v>15.45</v>
      </c>
      <c r="T24" s="4">
        <v>5.45</v>
      </c>
      <c r="U24" s="4">
        <v>6.89</v>
      </c>
      <c r="V24" s="4">
        <v>3488.96</v>
      </c>
      <c r="W24" s="4">
        <v>1038.01</v>
      </c>
      <c r="X24" s="4">
        <v>1233.04</v>
      </c>
      <c r="Y24" s="4">
        <v>741.67</v>
      </c>
      <c r="Z24" s="4">
        <v>10.3</v>
      </c>
      <c r="AA24" s="4">
        <v>1.58</v>
      </c>
      <c r="AB24" s="4">
        <v>4.43</v>
      </c>
      <c r="AC24" s="4">
        <v>62.96</v>
      </c>
      <c r="AD24" s="4">
        <v>680</v>
      </c>
      <c r="AE24" s="4">
        <v>5900</v>
      </c>
      <c r="AF24" s="4">
        <v>83.64</v>
      </c>
      <c r="AG24" s="4">
        <v>0.59</v>
      </c>
      <c r="AH24" s="4">
        <v>14.21</v>
      </c>
      <c r="AI24" s="4">
        <v>71.87</v>
      </c>
      <c r="AJ24" s="4">
        <v>60</v>
      </c>
      <c r="AK24" s="4">
        <v>9</v>
      </c>
      <c r="AL24" s="4">
        <v>9</v>
      </c>
      <c r="AM24" s="4">
        <v>0.44</v>
      </c>
      <c r="AN24" s="4">
        <v>408</v>
      </c>
      <c r="AO24" s="4">
        <v>411.93</v>
      </c>
      <c r="AP24" s="4">
        <v>430421.58</v>
      </c>
      <c r="AQ24" s="4">
        <v>378504.38</v>
      </c>
      <c r="AR24" s="4" t="s">
        <v>145</v>
      </c>
      <c r="AS24" s="5">
        <f t="shared" si="0"/>
        <v>2.9633105022831057</v>
      </c>
    </row>
    <row r="25" spans="1:45" ht="14.25" customHeight="1" x14ac:dyDescent="0.55000000000000004">
      <c r="A25" s="4">
        <v>20.81</v>
      </c>
      <c r="B25" s="4">
        <v>30.18</v>
      </c>
      <c r="C25" s="4">
        <v>5536.3</v>
      </c>
      <c r="D25" s="4">
        <v>7.61</v>
      </c>
      <c r="E25" s="4" t="s">
        <v>2079</v>
      </c>
      <c r="F25" s="4" t="s">
        <v>2080</v>
      </c>
      <c r="G25" s="4" t="s">
        <v>2081</v>
      </c>
      <c r="H25" s="4" t="s">
        <v>2082</v>
      </c>
      <c r="I25" s="4">
        <v>0</v>
      </c>
      <c r="J25" s="4">
        <v>751.57</v>
      </c>
      <c r="K25" s="4">
        <f t="shared" si="1"/>
        <v>64.699999999999989</v>
      </c>
      <c r="L25" s="4">
        <f t="shared" si="2"/>
        <v>64.699999999999989</v>
      </c>
      <c r="M25" s="4">
        <f t="shared" si="3"/>
        <v>0</v>
      </c>
      <c r="N25" s="4">
        <v>7.25</v>
      </c>
      <c r="O25" s="4">
        <v>82.11</v>
      </c>
      <c r="P25" s="4">
        <v>46</v>
      </c>
      <c r="Q25" s="4">
        <v>22.2</v>
      </c>
      <c r="R25" s="4">
        <v>9.3699999999999992</v>
      </c>
      <c r="S25" s="4">
        <v>15.01</v>
      </c>
      <c r="T25" s="4">
        <v>5.8</v>
      </c>
      <c r="U25" s="4">
        <v>7.37</v>
      </c>
      <c r="V25" s="4">
        <v>3543.23</v>
      </c>
      <c r="W25" s="4">
        <v>1056.46</v>
      </c>
      <c r="X25" s="4">
        <v>1275.08</v>
      </c>
      <c r="Y25" s="4">
        <v>759.24</v>
      </c>
      <c r="Z25" s="4">
        <v>17.96</v>
      </c>
      <c r="AA25" s="4">
        <v>1.62</v>
      </c>
      <c r="AB25" s="4">
        <v>4.38</v>
      </c>
      <c r="AC25" s="4">
        <v>61.77</v>
      </c>
      <c r="AD25" s="4">
        <v>680</v>
      </c>
      <c r="AE25" s="4">
        <v>5900</v>
      </c>
      <c r="AF25" s="4">
        <v>84.6</v>
      </c>
      <c r="AG25" s="4">
        <v>0.59</v>
      </c>
      <c r="AH25" s="4">
        <v>13.29</v>
      </c>
      <c r="AI25" s="4">
        <v>130.81</v>
      </c>
      <c r="AJ25" s="4">
        <v>60</v>
      </c>
      <c r="AK25" s="4">
        <v>9</v>
      </c>
      <c r="AL25" s="4">
        <v>9</v>
      </c>
      <c r="AM25" s="4">
        <v>0.24</v>
      </c>
      <c r="AN25" s="4">
        <v>408</v>
      </c>
      <c r="AO25" s="4">
        <v>410.16</v>
      </c>
      <c r="AP25" s="4">
        <v>377744.03</v>
      </c>
      <c r="AQ25" s="4">
        <v>377744.03</v>
      </c>
      <c r="AR25" s="4" t="s">
        <v>149</v>
      </c>
      <c r="AS25" s="5">
        <f t="shared" si="0"/>
        <v>0</v>
      </c>
    </row>
    <row r="26" spans="1:45" ht="14.25" customHeight="1" x14ac:dyDescent="0.55000000000000004">
      <c r="A26" s="4">
        <v>20.09</v>
      </c>
      <c r="B26" s="4">
        <v>29.44</v>
      </c>
      <c r="C26" s="4">
        <v>5495</v>
      </c>
      <c r="D26" s="4">
        <v>7.59</v>
      </c>
      <c r="E26" s="4" t="s">
        <v>2083</v>
      </c>
      <c r="F26" s="4" t="s">
        <v>2084</v>
      </c>
      <c r="G26" s="4" t="s">
        <v>2085</v>
      </c>
      <c r="H26" s="4" t="s">
        <v>2086</v>
      </c>
      <c r="I26" s="4">
        <v>0</v>
      </c>
      <c r="J26" s="4">
        <v>799.19</v>
      </c>
      <c r="K26" s="4">
        <f t="shared" si="1"/>
        <v>68.179999999999993</v>
      </c>
      <c r="L26" s="4">
        <f t="shared" si="2"/>
        <v>64.680000000000007</v>
      </c>
      <c r="M26" s="4">
        <f t="shared" si="3"/>
        <v>3.4999999999999858</v>
      </c>
      <c r="N26" s="4">
        <v>7.28</v>
      </c>
      <c r="O26" s="4">
        <v>82.03</v>
      </c>
      <c r="P26" s="4">
        <v>68</v>
      </c>
      <c r="Q26" s="4">
        <v>17.8</v>
      </c>
      <c r="R26" s="4">
        <v>9.34</v>
      </c>
      <c r="S26" s="4">
        <v>13.99</v>
      </c>
      <c r="T26" s="4">
        <v>6.1</v>
      </c>
      <c r="U26" s="4">
        <v>6.88</v>
      </c>
      <c r="V26" s="4">
        <v>3516.8</v>
      </c>
      <c r="W26" s="4">
        <v>1045.8499999999999</v>
      </c>
      <c r="X26" s="4">
        <v>1238.5999999999999</v>
      </c>
      <c r="Y26" s="4">
        <v>746.45</v>
      </c>
      <c r="Z26" s="4">
        <v>10.54</v>
      </c>
      <c r="AA26" s="4">
        <v>1.56</v>
      </c>
      <c r="AB26" s="4">
        <v>4.46</v>
      </c>
      <c r="AC26" s="4">
        <v>60.51</v>
      </c>
      <c r="AD26" s="4">
        <v>680</v>
      </c>
      <c r="AE26" s="4">
        <v>5900</v>
      </c>
      <c r="AF26" s="4">
        <v>84.36</v>
      </c>
      <c r="AG26" s="4">
        <v>0.59</v>
      </c>
      <c r="AH26" s="4">
        <v>14.36</v>
      </c>
      <c r="AI26" s="4">
        <v>72.86</v>
      </c>
      <c r="AJ26" s="4">
        <v>60</v>
      </c>
      <c r="AK26" s="4">
        <v>9</v>
      </c>
      <c r="AL26" s="4">
        <v>9</v>
      </c>
      <c r="AM26" s="4">
        <v>0.43</v>
      </c>
      <c r="AN26" s="4">
        <v>408</v>
      </c>
      <c r="AO26" s="4">
        <v>411.88</v>
      </c>
      <c r="AP26" s="4">
        <v>446236.1</v>
      </c>
      <c r="AQ26" s="4">
        <v>372733.43</v>
      </c>
      <c r="AR26" s="4" t="s">
        <v>154</v>
      </c>
      <c r="AS26" s="5">
        <f t="shared" si="0"/>
        <v>4.1953578767123281</v>
      </c>
    </row>
    <row r="27" spans="1:45" ht="14.25" customHeight="1" x14ac:dyDescent="0.55000000000000004">
      <c r="A27" s="4">
        <v>20.77</v>
      </c>
      <c r="B27" s="4">
        <v>30.18</v>
      </c>
      <c r="C27" s="4">
        <v>5539.2</v>
      </c>
      <c r="D27" s="4">
        <v>7.59</v>
      </c>
      <c r="E27" s="4" t="s">
        <v>2087</v>
      </c>
      <c r="F27" s="4" t="s">
        <v>2088</v>
      </c>
      <c r="G27" s="4" t="s">
        <v>592</v>
      </c>
      <c r="H27" s="4" t="s">
        <v>2089</v>
      </c>
      <c r="I27" s="4">
        <v>0</v>
      </c>
      <c r="J27" s="4">
        <v>814.71</v>
      </c>
      <c r="K27" s="4">
        <f t="shared" si="1"/>
        <v>70.19</v>
      </c>
      <c r="L27" s="4">
        <f t="shared" si="2"/>
        <v>67.790000000000006</v>
      </c>
      <c r="M27" s="4">
        <f t="shared" si="3"/>
        <v>2.3999999999999915</v>
      </c>
      <c r="N27" s="4">
        <v>7.29</v>
      </c>
      <c r="O27" s="4">
        <v>81.98</v>
      </c>
      <c r="P27" s="4">
        <v>63</v>
      </c>
      <c r="Q27" s="4">
        <v>19.3</v>
      </c>
      <c r="R27" s="4">
        <v>9.41</v>
      </c>
      <c r="S27" s="4">
        <v>14.76</v>
      </c>
      <c r="T27" s="4">
        <v>6.01</v>
      </c>
      <c r="U27" s="4">
        <v>6.8</v>
      </c>
      <c r="V27" s="4">
        <v>3545.09</v>
      </c>
      <c r="W27" s="4">
        <v>1054.08</v>
      </c>
      <c r="X27" s="4">
        <v>1245.07</v>
      </c>
      <c r="Y27" s="4">
        <v>751.8</v>
      </c>
      <c r="Z27" s="4">
        <v>9.84</v>
      </c>
      <c r="AA27" s="4">
        <v>1.58</v>
      </c>
      <c r="AB27" s="4">
        <v>4.42</v>
      </c>
      <c r="AC27" s="4">
        <v>61.01</v>
      </c>
      <c r="AD27" s="4">
        <v>680</v>
      </c>
      <c r="AE27" s="4">
        <v>5900</v>
      </c>
      <c r="AF27" s="4">
        <v>84.91</v>
      </c>
      <c r="AG27" s="4">
        <v>0.59</v>
      </c>
      <c r="AH27" s="4">
        <v>14.64</v>
      </c>
      <c r="AI27" s="4">
        <v>66.040000000000006</v>
      </c>
      <c r="AJ27" s="4">
        <v>60</v>
      </c>
      <c r="AK27" s="4">
        <v>9</v>
      </c>
      <c r="AL27" s="4">
        <v>9</v>
      </c>
      <c r="AM27" s="4">
        <v>0.48</v>
      </c>
      <c r="AN27" s="4">
        <v>408</v>
      </c>
      <c r="AO27" s="4">
        <v>412.28</v>
      </c>
      <c r="AP27" s="4">
        <v>443792.64000000001</v>
      </c>
      <c r="AQ27" s="4">
        <v>375725.93</v>
      </c>
      <c r="AR27" s="4" t="s">
        <v>158</v>
      </c>
      <c r="AS27" s="5">
        <f t="shared" si="0"/>
        <v>3.885086187214613</v>
      </c>
    </row>
    <row r="28" spans="1:45" ht="14.25" customHeight="1" x14ac:dyDescent="0.55000000000000004">
      <c r="A28" s="4">
        <v>21</v>
      </c>
      <c r="B28" s="4">
        <v>30.35</v>
      </c>
      <c r="C28" s="4">
        <v>5418.8</v>
      </c>
      <c r="D28" s="4">
        <v>7.59</v>
      </c>
      <c r="E28" s="4" t="s">
        <v>2090</v>
      </c>
      <c r="F28" s="4" t="s">
        <v>2091</v>
      </c>
      <c r="G28" s="4" t="s">
        <v>515</v>
      </c>
      <c r="H28" s="4" t="s">
        <v>2092</v>
      </c>
      <c r="I28" s="4">
        <v>0</v>
      </c>
      <c r="J28" s="4">
        <v>737.39</v>
      </c>
      <c r="K28" s="4">
        <f t="shared" si="1"/>
        <v>63.440000000000005</v>
      </c>
      <c r="L28" s="4">
        <f t="shared" si="2"/>
        <v>63.169999999999995</v>
      </c>
      <c r="M28" s="4">
        <f t="shared" si="3"/>
        <v>0.27000000000001023</v>
      </c>
      <c r="N28" s="4">
        <v>7.24</v>
      </c>
      <c r="O28" s="4">
        <v>81.98</v>
      </c>
      <c r="P28" s="4">
        <v>86</v>
      </c>
      <c r="Q28" s="4">
        <v>16.8</v>
      </c>
      <c r="R28" s="4">
        <v>9.35</v>
      </c>
      <c r="S28" s="4">
        <v>15.15</v>
      </c>
      <c r="T28" s="4">
        <v>5.84</v>
      </c>
      <c r="U28" s="4">
        <v>7.35</v>
      </c>
      <c r="V28" s="4">
        <v>3468.03</v>
      </c>
      <c r="W28" s="4">
        <v>1034.05</v>
      </c>
      <c r="X28" s="4">
        <v>1250.4100000000001</v>
      </c>
      <c r="Y28" s="4">
        <v>743.4</v>
      </c>
      <c r="Z28" s="4">
        <v>11.55</v>
      </c>
      <c r="AA28" s="4">
        <v>1.58</v>
      </c>
      <c r="AB28" s="4">
        <v>4.43</v>
      </c>
      <c r="AC28" s="4">
        <v>61.53</v>
      </c>
      <c r="AD28" s="4">
        <v>680</v>
      </c>
      <c r="AE28" s="4">
        <v>5900</v>
      </c>
      <c r="AF28" s="4">
        <v>84.39</v>
      </c>
      <c r="AG28" s="4">
        <v>0.59</v>
      </c>
      <c r="AH28" s="4">
        <v>13.29</v>
      </c>
      <c r="AI28" s="4">
        <v>85.79</v>
      </c>
      <c r="AJ28" s="4">
        <v>60</v>
      </c>
      <c r="AK28" s="4">
        <v>9</v>
      </c>
      <c r="AL28" s="4">
        <v>9</v>
      </c>
      <c r="AM28" s="4">
        <v>0.37</v>
      </c>
      <c r="AN28" s="4">
        <v>408</v>
      </c>
      <c r="AO28" s="4">
        <v>411.3</v>
      </c>
      <c r="AP28" s="4">
        <v>400718.26</v>
      </c>
      <c r="AQ28" s="4">
        <v>398987.06</v>
      </c>
      <c r="AR28" s="4" t="s">
        <v>163</v>
      </c>
      <c r="AS28" s="5">
        <f t="shared" si="0"/>
        <v>9.8812785388128516E-2</v>
      </c>
    </row>
    <row r="29" spans="1:45" ht="14.25" customHeight="1" x14ac:dyDescent="0.55000000000000004">
      <c r="A29" s="4">
        <v>22.97</v>
      </c>
      <c r="B29" s="4">
        <v>32.28</v>
      </c>
      <c r="C29" s="4">
        <v>5509.2</v>
      </c>
      <c r="D29" s="4">
        <v>7.6</v>
      </c>
      <c r="E29" s="4" t="s">
        <v>2093</v>
      </c>
      <c r="F29" s="4" t="s">
        <v>2094</v>
      </c>
      <c r="G29" s="4" t="s">
        <v>2095</v>
      </c>
      <c r="H29" s="4" t="s">
        <v>2075</v>
      </c>
      <c r="I29" s="4">
        <v>0</v>
      </c>
      <c r="J29" s="4">
        <v>749.16</v>
      </c>
      <c r="K29" s="4">
        <f t="shared" si="1"/>
        <v>63.039999999999992</v>
      </c>
      <c r="L29" s="4">
        <f t="shared" si="2"/>
        <v>63.039999999999992</v>
      </c>
      <c r="M29" s="4">
        <f t="shared" si="3"/>
        <v>0</v>
      </c>
      <c r="N29" s="4">
        <v>7.25</v>
      </c>
      <c r="O29" s="4">
        <v>81.89</v>
      </c>
      <c r="P29" s="4">
        <v>70</v>
      </c>
      <c r="Q29" s="4">
        <v>22.6</v>
      </c>
      <c r="R29" s="4">
        <v>9.31</v>
      </c>
      <c r="S29" s="4">
        <v>18.7</v>
      </c>
      <c r="T29" s="4">
        <v>4.2699999999999996</v>
      </c>
      <c r="U29" s="4">
        <v>7.35</v>
      </c>
      <c r="V29" s="4">
        <v>3525.89</v>
      </c>
      <c r="W29" s="4">
        <v>1051.04</v>
      </c>
      <c r="X29" s="4">
        <v>1267.4100000000001</v>
      </c>
      <c r="Y29" s="4">
        <v>754.98</v>
      </c>
      <c r="Z29" s="4">
        <v>20.04</v>
      </c>
      <c r="AA29" s="4">
        <v>1.65</v>
      </c>
      <c r="AB29" s="4">
        <v>4.3099999999999996</v>
      </c>
      <c r="AC29" s="4">
        <v>68.540000000000006</v>
      </c>
      <c r="AD29" s="4">
        <v>680</v>
      </c>
      <c r="AE29" s="4">
        <v>5900</v>
      </c>
      <c r="AF29" s="4">
        <v>84.01</v>
      </c>
      <c r="AG29" s="4">
        <v>0.59</v>
      </c>
      <c r="AH29" s="4">
        <v>13.22</v>
      </c>
      <c r="AI29" s="4">
        <v>149.77000000000001</v>
      </c>
      <c r="AJ29" s="4">
        <v>60</v>
      </c>
      <c r="AK29" s="4">
        <v>9</v>
      </c>
      <c r="AL29" s="4">
        <v>9</v>
      </c>
      <c r="AM29" s="4">
        <v>0.21</v>
      </c>
      <c r="AN29" s="4">
        <v>408</v>
      </c>
      <c r="AO29" s="4">
        <v>409.89</v>
      </c>
      <c r="AP29" s="4">
        <v>366803.05</v>
      </c>
      <c r="AQ29" s="4">
        <v>366803.05</v>
      </c>
      <c r="AR29" s="4" t="s">
        <v>168</v>
      </c>
      <c r="AS29" s="5">
        <f t="shared" si="0"/>
        <v>0</v>
      </c>
    </row>
    <row r="30" spans="1:45" ht="14.25" customHeight="1" x14ac:dyDescent="0.55000000000000004">
      <c r="A30" s="4">
        <v>21.1</v>
      </c>
      <c r="B30" s="4">
        <v>30.37</v>
      </c>
      <c r="C30" s="4">
        <v>5451.3</v>
      </c>
      <c r="D30" s="4">
        <v>7.59</v>
      </c>
      <c r="E30" s="4" t="s">
        <v>2096</v>
      </c>
      <c r="F30" s="4" t="s">
        <v>2097</v>
      </c>
      <c r="G30" s="4" t="s">
        <v>2098</v>
      </c>
      <c r="H30" s="4" t="s">
        <v>354</v>
      </c>
      <c r="I30" s="4">
        <v>0</v>
      </c>
      <c r="J30" s="4">
        <v>677.49</v>
      </c>
      <c r="K30" s="4">
        <f t="shared" si="1"/>
        <v>58.319999999999993</v>
      </c>
      <c r="L30" s="4">
        <f t="shared" si="2"/>
        <v>64.36</v>
      </c>
      <c r="M30" s="4">
        <f t="shared" si="3"/>
        <v>-6.0400000000000063</v>
      </c>
      <c r="N30" s="4">
        <v>7.2</v>
      </c>
      <c r="O30" s="4">
        <v>81.98</v>
      </c>
      <c r="P30" s="4">
        <v>79</v>
      </c>
      <c r="Q30" s="4">
        <v>17</v>
      </c>
      <c r="R30" s="4">
        <v>9.27</v>
      </c>
      <c r="S30" s="4">
        <v>14.53</v>
      </c>
      <c r="T30" s="4">
        <v>6.57</v>
      </c>
      <c r="U30" s="4">
        <v>8.0500000000000007</v>
      </c>
      <c r="V30" s="4">
        <v>3488.83</v>
      </c>
      <c r="W30" s="4">
        <v>1043.3399999999999</v>
      </c>
      <c r="X30" s="4">
        <v>1291.03</v>
      </c>
      <c r="Y30" s="4">
        <v>756.2</v>
      </c>
      <c r="Z30" s="4">
        <v>7.25</v>
      </c>
      <c r="AA30" s="4">
        <v>1.61</v>
      </c>
      <c r="AB30" s="4">
        <v>4.38</v>
      </c>
      <c r="AC30" s="4">
        <v>58.53</v>
      </c>
      <c r="AD30" s="4">
        <v>680</v>
      </c>
      <c r="AE30" s="4">
        <v>5900</v>
      </c>
      <c r="AF30" s="4">
        <v>83.67</v>
      </c>
      <c r="AG30" s="4">
        <v>0.59</v>
      </c>
      <c r="AH30" s="4">
        <v>11.87</v>
      </c>
      <c r="AI30" s="4">
        <v>58.58</v>
      </c>
      <c r="AJ30" s="4">
        <v>60</v>
      </c>
      <c r="AK30" s="4">
        <v>9</v>
      </c>
      <c r="AL30" s="4">
        <v>9</v>
      </c>
      <c r="AM30" s="4">
        <v>0.54</v>
      </c>
      <c r="AN30" s="4">
        <v>408</v>
      </c>
      <c r="AO30" s="4">
        <v>412.83</v>
      </c>
      <c r="AP30" s="4">
        <v>354049.14</v>
      </c>
      <c r="AQ30" s="4">
        <v>291588.47999999998</v>
      </c>
      <c r="AR30" s="4" t="s">
        <v>173</v>
      </c>
      <c r="AS30" s="5">
        <f t="shared" si="0"/>
        <v>3.5651061643835633</v>
      </c>
    </row>
    <row r="31" spans="1:45" ht="14.25" customHeight="1" x14ac:dyDescent="0.55000000000000004">
      <c r="A31" s="4">
        <v>20.81</v>
      </c>
      <c r="B31" s="4">
        <v>30.04</v>
      </c>
      <c r="C31" s="4">
        <v>5508</v>
      </c>
      <c r="D31" s="4">
        <v>7.59</v>
      </c>
      <c r="E31" s="4" t="s">
        <v>2099</v>
      </c>
      <c r="F31" s="4" t="s">
        <v>2100</v>
      </c>
      <c r="G31" s="4" t="s">
        <v>538</v>
      </c>
      <c r="H31" s="4" t="s">
        <v>2101</v>
      </c>
      <c r="I31" s="4">
        <v>0</v>
      </c>
      <c r="J31" s="4">
        <v>659.96</v>
      </c>
      <c r="K31" s="4">
        <f t="shared" si="1"/>
        <v>57.45</v>
      </c>
      <c r="L31" s="4">
        <f t="shared" si="2"/>
        <v>62.26</v>
      </c>
      <c r="M31" s="4">
        <f t="shared" si="3"/>
        <v>-4.8099999999999952</v>
      </c>
      <c r="N31" s="4">
        <v>7.18</v>
      </c>
      <c r="O31" s="4">
        <v>81.96</v>
      </c>
      <c r="P31" s="4">
        <v>81</v>
      </c>
      <c r="Q31" s="4">
        <v>17.8</v>
      </c>
      <c r="R31" s="4">
        <v>9.23</v>
      </c>
      <c r="S31" s="4">
        <v>15.54</v>
      </c>
      <c r="T31" s="4">
        <v>5.28</v>
      </c>
      <c r="U31" s="4">
        <v>8.35</v>
      </c>
      <c r="V31" s="4">
        <v>3525.12</v>
      </c>
      <c r="W31" s="4">
        <v>1054.78</v>
      </c>
      <c r="X31" s="4">
        <v>1312.3</v>
      </c>
      <c r="Y31" s="4">
        <v>765.82</v>
      </c>
      <c r="Z31" s="4">
        <v>8.3000000000000007</v>
      </c>
      <c r="AA31" s="4">
        <v>1.61</v>
      </c>
      <c r="AB31" s="4">
        <v>4.37</v>
      </c>
      <c r="AC31" s="4">
        <v>63.62</v>
      </c>
      <c r="AD31" s="4">
        <v>680</v>
      </c>
      <c r="AE31" s="4">
        <v>5900</v>
      </c>
      <c r="AF31" s="4">
        <v>83.28</v>
      </c>
      <c r="AG31" s="4">
        <v>0.59</v>
      </c>
      <c r="AH31" s="4">
        <v>11.34</v>
      </c>
      <c r="AI31" s="4">
        <v>68.13</v>
      </c>
      <c r="AJ31" s="4">
        <v>60</v>
      </c>
      <c r="AK31" s="4">
        <v>9</v>
      </c>
      <c r="AL31" s="4">
        <v>9</v>
      </c>
      <c r="AM31" s="4">
        <v>0.46</v>
      </c>
      <c r="AN31" s="4">
        <v>408</v>
      </c>
      <c r="AO31" s="4">
        <v>412.15</v>
      </c>
      <c r="AP31" s="4">
        <v>357025.14</v>
      </c>
      <c r="AQ31" s="4">
        <v>320773.28999999998</v>
      </c>
      <c r="AR31" s="4" t="s">
        <v>178</v>
      </c>
      <c r="AS31" s="5">
        <f t="shared" si="0"/>
        <v>2.069169520547947</v>
      </c>
    </row>
    <row r="32" spans="1:45" ht="14.25" customHeight="1" x14ac:dyDescent="0.55000000000000004">
      <c r="A32" s="4">
        <v>21.63</v>
      </c>
      <c r="B32" s="4">
        <v>30.9</v>
      </c>
      <c r="C32" s="4">
        <v>5508.1</v>
      </c>
      <c r="D32" s="4">
        <v>7.59</v>
      </c>
      <c r="E32" s="4" t="s">
        <v>2102</v>
      </c>
      <c r="F32" s="4" t="s">
        <v>2103</v>
      </c>
      <c r="G32" s="4" t="s">
        <v>2104</v>
      </c>
      <c r="H32" s="4" t="s">
        <v>2105</v>
      </c>
      <c r="I32" s="4">
        <v>0</v>
      </c>
      <c r="J32" s="4">
        <v>711.05</v>
      </c>
      <c r="K32" s="4">
        <f t="shared" si="1"/>
        <v>60.68</v>
      </c>
      <c r="L32" s="4">
        <f t="shared" si="2"/>
        <v>69.77</v>
      </c>
      <c r="M32" s="4">
        <f t="shared" si="3"/>
        <v>-9.0899999999999963</v>
      </c>
      <c r="N32" s="4">
        <v>7.22</v>
      </c>
      <c r="O32" s="4">
        <v>81.97</v>
      </c>
      <c r="P32" s="4">
        <v>76</v>
      </c>
      <c r="Q32" s="4">
        <v>19.899999999999999</v>
      </c>
      <c r="R32" s="4">
        <v>9.26</v>
      </c>
      <c r="S32" s="4">
        <v>16.940000000000001</v>
      </c>
      <c r="T32" s="4">
        <v>4.7</v>
      </c>
      <c r="U32" s="4">
        <v>7.75</v>
      </c>
      <c r="V32" s="4">
        <v>3525.18</v>
      </c>
      <c r="W32" s="4">
        <v>1052.3</v>
      </c>
      <c r="X32" s="4">
        <v>1284.33</v>
      </c>
      <c r="Y32" s="4">
        <v>758.96</v>
      </c>
      <c r="Z32" s="4">
        <v>5.22</v>
      </c>
      <c r="AA32" s="4">
        <v>1.62</v>
      </c>
      <c r="AB32" s="4">
        <v>4.3600000000000003</v>
      </c>
      <c r="AC32" s="4">
        <v>66.349999999999994</v>
      </c>
      <c r="AD32" s="4">
        <v>680</v>
      </c>
      <c r="AE32" s="4">
        <v>5900</v>
      </c>
      <c r="AF32" s="4">
        <v>83.63</v>
      </c>
      <c r="AG32" s="4">
        <v>0.59</v>
      </c>
      <c r="AH32" s="4">
        <v>12.4</v>
      </c>
      <c r="AI32" s="4">
        <v>40.520000000000003</v>
      </c>
      <c r="AJ32" s="4">
        <v>60</v>
      </c>
      <c r="AK32" s="4">
        <v>9</v>
      </c>
      <c r="AL32" s="4">
        <v>9</v>
      </c>
      <c r="AM32" s="4">
        <v>0.78</v>
      </c>
      <c r="AN32" s="4">
        <v>408</v>
      </c>
      <c r="AO32" s="4">
        <v>414.98</v>
      </c>
      <c r="AP32" s="4">
        <v>362255.78</v>
      </c>
      <c r="AQ32" s="4">
        <v>187036.87</v>
      </c>
      <c r="AR32" s="4" t="s">
        <v>183</v>
      </c>
      <c r="AS32" s="5">
        <f t="shared" si="0"/>
        <v>10.001079337899546</v>
      </c>
    </row>
    <row r="33" spans="1:45" ht="14.25" customHeight="1" x14ac:dyDescent="0.55000000000000004">
      <c r="A33" s="4">
        <v>20.96</v>
      </c>
      <c r="B33" s="4">
        <v>30.21</v>
      </c>
      <c r="C33" s="4">
        <v>5416.7</v>
      </c>
      <c r="D33" s="4">
        <v>7.6</v>
      </c>
      <c r="E33" s="4" t="s">
        <v>2106</v>
      </c>
      <c r="F33" s="4" t="s">
        <v>2107</v>
      </c>
      <c r="G33" s="4" t="s">
        <v>486</v>
      </c>
      <c r="H33" s="4" t="s">
        <v>464</v>
      </c>
      <c r="I33" s="4">
        <v>0</v>
      </c>
      <c r="J33" s="4">
        <v>741.21</v>
      </c>
      <c r="K33" s="4">
        <f t="shared" si="1"/>
        <v>63.15</v>
      </c>
      <c r="L33" s="4">
        <f t="shared" si="2"/>
        <v>63.15</v>
      </c>
      <c r="M33" s="4">
        <f t="shared" si="3"/>
        <v>0</v>
      </c>
      <c r="N33" s="4">
        <v>7.25</v>
      </c>
      <c r="O33" s="4">
        <v>81.89</v>
      </c>
      <c r="P33" s="4">
        <v>82</v>
      </c>
      <c r="Q33" s="4">
        <v>16.7</v>
      </c>
      <c r="R33" s="4">
        <v>9.25</v>
      </c>
      <c r="S33" s="4">
        <v>14.59</v>
      </c>
      <c r="T33" s="4">
        <v>6.37</v>
      </c>
      <c r="U33" s="4">
        <v>7.31</v>
      </c>
      <c r="V33" s="4">
        <v>3466.69</v>
      </c>
      <c r="W33" s="4">
        <v>1033.93</v>
      </c>
      <c r="X33" s="4">
        <v>1251.32</v>
      </c>
      <c r="Y33" s="4">
        <v>743.69</v>
      </c>
      <c r="Z33" s="4">
        <v>31.63</v>
      </c>
      <c r="AA33" s="4">
        <v>1.59</v>
      </c>
      <c r="AB33" s="4">
        <v>4.41</v>
      </c>
      <c r="AC33" s="4">
        <v>59.24</v>
      </c>
      <c r="AD33" s="4">
        <v>680</v>
      </c>
      <c r="AE33" s="4">
        <v>5900</v>
      </c>
      <c r="AF33" s="4">
        <v>83.54</v>
      </c>
      <c r="AG33" s="4">
        <v>0.59</v>
      </c>
      <c r="AH33" s="4">
        <v>13.24</v>
      </c>
      <c r="AI33" s="4">
        <v>236.04</v>
      </c>
      <c r="AJ33" s="4">
        <v>60</v>
      </c>
      <c r="AK33" s="4">
        <v>9</v>
      </c>
      <c r="AL33" s="4">
        <v>9</v>
      </c>
      <c r="AM33" s="4">
        <v>0.13</v>
      </c>
      <c r="AN33" s="4">
        <v>408</v>
      </c>
      <c r="AO33" s="4">
        <v>409.2</v>
      </c>
      <c r="AP33" s="4">
        <v>357637.98</v>
      </c>
      <c r="AQ33" s="4">
        <v>357637.98</v>
      </c>
      <c r="AR33" s="4" t="s">
        <v>188</v>
      </c>
      <c r="AS33" s="5">
        <f t="shared" si="0"/>
        <v>0</v>
      </c>
    </row>
    <row r="34" spans="1:45" ht="14.25" customHeight="1" x14ac:dyDescent="0.55000000000000004">
      <c r="A34" s="4">
        <v>20.86</v>
      </c>
      <c r="B34" s="4">
        <v>30.15</v>
      </c>
      <c r="C34" s="4">
        <v>5439</v>
      </c>
      <c r="D34" s="4">
        <v>7.59</v>
      </c>
      <c r="E34" s="4" t="s">
        <v>2108</v>
      </c>
      <c r="F34" s="4" t="s">
        <v>59</v>
      </c>
      <c r="G34" s="4" t="s">
        <v>2109</v>
      </c>
      <c r="H34" s="4" t="s">
        <v>464</v>
      </c>
      <c r="I34" s="4">
        <v>0</v>
      </c>
      <c r="J34" s="4">
        <v>672.72</v>
      </c>
      <c r="K34" s="4">
        <f t="shared" si="1"/>
        <v>58.449999999999996</v>
      </c>
      <c r="L34" s="4">
        <f t="shared" si="2"/>
        <v>58.449999999999996</v>
      </c>
      <c r="M34" s="4">
        <f t="shared" si="3"/>
        <v>0</v>
      </c>
      <c r="N34" s="4">
        <v>7.19</v>
      </c>
      <c r="O34" s="4">
        <v>82.07</v>
      </c>
      <c r="P34" s="4">
        <v>78</v>
      </c>
      <c r="Q34" s="4">
        <v>16.899999999999999</v>
      </c>
      <c r="R34" s="4">
        <v>9.2899999999999991</v>
      </c>
      <c r="S34" s="4">
        <v>14.32</v>
      </c>
      <c r="T34" s="4">
        <v>6.54</v>
      </c>
      <c r="U34" s="4">
        <v>8.09</v>
      </c>
      <c r="V34" s="4">
        <v>3480.96</v>
      </c>
      <c r="W34" s="4">
        <v>1041.29</v>
      </c>
      <c r="X34" s="4">
        <v>1291.24</v>
      </c>
      <c r="Y34" s="4">
        <v>755.3</v>
      </c>
      <c r="Z34" s="4">
        <v>29.26</v>
      </c>
      <c r="AA34" s="4">
        <v>1.6</v>
      </c>
      <c r="AB34" s="4">
        <v>4.3899999999999997</v>
      </c>
      <c r="AC34" s="4">
        <v>58.66</v>
      </c>
      <c r="AD34" s="4">
        <v>680</v>
      </c>
      <c r="AE34" s="4">
        <v>5900</v>
      </c>
      <c r="AF34" s="4">
        <v>83.82</v>
      </c>
      <c r="AG34" s="4">
        <v>0.59</v>
      </c>
      <c r="AH34" s="4">
        <v>11.83</v>
      </c>
      <c r="AI34" s="4">
        <v>235.91</v>
      </c>
      <c r="AJ34" s="4">
        <v>60</v>
      </c>
      <c r="AK34" s="4">
        <v>9</v>
      </c>
      <c r="AL34" s="4">
        <v>9</v>
      </c>
      <c r="AM34" s="4">
        <v>0.13</v>
      </c>
      <c r="AN34" s="4">
        <v>408</v>
      </c>
      <c r="AO34" s="4">
        <v>409.2</v>
      </c>
      <c r="AP34" s="4">
        <v>356206.67</v>
      </c>
      <c r="AQ34" s="4">
        <v>356206.67</v>
      </c>
      <c r="AR34" s="4" t="s">
        <v>192</v>
      </c>
      <c r="AS34" s="5">
        <f t="shared" si="0"/>
        <v>0</v>
      </c>
    </row>
    <row r="35" spans="1:45" ht="14.25" customHeight="1" x14ac:dyDescent="0.55000000000000004">
      <c r="A35" s="4">
        <v>22.94</v>
      </c>
      <c r="B35" s="4">
        <v>32.19</v>
      </c>
      <c r="C35" s="4">
        <v>5505.4</v>
      </c>
      <c r="D35" s="4">
        <v>7.6</v>
      </c>
      <c r="E35" s="4" t="s">
        <v>2110</v>
      </c>
      <c r="F35" s="4" t="s">
        <v>59</v>
      </c>
      <c r="G35" s="4" t="s">
        <v>2013</v>
      </c>
      <c r="H35" s="4" t="s">
        <v>2111</v>
      </c>
      <c r="I35" s="4">
        <v>0</v>
      </c>
      <c r="J35" s="4">
        <v>683.97</v>
      </c>
      <c r="K35" s="4">
        <f t="shared" si="1"/>
        <v>59.059999999999995</v>
      </c>
      <c r="L35" s="4">
        <f t="shared" si="2"/>
        <v>59.059999999999995</v>
      </c>
      <c r="M35" s="4">
        <f t="shared" si="3"/>
        <v>0</v>
      </c>
      <c r="N35" s="4">
        <v>7.2</v>
      </c>
      <c r="O35" s="4">
        <v>82.06</v>
      </c>
      <c r="P35" s="4">
        <v>78</v>
      </c>
      <c r="Q35" s="4">
        <v>21.6</v>
      </c>
      <c r="R35" s="4">
        <v>9.25</v>
      </c>
      <c r="S35" s="4">
        <v>18.809999999999999</v>
      </c>
      <c r="T35" s="4">
        <v>4.13</v>
      </c>
      <c r="U35" s="4">
        <v>8.0500000000000007</v>
      </c>
      <c r="V35" s="4">
        <v>3523.46</v>
      </c>
      <c r="W35" s="4">
        <v>1053.18</v>
      </c>
      <c r="X35" s="4">
        <v>1298.8599999999999</v>
      </c>
      <c r="Y35" s="4">
        <v>762.38</v>
      </c>
      <c r="Z35" s="4">
        <v>19.53</v>
      </c>
      <c r="AA35" s="4">
        <v>1.66</v>
      </c>
      <c r="AB35" s="4">
        <v>4.29</v>
      </c>
      <c r="AC35" s="4">
        <v>69.12</v>
      </c>
      <c r="AD35" s="4">
        <v>680</v>
      </c>
      <c r="AE35" s="4">
        <v>5900</v>
      </c>
      <c r="AF35" s="4">
        <v>83.46</v>
      </c>
      <c r="AG35" s="4">
        <v>0.59</v>
      </c>
      <c r="AH35" s="4">
        <v>11.84</v>
      </c>
      <c r="AI35" s="4">
        <v>155.84</v>
      </c>
      <c r="AJ35" s="4">
        <v>60</v>
      </c>
      <c r="AK35" s="4">
        <v>9</v>
      </c>
      <c r="AL35" s="4">
        <v>9</v>
      </c>
      <c r="AM35" s="4">
        <v>0.2</v>
      </c>
      <c r="AN35" s="4">
        <v>408</v>
      </c>
      <c r="AO35" s="4">
        <v>409.81</v>
      </c>
      <c r="AP35" s="4">
        <v>367161.05</v>
      </c>
      <c r="AQ35" s="4">
        <v>367161.05</v>
      </c>
      <c r="AR35" s="4" t="s">
        <v>196</v>
      </c>
      <c r="AS35" s="5">
        <f t="shared" si="0"/>
        <v>0</v>
      </c>
    </row>
    <row r="36" spans="1:45" ht="14.25" customHeight="1" x14ac:dyDescent="0.55000000000000004">
      <c r="A36" s="4">
        <v>21.34</v>
      </c>
      <c r="B36" s="4">
        <v>30.59</v>
      </c>
      <c r="C36" s="4">
        <v>5456.3</v>
      </c>
      <c r="D36" s="4">
        <v>7.59</v>
      </c>
      <c r="E36" s="4" t="s">
        <v>2112</v>
      </c>
      <c r="F36" s="4" t="s">
        <v>2113</v>
      </c>
      <c r="G36" s="4" t="s">
        <v>2114</v>
      </c>
      <c r="H36" s="4" t="s">
        <v>2115</v>
      </c>
      <c r="I36" s="4">
        <v>0</v>
      </c>
      <c r="J36" s="4">
        <v>694.94</v>
      </c>
      <c r="K36" s="4">
        <f t="shared" si="1"/>
        <v>59.99</v>
      </c>
      <c r="L36" s="4">
        <f t="shared" si="2"/>
        <v>69.58</v>
      </c>
      <c r="M36" s="4">
        <f t="shared" si="3"/>
        <v>-9.5899999999999963</v>
      </c>
      <c r="N36" s="4">
        <v>7.21</v>
      </c>
      <c r="O36" s="4">
        <v>81.98</v>
      </c>
      <c r="P36" s="4">
        <v>73</v>
      </c>
      <c r="Q36" s="4">
        <v>19.3</v>
      </c>
      <c r="R36" s="4">
        <v>9.25</v>
      </c>
      <c r="S36" s="4">
        <v>16</v>
      </c>
      <c r="T36" s="4">
        <v>5.35</v>
      </c>
      <c r="U36" s="4">
        <v>7.85</v>
      </c>
      <c r="V36" s="4">
        <v>3492.03</v>
      </c>
      <c r="W36" s="4">
        <v>1043.02</v>
      </c>
      <c r="X36" s="4">
        <v>1279.6199999999999</v>
      </c>
      <c r="Y36" s="4">
        <v>753.56</v>
      </c>
      <c r="Z36" s="4">
        <v>5.17</v>
      </c>
      <c r="AA36" s="4">
        <v>1.6</v>
      </c>
      <c r="AB36" s="4">
        <v>4.38</v>
      </c>
      <c r="AC36" s="4">
        <v>63.36</v>
      </c>
      <c r="AD36" s="4">
        <v>680</v>
      </c>
      <c r="AE36" s="4">
        <v>5900</v>
      </c>
      <c r="AF36" s="4">
        <v>83.46</v>
      </c>
      <c r="AG36" s="4">
        <v>0.59</v>
      </c>
      <c r="AH36" s="4">
        <v>12.18</v>
      </c>
      <c r="AI36" s="4">
        <v>40.630000000000003</v>
      </c>
      <c r="AJ36" s="4">
        <v>60</v>
      </c>
      <c r="AK36" s="4">
        <v>9</v>
      </c>
      <c r="AL36" s="4">
        <v>9</v>
      </c>
      <c r="AM36" s="4">
        <v>0.77</v>
      </c>
      <c r="AN36" s="4">
        <v>408</v>
      </c>
      <c r="AO36" s="4">
        <v>414.96</v>
      </c>
      <c r="AP36" s="4">
        <v>359052.64</v>
      </c>
      <c r="AQ36" s="4">
        <v>186126.64</v>
      </c>
      <c r="AR36" s="4" t="s">
        <v>1257</v>
      </c>
      <c r="AS36" s="5">
        <f t="shared" si="0"/>
        <v>9.8702054794520553</v>
      </c>
    </row>
    <row r="37" spans="1:45" ht="14.25" customHeight="1" x14ac:dyDescent="0.55000000000000004">
      <c r="A37" s="4">
        <v>20.98</v>
      </c>
      <c r="B37" s="4">
        <v>30.19</v>
      </c>
      <c r="C37" s="4">
        <v>5445.2</v>
      </c>
      <c r="D37" s="4">
        <v>7.6</v>
      </c>
      <c r="E37" s="4" t="s">
        <v>2116</v>
      </c>
      <c r="F37" s="4" t="s">
        <v>2117</v>
      </c>
      <c r="G37" s="4" t="s">
        <v>2118</v>
      </c>
      <c r="H37" s="4" t="s">
        <v>2119</v>
      </c>
      <c r="I37" s="4">
        <v>0</v>
      </c>
      <c r="J37" s="4">
        <v>734.38</v>
      </c>
      <c r="K37" s="4">
        <f t="shared" si="1"/>
        <v>62.71</v>
      </c>
      <c r="L37" s="4">
        <f t="shared" si="2"/>
        <v>60.46</v>
      </c>
      <c r="M37" s="4">
        <f t="shared" si="3"/>
        <v>2.25</v>
      </c>
      <c r="N37" s="4">
        <v>7.23</v>
      </c>
      <c r="O37" s="4">
        <v>82.08</v>
      </c>
      <c r="P37" s="4">
        <v>87</v>
      </c>
      <c r="Q37" s="4">
        <v>17</v>
      </c>
      <c r="R37" s="4">
        <v>9.2100000000000009</v>
      </c>
      <c r="S37" s="4">
        <v>15.46</v>
      </c>
      <c r="T37" s="4">
        <v>5.51</v>
      </c>
      <c r="U37" s="4">
        <v>7.41</v>
      </c>
      <c r="V37" s="4">
        <v>3484.93</v>
      </c>
      <c r="W37" s="4">
        <v>1039.1400000000001</v>
      </c>
      <c r="X37" s="4">
        <v>1257.3699999999999</v>
      </c>
      <c r="Y37" s="4">
        <v>747.2</v>
      </c>
      <c r="Z37" s="4">
        <v>11.41</v>
      </c>
      <c r="AA37" s="4">
        <v>1.59</v>
      </c>
      <c r="AB37" s="4">
        <v>4.41</v>
      </c>
      <c r="AC37" s="4">
        <v>62.56</v>
      </c>
      <c r="AD37" s="4">
        <v>680</v>
      </c>
      <c r="AE37" s="4">
        <v>5900</v>
      </c>
      <c r="AF37" s="4">
        <v>83.17</v>
      </c>
      <c r="AG37" s="4">
        <v>0.59</v>
      </c>
      <c r="AH37" s="4">
        <v>12.96</v>
      </c>
      <c r="AI37" s="4">
        <v>85.73</v>
      </c>
      <c r="AJ37" s="4">
        <v>60</v>
      </c>
      <c r="AK37" s="4">
        <v>9</v>
      </c>
      <c r="AL37" s="4">
        <v>9</v>
      </c>
      <c r="AM37" s="4">
        <v>0.37</v>
      </c>
      <c r="AN37" s="4">
        <v>408</v>
      </c>
      <c r="AO37" s="4">
        <v>411.3</v>
      </c>
      <c r="AP37" s="4">
        <v>418457.35</v>
      </c>
      <c r="AQ37" s="4">
        <v>366554.27</v>
      </c>
      <c r="AR37" s="4" t="s">
        <v>201</v>
      </c>
      <c r="AS37" s="5">
        <f t="shared" si="0"/>
        <v>2.9625045662100433</v>
      </c>
    </row>
    <row r="38" spans="1:45" ht="14.25" customHeight="1" x14ac:dyDescent="0.55000000000000004">
      <c r="A38" s="4">
        <v>20.239999999999998</v>
      </c>
      <c r="B38" s="4">
        <v>29.5</v>
      </c>
      <c r="C38" s="4">
        <v>5484.1</v>
      </c>
      <c r="D38" s="4">
        <v>7.6</v>
      </c>
      <c r="E38" s="4" t="s">
        <v>2120</v>
      </c>
      <c r="F38" s="4" t="s">
        <v>2121</v>
      </c>
      <c r="G38" s="4" t="s">
        <v>2122</v>
      </c>
      <c r="H38" s="4" t="s">
        <v>464</v>
      </c>
      <c r="I38" s="4">
        <v>0</v>
      </c>
      <c r="J38" s="4">
        <v>653.04999999999995</v>
      </c>
      <c r="K38" s="4">
        <f t="shared" si="1"/>
        <v>56.77</v>
      </c>
      <c r="L38" s="4">
        <f t="shared" si="2"/>
        <v>56.77</v>
      </c>
      <c r="M38" s="4">
        <f t="shared" si="3"/>
        <v>0</v>
      </c>
      <c r="N38" s="4">
        <v>7.18</v>
      </c>
      <c r="O38" s="4">
        <v>82.07</v>
      </c>
      <c r="P38" s="4">
        <v>84</v>
      </c>
      <c r="Q38" s="4">
        <v>16.5</v>
      </c>
      <c r="R38" s="4">
        <v>9.26</v>
      </c>
      <c r="S38" s="4">
        <v>14.63</v>
      </c>
      <c r="T38" s="4">
        <v>5.61</v>
      </c>
      <c r="U38" s="4">
        <v>8.4</v>
      </c>
      <c r="V38" s="4">
        <v>3509.82</v>
      </c>
      <c r="W38" s="4">
        <v>1050.99</v>
      </c>
      <c r="X38" s="4">
        <v>1313.73</v>
      </c>
      <c r="Y38" s="4">
        <v>764.48</v>
      </c>
      <c r="Z38" s="4">
        <v>28.44</v>
      </c>
      <c r="AA38" s="4">
        <v>1.6</v>
      </c>
      <c r="AB38" s="4">
        <v>4.3899999999999997</v>
      </c>
      <c r="AC38" s="4">
        <v>62.26</v>
      </c>
      <c r="AD38" s="4">
        <v>680</v>
      </c>
      <c r="AE38" s="4">
        <v>5900</v>
      </c>
      <c r="AF38" s="4">
        <v>83.57</v>
      </c>
      <c r="AG38" s="4">
        <v>0.59</v>
      </c>
      <c r="AH38" s="4">
        <v>11.3</v>
      </c>
      <c r="AI38" s="4">
        <v>236.07</v>
      </c>
      <c r="AJ38" s="4">
        <v>60</v>
      </c>
      <c r="AK38" s="4">
        <v>9</v>
      </c>
      <c r="AL38" s="4">
        <v>9</v>
      </c>
      <c r="AM38" s="4">
        <v>0.13</v>
      </c>
      <c r="AN38" s="4">
        <v>408</v>
      </c>
      <c r="AO38" s="4">
        <v>409.2</v>
      </c>
      <c r="AP38" s="4">
        <v>352876.29</v>
      </c>
      <c r="AQ38" s="4">
        <v>352876.29</v>
      </c>
      <c r="AR38" s="4" t="s">
        <v>206</v>
      </c>
      <c r="AS38" s="5">
        <f t="shared" si="0"/>
        <v>0</v>
      </c>
    </row>
    <row r="39" spans="1:45" ht="14.25" customHeight="1" x14ac:dyDescent="0.55000000000000004">
      <c r="A39" s="4">
        <v>21.44</v>
      </c>
      <c r="B39" s="4">
        <v>30.75</v>
      </c>
      <c r="C39" s="4">
        <v>5465.4</v>
      </c>
      <c r="D39" s="4">
        <v>7.6</v>
      </c>
      <c r="E39" s="4" t="s">
        <v>2123</v>
      </c>
      <c r="F39" s="4" t="s">
        <v>2124</v>
      </c>
      <c r="G39" s="4" t="s">
        <v>2125</v>
      </c>
      <c r="H39" s="4" t="s">
        <v>2126</v>
      </c>
      <c r="I39" s="4">
        <v>0</v>
      </c>
      <c r="J39" s="4">
        <v>691.63</v>
      </c>
      <c r="K39" s="4">
        <f t="shared" si="1"/>
        <v>59.44</v>
      </c>
      <c r="L39" s="4">
        <f t="shared" si="2"/>
        <v>67.02000000000001</v>
      </c>
      <c r="M39" s="4">
        <f t="shared" si="3"/>
        <v>-7.5800000000000125</v>
      </c>
      <c r="N39" s="4">
        <v>7.21</v>
      </c>
      <c r="O39" s="4">
        <v>81.99</v>
      </c>
      <c r="P39" s="4">
        <v>86</v>
      </c>
      <c r="Q39" s="4">
        <v>16</v>
      </c>
      <c r="R39" s="4">
        <v>9.32</v>
      </c>
      <c r="S39" s="4">
        <v>14.37</v>
      </c>
      <c r="T39" s="4">
        <v>7.06</v>
      </c>
      <c r="U39" s="4">
        <v>7.9</v>
      </c>
      <c r="V39" s="4">
        <v>3497.86</v>
      </c>
      <c r="W39" s="4">
        <v>1045.3</v>
      </c>
      <c r="X39" s="4">
        <v>1286.32</v>
      </c>
      <c r="Y39" s="4">
        <v>756.15</v>
      </c>
      <c r="Z39" s="4">
        <v>6.21</v>
      </c>
      <c r="AA39" s="4">
        <v>1.62</v>
      </c>
      <c r="AB39" s="4">
        <v>4.37</v>
      </c>
      <c r="AC39" s="4">
        <v>56.87</v>
      </c>
      <c r="AD39" s="4">
        <v>680</v>
      </c>
      <c r="AE39" s="4">
        <v>5900</v>
      </c>
      <c r="AF39" s="4">
        <v>84.1</v>
      </c>
      <c r="AG39" s="4">
        <v>0.59</v>
      </c>
      <c r="AH39" s="4">
        <v>12.19</v>
      </c>
      <c r="AI39" s="4">
        <v>49.22</v>
      </c>
      <c r="AJ39" s="4">
        <v>60</v>
      </c>
      <c r="AK39" s="4">
        <v>9</v>
      </c>
      <c r="AL39" s="4">
        <v>9</v>
      </c>
      <c r="AM39" s="4">
        <v>0.64</v>
      </c>
      <c r="AN39" s="4">
        <v>408</v>
      </c>
      <c r="AO39" s="4">
        <v>413.74</v>
      </c>
      <c r="AP39" s="4">
        <v>355665.21</v>
      </c>
      <c r="AQ39" s="4">
        <v>250607.71</v>
      </c>
      <c r="AR39" s="4" t="s">
        <v>211</v>
      </c>
      <c r="AS39" s="5">
        <f t="shared" si="0"/>
        <v>5.9964326484018278</v>
      </c>
    </row>
    <row r="40" spans="1:45" ht="14.25" customHeight="1" x14ac:dyDescent="0.55000000000000004">
      <c r="A40" s="4">
        <v>22.24</v>
      </c>
      <c r="B40" s="4">
        <v>31.51</v>
      </c>
      <c r="C40" s="4">
        <v>5510.5</v>
      </c>
      <c r="D40" s="4">
        <v>7.6</v>
      </c>
      <c r="E40" s="4" t="s">
        <v>462</v>
      </c>
      <c r="F40" s="4" t="s">
        <v>59</v>
      </c>
      <c r="G40" s="4" t="s">
        <v>2104</v>
      </c>
      <c r="H40" s="4" t="s">
        <v>2127</v>
      </c>
      <c r="I40" s="4">
        <v>0</v>
      </c>
      <c r="J40" s="4">
        <v>703.37</v>
      </c>
      <c r="K40" s="4">
        <f t="shared" si="1"/>
        <v>60.339999999999996</v>
      </c>
      <c r="L40" s="4">
        <f t="shared" si="2"/>
        <v>60.339999999999996</v>
      </c>
      <c r="M40" s="4">
        <f t="shared" si="3"/>
        <v>0</v>
      </c>
      <c r="N40" s="4">
        <v>7.21</v>
      </c>
      <c r="O40" s="4">
        <v>82.05</v>
      </c>
      <c r="P40" s="4">
        <v>74</v>
      </c>
      <c r="Q40" s="4">
        <v>21.5</v>
      </c>
      <c r="R40" s="4">
        <v>9.27</v>
      </c>
      <c r="S40" s="4">
        <v>18.2</v>
      </c>
      <c r="T40" s="4">
        <v>4.05</v>
      </c>
      <c r="U40" s="4">
        <v>7.83</v>
      </c>
      <c r="V40" s="4">
        <v>3526.72</v>
      </c>
      <c r="W40" s="4">
        <v>1053.05</v>
      </c>
      <c r="X40" s="4">
        <v>1288.4000000000001</v>
      </c>
      <c r="Y40" s="4">
        <v>760.12</v>
      </c>
      <c r="Z40" s="4">
        <v>21.56</v>
      </c>
      <c r="AA40" s="4">
        <v>1.64</v>
      </c>
      <c r="AB40" s="4">
        <v>4.32</v>
      </c>
      <c r="AC40" s="4">
        <v>69.599999999999994</v>
      </c>
      <c r="AD40" s="4">
        <v>680</v>
      </c>
      <c r="AE40" s="4">
        <v>5900</v>
      </c>
      <c r="AF40" s="4">
        <v>83.64</v>
      </c>
      <c r="AG40" s="4">
        <v>0.59</v>
      </c>
      <c r="AH40" s="4">
        <v>12.24</v>
      </c>
      <c r="AI40" s="4">
        <v>168.38</v>
      </c>
      <c r="AJ40" s="4">
        <v>60</v>
      </c>
      <c r="AK40" s="4">
        <v>9</v>
      </c>
      <c r="AL40" s="4">
        <v>9</v>
      </c>
      <c r="AM40" s="4">
        <v>0.19</v>
      </c>
      <c r="AN40" s="4">
        <v>408</v>
      </c>
      <c r="AO40" s="4">
        <v>409.68</v>
      </c>
      <c r="AP40" s="4">
        <v>365980.42</v>
      </c>
      <c r="AQ40" s="4">
        <v>365980.42</v>
      </c>
      <c r="AR40" s="4" t="s">
        <v>216</v>
      </c>
      <c r="AS40" s="5">
        <f t="shared" si="0"/>
        <v>0</v>
      </c>
    </row>
    <row r="41" spans="1:45" ht="14.25" customHeight="1" x14ac:dyDescent="0.55000000000000004">
      <c r="A41" s="4">
        <v>22.57</v>
      </c>
      <c r="B41" s="4">
        <v>31.8</v>
      </c>
      <c r="C41" s="4">
        <v>5507.6</v>
      </c>
      <c r="D41" s="4">
        <v>7.6</v>
      </c>
      <c r="E41" s="4" t="s">
        <v>2128</v>
      </c>
      <c r="F41" s="4" t="s">
        <v>59</v>
      </c>
      <c r="G41" s="4" t="s">
        <v>2013</v>
      </c>
      <c r="H41" s="4" t="s">
        <v>2129</v>
      </c>
      <c r="I41" s="4">
        <v>0</v>
      </c>
      <c r="J41" s="4">
        <v>722.89</v>
      </c>
      <c r="K41" s="4">
        <f t="shared" si="1"/>
        <v>61.87</v>
      </c>
      <c r="L41" s="4">
        <f t="shared" si="2"/>
        <v>61.87</v>
      </c>
      <c r="M41" s="4">
        <f t="shared" si="3"/>
        <v>0</v>
      </c>
      <c r="N41" s="4">
        <v>7.23</v>
      </c>
      <c r="O41" s="4">
        <v>81.96</v>
      </c>
      <c r="P41" s="4">
        <v>77</v>
      </c>
      <c r="Q41" s="4">
        <v>21.4</v>
      </c>
      <c r="R41" s="4">
        <v>9.23</v>
      </c>
      <c r="S41" s="4">
        <v>18.489999999999998</v>
      </c>
      <c r="T41" s="4">
        <v>4.08</v>
      </c>
      <c r="U41" s="4">
        <v>7.62</v>
      </c>
      <c r="V41" s="4">
        <v>3524.86</v>
      </c>
      <c r="W41" s="4">
        <v>1051.6600000000001</v>
      </c>
      <c r="X41" s="4">
        <v>1278.1199999999999</v>
      </c>
      <c r="Y41" s="4">
        <v>757.38</v>
      </c>
      <c r="Z41" s="4">
        <v>21.15</v>
      </c>
      <c r="AA41" s="4">
        <v>1.64</v>
      </c>
      <c r="AB41" s="4">
        <v>4.32</v>
      </c>
      <c r="AC41" s="4">
        <v>69.36</v>
      </c>
      <c r="AD41" s="4">
        <v>680</v>
      </c>
      <c r="AE41" s="4">
        <v>5900</v>
      </c>
      <c r="AF41" s="4">
        <v>83.35</v>
      </c>
      <c r="AG41" s="4">
        <v>0.59</v>
      </c>
      <c r="AH41" s="4">
        <v>12.59</v>
      </c>
      <c r="AI41" s="4">
        <v>161.13</v>
      </c>
      <c r="AJ41" s="4">
        <v>60</v>
      </c>
      <c r="AK41" s="4">
        <v>9</v>
      </c>
      <c r="AL41" s="4">
        <v>9</v>
      </c>
      <c r="AM41" s="4">
        <v>0.19</v>
      </c>
      <c r="AN41" s="4">
        <v>408</v>
      </c>
      <c r="AO41" s="4">
        <v>409.75</v>
      </c>
      <c r="AP41" s="4">
        <v>368580.14</v>
      </c>
      <c r="AQ41" s="4">
        <v>368580.14</v>
      </c>
      <c r="AR41" s="4" t="s">
        <v>221</v>
      </c>
      <c r="AS41" s="5">
        <f t="shared" si="0"/>
        <v>0</v>
      </c>
    </row>
    <row r="42" spans="1:45" ht="14.25" customHeight="1" x14ac:dyDescent="0.55000000000000004">
      <c r="A42" s="4">
        <v>20.56</v>
      </c>
      <c r="B42" s="4">
        <v>29.86</v>
      </c>
      <c r="C42" s="4">
        <v>5422.6</v>
      </c>
      <c r="D42" s="4">
        <v>7.6</v>
      </c>
      <c r="E42" s="4" t="s">
        <v>462</v>
      </c>
      <c r="F42" s="4" t="s">
        <v>59</v>
      </c>
      <c r="G42" s="4" t="s">
        <v>2013</v>
      </c>
      <c r="H42" s="4" t="s">
        <v>2130</v>
      </c>
      <c r="I42" s="4">
        <v>0</v>
      </c>
      <c r="J42" s="4">
        <v>702.96</v>
      </c>
      <c r="K42" s="4">
        <f t="shared" si="1"/>
        <v>60.4</v>
      </c>
      <c r="L42" s="4">
        <f t="shared" si="2"/>
        <v>60.4</v>
      </c>
      <c r="M42" s="4">
        <f t="shared" si="3"/>
        <v>0</v>
      </c>
      <c r="N42" s="4">
        <v>7.21</v>
      </c>
      <c r="O42" s="4">
        <v>82.08</v>
      </c>
      <c r="P42" s="4">
        <v>86</v>
      </c>
      <c r="Q42" s="4">
        <v>16.5</v>
      </c>
      <c r="R42" s="4">
        <v>9.3000000000000007</v>
      </c>
      <c r="S42" s="4">
        <v>14.86</v>
      </c>
      <c r="T42" s="4">
        <v>5.7</v>
      </c>
      <c r="U42" s="4">
        <v>7.71</v>
      </c>
      <c r="V42" s="4">
        <v>3470.46</v>
      </c>
      <c r="W42" s="4">
        <v>1036.3800000000001</v>
      </c>
      <c r="X42" s="4">
        <v>1268.79</v>
      </c>
      <c r="Y42" s="4">
        <v>748.28</v>
      </c>
      <c r="Z42" s="4">
        <v>13.24</v>
      </c>
      <c r="AA42" s="4">
        <v>1.59</v>
      </c>
      <c r="AB42" s="4">
        <v>4.42</v>
      </c>
      <c r="AC42" s="4">
        <v>61.98</v>
      </c>
      <c r="AD42" s="4">
        <v>680</v>
      </c>
      <c r="AE42" s="4">
        <v>5900</v>
      </c>
      <c r="AF42" s="4">
        <v>83.91</v>
      </c>
      <c r="AG42" s="4">
        <v>0.59</v>
      </c>
      <c r="AH42" s="4">
        <v>12.5</v>
      </c>
      <c r="AI42" s="4">
        <v>103.29</v>
      </c>
      <c r="AJ42" s="4">
        <v>60</v>
      </c>
      <c r="AK42" s="4">
        <v>9</v>
      </c>
      <c r="AL42" s="4">
        <v>9</v>
      </c>
      <c r="AM42" s="4">
        <v>0.3</v>
      </c>
      <c r="AN42" s="4">
        <v>408</v>
      </c>
      <c r="AO42" s="4">
        <v>410.74</v>
      </c>
      <c r="AP42" s="4">
        <v>383935.81</v>
      </c>
      <c r="AQ42" s="4">
        <v>383935.81</v>
      </c>
      <c r="AR42" s="4" t="s">
        <v>226</v>
      </c>
      <c r="AS42" s="5">
        <f t="shared" si="0"/>
        <v>0</v>
      </c>
    </row>
    <row r="43" spans="1:45" ht="14.25" customHeight="1" x14ac:dyDescent="0.55000000000000004">
      <c r="A43" s="4">
        <v>22.82</v>
      </c>
      <c r="B43" s="4">
        <v>32.15</v>
      </c>
      <c r="C43" s="4">
        <v>5505.3</v>
      </c>
      <c r="D43" s="4">
        <v>7.6</v>
      </c>
      <c r="E43" s="4" t="s">
        <v>2131</v>
      </c>
      <c r="F43" s="4" t="s">
        <v>2132</v>
      </c>
      <c r="G43" s="4" t="s">
        <v>2064</v>
      </c>
      <c r="H43" s="4" t="s">
        <v>2133</v>
      </c>
      <c r="I43" s="4">
        <v>0</v>
      </c>
      <c r="J43" s="4">
        <v>770.93</v>
      </c>
      <c r="K43" s="4">
        <f t="shared" si="1"/>
        <v>66.16</v>
      </c>
      <c r="L43" s="4">
        <f t="shared" si="2"/>
        <v>66.16</v>
      </c>
      <c r="M43" s="4">
        <f t="shared" si="3"/>
        <v>0</v>
      </c>
      <c r="N43" s="4">
        <v>7.26</v>
      </c>
      <c r="O43" s="4">
        <v>81.95</v>
      </c>
      <c r="P43" s="4">
        <v>63</v>
      </c>
      <c r="Q43" s="4">
        <v>23.1</v>
      </c>
      <c r="R43" s="4">
        <v>9.33</v>
      </c>
      <c r="S43" s="4">
        <v>18.21</v>
      </c>
      <c r="T43" s="4">
        <v>4.6100000000000003</v>
      </c>
      <c r="U43" s="4">
        <v>7.14</v>
      </c>
      <c r="V43" s="4">
        <v>3523.39</v>
      </c>
      <c r="W43" s="4">
        <v>1048.6300000000001</v>
      </c>
      <c r="X43" s="4">
        <v>1250.98</v>
      </c>
      <c r="Y43" s="4">
        <v>750.19</v>
      </c>
      <c r="Z43" s="4">
        <v>20.34</v>
      </c>
      <c r="AA43" s="4">
        <v>1.64</v>
      </c>
      <c r="AB43" s="4">
        <v>4.33</v>
      </c>
      <c r="AC43" s="4">
        <v>66.95</v>
      </c>
      <c r="AD43" s="4">
        <v>680</v>
      </c>
      <c r="AE43" s="4">
        <v>5900</v>
      </c>
      <c r="AF43" s="4">
        <v>84.26</v>
      </c>
      <c r="AG43" s="4">
        <v>0.59</v>
      </c>
      <c r="AH43" s="4">
        <v>13.72</v>
      </c>
      <c r="AI43" s="4">
        <v>144.93</v>
      </c>
      <c r="AJ43" s="4">
        <v>60</v>
      </c>
      <c r="AK43" s="4">
        <v>9</v>
      </c>
      <c r="AL43" s="4">
        <v>9</v>
      </c>
      <c r="AM43" s="4">
        <v>0.22</v>
      </c>
      <c r="AN43" s="4">
        <v>408</v>
      </c>
      <c r="AO43" s="4">
        <v>409.95</v>
      </c>
      <c r="AP43" s="4">
        <v>379620.12</v>
      </c>
      <c r="AQ43" s="4">
        <v>379620.12</v>
      </c>
      <c r="AR43" s="4" t="s">
        <v>231</v>
      </c>
      <c r="AS43" s="5">
        <f t="shared" si="0"/>
        <v>0</v>
      </c>
    </row>
    <row r="44" spans="1:45" ht="14.25" customHeight="1" x14ac:dyDescent="0.55000000000000004">
      <c r="A44" s="4">
        <v>21.23</v>
      </c>
      <c r="B44" s="4">
        <v>30.46</v>
      </c>
      <c r="C44" s="4">
        <v>5436.4</v>
      </c>
      <c r="D44" s="4">
        <v>7.6</v>
      </c>
      <c r="E44" s="4" t="s">
        <v>2134</v>
      </c>
      <c r="F44" s="4" t="s">
        <v>2135</v>
      </c>
      <c r="G44" s="4" t="s">
        <v>2098</v>
      </c>
      <c r="H44" s="4" t="s">
        <v>2136</v>
      </c>
      <c r="I44" s="4">
        <v>0</v>
      </c>
      <c r="J44" s="4">
        <v>728.73</v>
      </c>
      <c r="K44" s="4">
        <f t="shared" si="1"/>
        <v>62.309999999999995</v>
      </c>
      <c r="L44" s="4">
        <f t="shared" si="2"/>
        <v>61</v>
      </c>
      <c r="M44" s="4">
        <f t="shared" si="3"/>
        <v>1.3099999999999952</v>
      </c>
      <c r="N44" s="4">
        <v>7.23</v>
      </c>
      <c r="O44" s="4">
        <v>82</v>
      </c>
      <c r="P44" s="4">
        <v>86</v>
      </c>
      <c r="Q44" s="4">
        <v>17.3</v>
      </c>
      <c r="R44" s="4">
        <v>9.23</v>
      </c>
      <c r="S44" s="4">
        <v>15.64</v>
      </c>
      <c r="T44" s="4">
        <v>5.59</v>
      </c>
      <c r="U44" s="4">
        <v>7.46</v>
      </c>
      <c r="V44" s="4">
        <v>3479.3</v>
      </c>
      <c r="W44" s="4">
        <v>1037.81</v>
      </c>
      <c r="X44" s="4">
        <v>1258.78</v>
      </c>
      <c r="Y44" s="4">
        <v>746.89</v>
      </c>
      <c r="Z44" s="4">
        <v>11.24</v>
      </c>
      <c r="AA44" s="4">
        <v>1.6</v>
      </c>
      <c r="AB44" s="4">
        <v>4.4000000000000004</v>
      </c>
      <c r="AC44" s="4">
        <v>62.29</v>
      </c>
      <c r="AD44" s="4">
        <v>680</v>
      </c>
      <c r="AE44" s="4">
        <v>5900</v>
      </c>
      <c r="AF44" s="4">
        <v>83.34</v>
      </c>
      <c r="AG44" s="4">
        <v>0.59</v>
      </c>
      <c r="AH44" s="4">
        <v>12.9</v>
      </c>
      <c r="AI44" s="4">
        <v>84.99</v>
      </c>
      <c r="AJ44" s="4">
        <v>60</v>
      </c>
      <c r="AK44" s="4">
        <v>9</v>
      </c>
      <c r="AL44" s="4">
        <v>9</v>
      </c>
      <c r="AM44" s="4">
        <v>0.37</v>
      </c>
      <c r="AN44" s="4">
        <v>408</v>
      </c>
      <c r="AO44" s="4">
        <v>411.33</v>
      </c>
      <c r="AP44" s="4">
        <v>408789.06</v>
      </c>
      <c r="AQ44" s="4">
        <v>370277.2</v>
      </c>
      <c r="AR44" s="4" t="s">
        <v>236</v>
      </c>
      <c r="AS44" s="5">
        <f t="shared" si="0"/>
        <v>2.1981655251141543</v>
      </c>
    </row>
    <row r="45" spans="1:45" ht="14.25" customHeight="1" x14ac:dyDescent="0.55000000000000004">
      <c r="A45" s="4">
        <v>20.75</v>
      </c>
      <c r="B45" s="4">
        <v>30.04</v>
      </c>
      <c r="C45" s="4">
        <v>5417.3</v>
      </c>
      <c r="D45" s="4">
        <v>7.6</v>
      </c>
      <c r="E45" s="4" t="s">
        <v>2137</v>
      </c>
      <c r="F45" s="4" t="s">
        <v>2138</v>
      </c>
      <c r="G45" s="4" t="s">
        <v>2074</v>
      </c>
      <c r="H45" s="4" t="s">
        <v>464</v>
      </c>
      <c r="I45" s="4">
        <v>0</v>
      </c>
      <c r="J45" s="4">
        <v>724.34</v>
      </c>
      <c r="K45" s="4">
        <f t="shared" si="1"/>
        <v>62.75</v>
      </c>
      <c r="L45" s="4">
        <f t="shared" si="2"/>
        <v>62.75</v>
      </c>
      <c r="M45" s="4">
        <f t="shared" si="3"/>
        <v>0</v>
      </c>
      <c r="N45" s="4">
        <v>7.23</v>
      </c>
      <c r="O45" s="4">
        <v>82.04</v>
      </c>
      <c r="P45" s="4">
        <v>77</v>
      </c>
      <c r="Q45" s="4">
        <v>17</v>
      </c>
      <c r="R45" s="4">
        <v>9.2899999999999991</v>
      </c>
      <c r="S45" s="4">
        <v>14.3</v>
      </c>
      <c r="T45" s="4">
        <v>6.45</v>
      </c>
      <c r="U45" s="4">
        <v>7.48</v>
      </c>
      <c r="V45" s="4">
        <v>3467.07</v>
      </c>
      <c r="W45" s="4">
        <v>1034.69</v>
      </c>
      <c r="X45" s="4">
        <v>1258.94</v>
      </c>
      <c r="Y45" s="4">
        <v>745.58</v>
      </c>
      <c r="Z45" s="4">
        <v>31.3</v>
      </c>
      <c r="AA45" s="4">
        <v>1.59</v>
      </c>
      <c r="AB45" s="4">
        <v>4.42</v>
      </c>
      <c r="AC45" s="4">
        <v>59.01</v>
      </c>
      <c r="AD45" s="4">
        <v>680</v>
      </c>
      <c r="AE45" s="4">
        <v>5900</v>
      </c>
      <c r="AF45" s="4">
        <v>83.82</v>
      </c>
      <c r="AG45" s="4">
        <v>0.59</v>
      </c>
      <c r="AH45" s="4">
        <v>12.94</v>
      </c>
      <c r="AI45" s="4">
        <v>235.05</v>
      </c>
      <c r="AJ45" s="4">
        <v>60</v>
      </c>
      <c r="AK45" s="4">
        <v>9</v>
      </c>
      <c r="AL45" s="4">
        <v>9</v>
      </c>
      <c r="AM45" s="4">
        <v>0.13</v>
      </c>
      <c r="AN45" s="4">
        <v>408</v>
      </c>
      <c r="AO45" s="4">
        <v>409.2</v>
      </c>
      <c r="AP45" s="4">
        <v>362131.39</v>
      </c>
      <c r="AQ45" s="4">
        <v>362131.39</v>
      </c>
      <c r="AR45" s="4" t="s">
        <v>241</v>
      </c>
      <c r="AS45" s="5">
        <f t="shared" si="0"/>
        <v>0</v>
      </c>
    </row>
    <row r="46" spans="1:45" ht="14.25" customHeight="1" x14ac:dyDescent="0.55000000000000004">
      <c r="A46" s="4">
        <v>20.62</v>
      </c>
      <c r="B46" s="4">
        <v>30.02</v>
      </c>
      <c r="C46" s="4">
        <v>5473.8</v>
      </c>
      <c r="D46" s="4">
        <v>7.6</v>
      </c>
      <c r="E46" s="4" t="s">
        <v>2139</v>
      </c>
      <c r="F46" s="4" t="s">
        <v>2140</v>
      </c>
      <c r="G46" s="4" t="s">
        <v>2013</v>
      </c>
      <c r="H46" s="4" t="s">
        <v>464</v>
      </c>
      <c r="I46" s="4">
        <v>0</v>
      </c>
      <c r="J46" s="4">
        <v>706.14</v>
      </c>
      <c r="K46" s="4">
        <f t="shared" si="1"/>
        <v>60.85</v>
      </c>
      <c r="L46" s="4">
        <f t="shared" si="2"/>
        <v>60.85</v>
      </c>
      <c r="M46" s="4">
        <f t="shared" si="3"/>
        <v>0</v>
      </c>
      <c r="N46" s="4">
        <v>7.22</v>
      </c>
      <c r="O46" s="4">
        <v>82</v>
      </c>
      <c r="P46" s="4">
        <v>86</v>
      </c>
      <c r="Q46" s="4">
        <v>16</v>
      </c>
      <c r="R46" s="4">
        <v>9.4</v>
      </c>
      <c r="S46" s="4">
        <v>14.37</v>
      </c>
      <c r="T46" s="4">
        <v>6.25</v>
      </c>
      <c r="U46" s="4">
        <v>7.75</v>
      </c>
      <c r="V46" s="4">
        <v>3503.23</v>
      </c>
      <c r="W46" s="4">
        <v>1045.92</v>
      </c>
      <c r="X46" s="4">
        <v>1278.44</v>
      </c>
      <c r="Y46" s="4">
        <v>754.72</v>
      </c>
      <c r="Z46" s="4">
        <v>30.37</v>
      </c>
      <c r="AA46" s="4">
        <v>1.6</v>
      </c>
      <c r="AB46" s="4">
        <v>4.4000000000000004</v>
      </c>
      <c r="AC46" s="4">
        <v>60.05</v>
      </c>
      <c r="AD46" s="4">
        <v>680</v>
      </c>
      <c r="AE46" s="4">
        <v>5900</v>
      </c>
      <c r="AF46" s="4">
        <v>84.85</v>
      </c>
      <c r="AG46" s="4">
        <v>0.59</v>
      </c>
      <c r="AH46" s="4">
        <v>12.57</v>
      </c>
      <c r="AI46" s="4">
        <v>235.13</v>
      </c>
      <c r="AJ46" s="4">
        <v>60</v>
      </c>
      <c r="AK46" s="4">
        <v>9</v>
      </c>
      <c r="AL46" s="4">
        <v>9</v>
      </c>
      <c r="AM46" s="4">
        <v>0.13</v>
      </c>
      <c r="AN46" s="4">
        <v>408</v>
      </c>
      <c r="AO46" s="4">
        <v>409.2</v>
      </c>
      <c r="AP46" s="4">
        <v>359760.64000000001</v>
      </c>
      <c r="AQ46" s="4">
        <v>359760.64000000001</v>
      </c>
      <c r="AR46" s="4" t="s">
        <v>245</v>
      </c>
      <c r="AS46" s="5">
        <f t="shared" si="0"/>
        <v>0</v>
      </c>
    </row>
    <row r="47" spans="1:45" ht="14.25" customHeight="1" x14ac:dyDescent="0.55000000000000004">
      <c r="A47" s="4">
        <v>22.71</v>
      </c>
      <c r="B47" s="4">
        <v>32.03</v>
      </c>
      <c r="C47" s="4">
        <v>5501.3</v>
      </c>
      <c r="D47" s="4">
        <v>7.61</v>
      </c>
      <c r="E47" s="4" t="s">
        <v>2141</v>
      </c>
      <c r="F47" s="4" t="s">
        <v>2142</v>
      </c>
      <c r="G47" s="4" t="s">
        <v>570</v>
      </c>
      <c r="H47" s="4" t="s">
        <v>2143</v>
      </c>
      <c r="I47" s="4">
        <v>0</v>
      </c>
      <c r="J47" s="4">
        <v>791.63</v>
      </c>
      <c r="K47" s="4">
        <f t="shared" si="1"/>
        <v>66.64</v>
      </c>
      <c r="L47" s="4">
        <f t="shared" si="2"/>
        <v>66.64</v>
      </c>
      <c r="M47" s="4">
        <f t="shared" si="3"/>
        <v>0</v>
      </c>
      <c r="N47" s="4">
        <v>7.28</v>
      </c>
      <c r="O47" s="4">
        <v>81.98</v>
      </c>
      <c r="P47" s="4">
        <v>61</v>
      </c>
      <c r="Q47" s="4">
        <v>23</v>
      </c>
      <c r="R47" s="4">
        <v>9.32</v>
      </c>
      <c r="S47" s="4">
        <v>17.84</v>
      </c>
      <c r="T47" s="4">
        <v>4.87</v>
      </c>
      <c r="U47" s="4">
        <v>6.95</v>
      </c>
      <c r="V47" s="4">
        <v>3520.83</v>
      </c>
      <c r="W47" s="4">
        <v>1047.49</v>
      </c>
      <c r="X47" s="4">
        <v>1244.3</v>
      </c>
      <c r="Y47" s="4">
        <v>748.45</v>
      </c>
      <c r="Z47" s="4">
        <v>20.23</v>
      </c>
      <c r="AA47" s="4">
        <v>1.63</v>
      </c>
      <c r="AB47" s="4">
        <v>4.34</v>
      </c>
      <c r="AC47" s="4">
        <v>65.69</v>
      </c>
      <c r="AD47" s="4">
        <v>680</v>
      </c>
      <c r="AE47" s="4">
        <v>5900</v>
      </c>
      <c r="AF47" s="4">
        <v>84.13</v>
      </c>
      <c r="AG47" s="4">
        <v>0.59</v>
      </c>
      <c r="AH47" s="4">
        <v>14.14</v>
      </c>
      <c r="AI47" s="4">
        <v>143.05000000000001</v>
      </c>
      <c r="AJ47" s="4">
        <v>60</v>
      </c>
      <c r="AK47" s="4">
        <v>9</v>
      </c>
      <c r="AL47" s="4">
        <v>9</v>
      </c>
      <c r="AM47" s="4">
        <v>0.22</v>
      </c>
      <c r="AN47" s="4">
        <v>408</v>
      </c>
      <c r="AO47" s="4">
        <v>409.98</v>
      </c>
      <c r="AP47" s="4">
        <v>372714.56</v>
      </c>
      <c r="AQ47" s="4">
        <v>372714.56</v>
      </c>
      <c r="AR47" s="4" t="s">
        <v>250</v>
      </c>
      <c r="AS47" s="5">
        <f t="shared" si="0"/>
        <v>0</v>
      </c>
    </row>
    <row r="48" spans="1:45" ht="14.25" customHeight="1" x14ac:dyDescent="0.55000000000000004">
      <c r="A48" s="4">
        <v>20.53</v>
      </c>
      <c r="B48" s="4">
        <v>29.74</v>
      </c>
      <c r="C48" s="4">
        <v>5498.9</v>
      </c>
      <c r="D48" s="4">
        <v>7.59</v>
      </c>
      <c r="E48" s="4" t="s">
        <v>2144</v>
      </c>
      <c r="F48" s="4" t="s">
        <v>2145</v>
      </c>
      <c r="G48" s="4" t="s">
        <v>2122</v>
      </c>
      <c r="H48" s="4" t="s">
        <v>2146</v>
      </c>
      <c r="I48" s="4">
        <v>0</v>
      </c>
      <c r="J48" s="4">
        <v>600.85</v>
      </c>
      <c r="K48" s="4">
        <f t="shared" si="1"/>
        <v>53.940000000000005</v>
      </c>
      <c r="L48" s="4">
        <f t="shared" si="2"/>
        <v>57.39</v>
      </c>
      <c r="M48" s="4">
        <f t="shared" si="3"/>
        <v>-3.4499999999999957</v>
      </c>
      <c r="N48" s="4">
        <v>7.14</v>
      </c>
      <c r="O48" s="4">
        <v>82.03</v>
      </c>
      <c r="P48" s="4">
        <v>84</v>
      </c>
      <c r="Q48" s="4">
        <v>16.8</v>
      </c>
      <c r="R48" s="4">
        <v>9.1999999999999993</v>
      </c>
      <c r="S48" s="4">
        <v>14.92</v>
      </c>
      <c r="T48" s="4">
        <v>5.61</v>
      </c>
      <c r="U48" s="4">
        <v>9.15</v>
      </c>
      <c r="V48" s="4">
        <v>3519.3</v>
      </c>
      <c r="W48" s="4">
        <v>1056.94</v>
      </c>
      <c r="X48" s="4">
        <v>1351.93</v>
      </c>
      <c r="Y48" s="4">
        <v>775.09</v>
      </c>
      <c r="Z48" s="4">
        <v>9.8699999999999992</v>
      </c>
      <c r="AA48" s="4">
        <v>1.62</v>
      </c>
      <c r="AB48" s="4">
        <v>4.3499999999999996</v>
      </c>
      <c r="AC48" s="4">
        <v>62.11</v>
      </c>
      <c r="AD48" s="4">
        <v>680</v>
      </c>
      <c r="AE48" s="4">
        <v>5900</v>
      </c>
      <c r="AF48" s="4">
        <v>83.07</v>
      </c>
      <c r="AG48" s="4">
        <v>0.59</v>
      </c>
      <c r="AH48" s="4">
        <v>10.19</v>
      </c>
      <c r="AI48" s="4">
        <v>86.21</v>
      </c>
      <c r="AJ48" s="4">
        <v>60</v>
      </c>
      <c r="AK48" s="4">
        <v>9</v>
      </c>
      <c r="AL48" s="4">
        <v>9</v>
      </c>
      <c r="AM48" s="4">
        <v>0.36</v>
      </c>
      <c r="AN48" s="4">
        <v>408</v>
      </c>
      <c r="AO48" s="4">
        <v>411.28</v>
      </c>
      <c r="AP48" s="4">
        <v>352811.67</v>
      </c>
      <c r="AQ48" s="4">
        <v>329066.09000000003</v>
      </c>
      <c r="AR48" s="4" t="s">
        <v>255</v>
      </c>
      <c r="AS48" s="5">
        <f t="shared" si="0"/>
        <v>1.3553413242009109</v>
      </c>
    </row>
    <row r="49" spans="1:45" ht="14.25" customHeight="1" x14ac:dyDescent="0.55000000000000004">
      <c r="A49" s="4">
        <v>21.9</v>
      </c>
      <c r="B49" s="4">
        <v>31.18</v>
      </c>
      <c r="C49" s="4">
        <v>5510.6</v>
      </c>
      <c r="D49" s="4">
        <v>7.6</v>
      </c>
      <c r="E49" s="4" t="s">
        <v>2147</v>
      </c>
      <c r="F49" s="4" t="s">
        <v>2148</v>
      </c>
      <c r="G49" s="4" t="s">
        <v>2098</v>
      </c>
      <c r="H49" s="4" t="s">
        <v>2149</v>
      </c>
      <c r="I49" s="4">
        <v>0</v>
      </c>
      <c r="J49" s="4">
        <v>718.95</v>
      </c>
      <c r="K49" s="4">
        <f t="shared" si="1"/>
        <v>62.05</v>
      </c>
      <c r="L49" s="4">
        <f t="shared" si="2"/>
        <v>66.39</v>
      </c>
      <c r="M49" s="4">
        <f t="shared" si="3"/>
        <v>-4.3400000000000034</v>
      </c>
      <c r="N49" s="4">
        <v>7.22</v>
      </c>
      <c r="O49" s="4">
        <v>81.95</v>
      </c>
      <c r="P49" s="4">
        <v>73</v>
      </c>
      <c r="Q49" s="4">
        <v>21.2</v>
      </c>
      <c r="R49" s="4">
        <v>9.2799999999999994</v>
      </c>
      <c r="S49" s="4">
        <v>17.79</v>
      </c>
      <c r="T49" s="4">
        <v>4.12</v>
      </c>
      <c r="U49" s="4">
        <v>7.66</v>
      </c>
      <c r="V49" s="4">
        <v>3526.78</v>
      </c>
      <c r="W49" s="4">
        <v>1052.25</v>
      </c>
      <c r="X49" s="4">
        <v>1279.68</v>
      </c>
      <c r="Y49" s="4">
        <v>757.92</v>
      </c>
      <c r="Z49" s="4">
        <v>8.8800000000000008</v>
      </c>
      <c r="AA49" s="4">
        <v>1.63</v>
      </c>
      <c r="AB49" s="4">
        <v>4.3499999999999996</v>
      </c>
      <c r="AC49" s="4">
        <v>69.27</v>
      </c>
      <c r="AD49" s="4">
        <v>680</v>
      </c>
      <c r="AE49" s="4">
        <v>5900</v>
      </c>
      <c r="AF49" s="4">
        <v>83.78</v>
      </c>
      <c r="AG49" s="4">
        <v>0.59</v>
      </c>
      <c r="AH49" s="4">
        <v>12.57</v>
      </c>
      <c r="AI49" s="4">
        <v>67.42</v>
      </c>
      <c r="AJ49" s="4">
        <v>60</v>
      </c>
      <c r="AK49" s="4">
        <v>9</v>
      </c>
      <c r="AL49" s="4">
        <v>9</v>
      </c>
      <c r="AM49" s="4">
        <v>0.47</v>
      </c>
      <c r="AN49" s="4">
        <v>408</v>
      </c>
      <c r="AO49" s="4">
        <v>412.19</v>
      </c>
      <c r="AP49" s="4">
        <v>368855.65</v>
      </c>
      <c r="AQ49" s="4">
        <v>367813.34</v>
      </c>
      <c r="AR49" s="4" t="s">
        <v>260</v>
      </c>
      <c r="AS49" s="5">
        <f t="shared" si="0"/>
        <v>5.9492579908675666E-2</v>
      </c>
    </row>
    <row r="50" spans="1:45" ht="14.25" customHeight="1" x14ac:dyDescent="0.55000000000000004">
      <c r="A50" s="4">
        <v>20.48</v>
      </c>
      <c r="B50" s="4">
        <v>29.67</v>
      </c>
      <c r="C50" s="4">
        <v>5437.1</v>
      </c>
      <c r="D50" s="4">
        <v>7.6</v>
      </c>
      <c r="E50" s="4" t="s">
        <v>2150</v>
      </c>
      <c r="F50" s="4" t="s">
        <v>2151</v>
      </c>
      <c r="G50" s="4" t="s">
        <v>2125</v>
      </c>
      <c r="H50" s="4" t="s">
        <v>2152</v>
      </c>
      <c r="I50" s="4">
        <v>0</v>
      </c>
      <c r="J50" s="4">
        <v>683.41</v>
      </c>
      <c r="K50" s="4">
        <f t="shared" si="1"/>
        <v>58.39</v>
      </c>
      <c r="L50" s="4">
        <f t="shared" si="2"/>
        <v>58.39</v>
      </c>
      <c r="M50" s="4">
        <f t="shared" si="3"/>
        <v>0</v>
      </c>
      <c r="N50" s="4">
        <v>7.2</v>
      </c>
      <c r="O50" s="4">
        <v>82.03</v>
      </c>
      <c r="P50" s="4">
        <v>86</v>
      </c>
      <c r="Q50" s="4">
        <v>16.399999999999999</v>
      </c>
      <c r="R50" s="4">
        <v>9.19</v>
      </c>
      <c r="S50" s="4">
        <v>14.76</v>
      </c>
      <c r="T50" s="4">
        <v>5.72</v>
      </c>
      <c r="U50" s="4">
        <v>7.96</v>
      </c>
      <c r="V50" s="4">
        <v>3479.74</v>
      </c>
      <c r="W50" s="4">
        <v>1040.53</v>
      </c>
      <c r="X50" s="4">
        <v>1285.8699999999999</v>
      </c>
      <c r="Y50" s="4">
        <v>753.89</v>
      </c>
      <c r="Z50" s="4">
        <v>16.670000000000002</v>
      </c>
      <c r="AA50" s="4">
        <v>1.6</v>
      </c>
      <c r="AB50" s="4">
        <v>4.4000000000000004</v>
      </c>
      <c r="AC50" s="4">
        <v>61.63</v>
      </c>
      <c r="AD50" s="4">
        <v>680</v>
      </c>
      <c r="AE50" s="4">
        <v>5900</v>
      </c>
      <c r="AF50" s="4">
        <v>82.95</v>
      </c>
      <c r="AG50" s="4">
        <v>0.59</v>
      </c>
      <c r="AH50" s="4">
        <v>11.93</v>
      </c>
      <c r="AI50" s="4">
        <v>134.56</v>
      </c>
      <c r="AJ50" s="4">
        <v>60</v>
      </c>
      <c r="AK50" s="4">
        <v>9</v>
      </c>
      <c r="AL50" s="4">
        <v>9</v>
      </c>
      <c r="AM50" s="4">
        <v>0.23</v>
      </c>
      <c r="AN50" s="4">
        <v>408</v>
      </c>
      <c r="AO50" s="4">
        <v>410.1</v>
      </c>
      <c r="AP50" s="4">
        <v>366949.68</v>
      </c>
      <c r="AQ50" s="4">
        <v>366949.68</v>
      </c>
      <c r="AR50" s="4" t="s">
        <v>265</v>
      </c>
      <c r="AS50" s="5">
        <f t="shared" si="0"/>
        <v>0</v>
      </c>
    </row>
    <row r="51" spans="1:45" ht="14.25" customHeight="1" x14ac:dyDescent="0.55000000000000004">
      <c r="A51" s="4">
        <v>20.92</v>
      </c>
      <c r="B51" s="4">
        <v>30.04</v>
      </c>
      <c r="C51" s="4">
        <v>5434.6</v>
      </c>
      <c r="D51" s="4">
        <v>7.6</v>
      </c>
      <c r="E51" s="4" t="s">
        <v>2153</v>
      </c>
      <c r="F51" s="4" t="s">
        <v>2154</v>
      </c>
      <c r="G51" s="4" t="s">
        <v>2085</v>
      </c>
      <c r="H51" s="4" t="s">
        <v>2155</v>
      </c>
      <c r="I51" s="4">
        <v>0</v>
      </c>
      <c r="J51" s="4">
        <v>666.1</v>
      </c>
      <c r="K51" s="4">
        <f t="shared" si="1"/>
        <v>58.3</v>
      </c>
      <c r="L51" s="4">
        <f t="shared" si="2"/>
        <v>58.3</v>
      </c>
      <c r="M51" s="4">
        <f t="shared" si="3"/>
        <v>0</v>
      </c>
      <c r="N51" s="4">
        <v>7.18</v>
      </c>
      <c r="O51" s="4">
        <v>82</v>
      </c>
      <c r="P51" s="4">
        <v>85</v>
      </c>
      <c r="Q51" s="4">
        <v>16.7</v>
      </c>
      <c r="R51" s="4">
        <v>9.1199999999999992</v>
      </c>
      <c r="S51" s="4">
        <v>14.94</v>
      </c>
      <c r="T51" s="4">
        <v>5.98</v>
      </c>
      <c r="U51" s="4">
        <v>8.16</v>
      </c>
      <c r="V51" s="4">
        <v>3478.14</v>
      </c>
      <c r="W51" s="4">
        <v>1040.1400000000001</v>
      </c>
      <c r="X51" s="4">
        <v>1289.28</v>
      </c>
      <c r="Y51" s="4">
        <v>754.11</v>
      </c>
      <c r="Z51" s="4">
        <v>22.33</v>
      </c>
      <c r="AA51" s="4">
        <v>1.61</v>
      </c>
      <c r="AB51" s="4">
        <v>4.38</v>
      </c>
      <c r="AC51" s="4">
        <v>60.41</v>
      </c>
      <c r="AD51" s="4">
        <v>680</v>
      </c>
      <c r="AE51" s="4">
        <v>5900</v>
      </c>
      <c r="AF51" s="4">
        <v>82.36</v>
      </c>
      <c r="AG51" s="4">
        <v>0.59</v>
      </c>
      <c r="AH51" s="4">
        <v>11.5</v>
      </c>
      <c r="AI51" s="4">
        <v>180.47</v>
      </c>
      <c r="AJ51" s="4">
        <v>60</v>
      </c>
      <c r="AK51" s="4">
        <v>9</v>
      </c>
      <c r="AL51" s="4">
        <v>9</v>
      </c>
      <c r="AM51" s="4">
        <v>0.17</v>
      </c>
      <c r="AN51" s="4">
        <v>408</v>
      </c>
      <c r="AO51" s="4">
        <v>409.57</v>
      </c>
      <c r="AP51" s="4">
        <v>366097.43</v>
      </c>
      <c r="AQ51" s="4">
        <v>366097.43</v>
      </c>
      <c r="AR51" s="4" t="s">
        <v>270</v>
      </c>
      <c r="AS51" s="5">
        <f t="shared" si="0"/>
        <v>0</v>
      </c>
    </row>
    <row r="52" spans="1:45" ht="14.25" customHeight="1" x14ac:dyDescent="0.55000000000000004">
      <c r="A52" s="4">
        <v>21.44</v>
      </c>
      <c r="B52" s="4">
        <v>30.72</v>
      </c>
      <c r="C52" s="4">
        <v>5462.2</v>
      </c>
      <c r="D52" s="4">
        <v>7.6</v>
      </c>
      <c r="E52" s="4" t="s">
        <v>2156</v>
      </c>
      <c r="F52" s="4" t="s">
        <v>2157</v>
      </c>
      <c r="G52" s="4" t="s">
        <v>2158</v>
      </c>
      <c r="H52" s="4" t="s">
        <v>2159</v>
      </c>
      <c r="I52" s="4">
        <v>0</v>
      </c>
      <c r="J52" s="4">
        <v>688.58</v>
      </c>
      <c r="K52" s="4">
        <f t="shared" si="1"/>
        <v>59.27</v>
      </c>
      <c r="L52" s="4">
        <f t="shared" si="2"/>
        <v>68.72</v>
      </c>
      <c r="M52" s="4">
        <f t="shared" si="3"/>
        <v>-9.4499999999999957</v>
      </c>
      <c r="N52" s="4">
        <v>7.2</v>
      </c>
      <c r="O52" s="4">
        <v>82.01</v>
      </c>
      <c r="P52" s="4">
        <v>79</v>
      </c>
      <c r="Q52" s="4">
        <v>17.100000000000001</v>
      </c>
      <c r="R52" s="4">
        <v>9.27</v>
      </c>
      <c r="S52" s="4">
        <v>14.63</v>
      </c>
      <c r="T52" s="4">
        <v>6.81</v>
      </c>
      <c r="U52" s="4">
        <v>7.93</v>
      </c>
      <c r="V52" s="4">
        <v>3495.81</v>
      </c>
      <c r="W52" s="4">
        <v>1044.6400000000001</v>
      </c>
      <c r="X52" s="4">
        <v>1285.77</v>
      </c>
      <c r="Y52" s="4">
        <v>755.65</v>
      </c>
      <c r="Z52" s="4">
        <v>5.17</v>
      </c>
      <c r="AA52" s="4">
        <v>1.61</v>
      </c>
      <c r="AB52" s="4">
        <v>4.37</v>
      </c>
      <c r="AC52" s="4">
        <v>57.64</v>
      </c>
      <c r="AD52" s="4">
        <v>680</v>
      </c>
      <c r="AE52" s="4">
        <v>5900</v>
      </c>
      <c r="AF52" s="4">
        <v>83.72</v>
      </c>
      <c r="AG52" s="4">
        <v>0.59</v>
      </c>
      <c r="AH52" s="4">
        <v>12.08</v>
      </c>
      <c r="AI52" s="4">
        <v>41.15</v>
      </c>
      <c r="AJ52" s="4">
        <v>60</v>
      </c>
      <c r="AK52" s="4">
        <v>9</v>
      </c>
      <c r="AL52" s="4">
        <v>9</v>
      </c>
      <c r="AM52" s="4">
        <v>0.76</v>
      </c>
      <c r="AN52" s="4">
        <v>408</v>
      </c>
      <c r="AO52" s="4">
        <v>414.87</v>
      </c>
      <c r="AP52" s="4">
        <v>356467.57</v>
      </c>
      <c r="AQ52" s="4">
        <v>182086.31</v>
      </c>
      <c r="AR52" s="4" t="s">
        <v>1313</v>
      </c>
      <c r="AS52" s="5">
        <f t="shared" si="0"/>
        <v>9.9532682648401831</v>
      </c>
    </row>
    <row r="53" spans="1:45" ht="14.25" customHeight="1" x14ac:dyDescent="0.55000000000000004">
      <c r="A53" s="4">
        <v>21.08</v>
      </c>
      <c r="B53" s="4">
        <v>30.33</v>
      </c>
      <c r="C53" s="4">
        <v>5513.9</v>
      </c>
      <c r="D53" s="4">
        <v>7.59</v>
      </c>
      <c r="E53" s="4" t="s">
        <v>2160</v>
      </c>
      <c r="F53" s="4" t="s">
        <v>2161</v>
      </c>
      <c r="G53" s="4" t="s">
        <v>2162</v>
      </c>
      <c r="H53" s="4" t="s">
        <v>2163</v>
      </c>
      <c r="I53" s="4">
        <v>0</v>
      </c>
      <c r="J53" s="4">
        <v>682.06</v>
      </c>
      <c r="K53" s="4">
        <f t="shared" si="1"/>
        <v>58.77000000000001</v>
      </c>
      <c r="L53" s="4">
        <f t="shared" si="2"/>
        <v>66.760000000000005</v>
      </c>
      <c r="M53" s="4">
        <f t="shared" si="3"/>
        <v>-7.9899999999999949</v>
      </c>
      <c r="N53" s="4">
        <v>7.2</v>
      </c>
      <c r="O53" s="4">
        <v>81.96</v>
      </c>
      <c r="P53" s="4">
        <v>78</v>
      </c>
      <c r="Q53" s="4">
        <v>18.899999999999999</v>
      </c>
      <c r="R53" s="4">
        <v>9.25</v>
      </c>
      <c r="S53" s="4">
        <v>16.23</v>
      </c>
      <c r="T53" s="4">
        <v>4.8499999999999996</v>
      </c>
      <c r="U53" s="4">
        <v>8.08</v>
      </c>
      <c r="V53" s="4">
        <v>3528.9</v>
      </c>
      <c r="W53" s="4">
        <v>1055.1099999999999</v>
      </c>
      <c r="X53" s="4">
        <v>1303.44</v>
      </c>
      <c r="Y53" s="4">
        <v>764.3</v>
      </c>
      <c r="Z53" s="4">
        <v>5.72</v>
      </c>
      <c r="AA53" s="4">
        <v>1.61</v>
      </c>
      <c r="AB53" s="4">
        <v>4.37</v>
      </c>
      <c r="AC53" s="4">
        <v>65.61</v>
      </c>
      <c r="AD53" s="4">
        <v>680</v>
      </c>
      <c r="AE53" s="4">
        <v>5900</v>
      </c>
      <c r="AF53" s="4">
        <v>83.51</v>
      </c>
      <c r="AG53" s="4">
        <v>0.59</v>
      </c>
      <c r="AH53" s="4">
        <v>11.79</v>
      </c>
      <c r="AI53" s="4">
        <v>45.88</v>
      </c>
      <c r="AJ53" s="4">
        <v>60</v>
      </c>
      <c r="AK53" s="4">
        <v>9</v>
      </c>
      <c r="AL53" s="4">
        <v>9</v>
      </c>
      <c r="AM53" s="4">
        <v>0.68</v>
      </c>
      <c r="AN53" s="4">
        <v>408</v>
      </c>
      <c r="AO53" s="4">
        <v>414.16</v>
      </c>
      <c r="AP53" s="4">
        <v>357834.4</v>
      </c>
      <c r="AQ53" s="4">
        <v>213749.96</v>
      </c>
      <c r="AR53" s="4" t="s">
        <v>275</v>
      </c>
      <c r="AS53" s="5">
        <f t="shared" si="0"/>
        <v>8.2239977168949796</v>
      </c>
    </row>
    <row r="54" spans="1:45" ht="14.25" customHeight="1" x14ac:dyDescent="0.55000000000000004">
      <c r="A54" s="4">
        <v>22.7</v>
      </c>
      <c r="B54" s="4">
        <v>31.96</v>
      </c>
      <c r="C54" s="4">
        <v>5520.2</v>
      </c>
      <c r="D54" s="4">
        <v>7.6</v>
      </c>
      <c r="E54" s="4" t="s">
        <v>2164</v>
      </c>
      <c r="F54" s="4" t="s">
        <v>2165</v>
      </c>
      <c r="G54" s="4" t="s">
        <v>2098</v>
      </c>
      <c r="H54" s="4" t="s">
        <v>2033</v>
      </c>
      <c r="I54" s="4">
        <v>0</v>
      </c>
      <c r="J54" s="4">
        <v>767.78</v>
      </c>
      <c r="K54" s="4">
        <f t="shared" si="1"/>
        <v>65.92</v>
      </c>
      <c r="L54" s="4">
        <f t="shared" si="2"/>
        <v>65.92</v>
      </c>
      <c r="M54" s="4">
        <f t="shared" si="3"/>
        <v>0</v>
      </c>
      <c r="N54" s="4">
        <v>7.26</v>
      </c>
      <c r="O54" s="4">
        <v>82.03</v>
      </c>
      <c r="P54" s="4">
        <v>63</v>
      </c>
      <c r="Q54" s="4">
        <v>22.9</v>
      </c>
      <c r="R54" s="4">
        <v>9.26</v>
      </c>
      <c r="S54" s="4">
        <v>18.03</v>
      </c>
      <c r="T54" s="4">
        <v>4.67</v>
      </c>
      <c r="U54" s="4">
        <v>7.19</v>
      </c>
      <c r="V54" s="4">
        <v>3532.93</v>
      </c>
      <c r="W54" s="4">
        <v>1051.94</v>
      </c>
      <c r="X54" s="4">
        <v>1258.29</v>
      </c>
      <c r="Y54" s="4">
        <v>753.38</v>
      </c>
      <c r="Z54" s="4">
        <v>15.9</v>
      </c>
      <c r="AA54" s="4">
        <v>1.64</v>
      </c>
      <c r="AB54" s="4">
        <v>4.33</v>
      </c>
      <c r="AC54" s="4">
        <v>66.45</v>
      </c>
      <c r="AD54" s="4">
        <v>680</v>
      </c>
      <c r="AE54" s="4">
        <v>5900</v>
      </c>
      <c r="AF54" s="4">
        <v>83.55</v>
      </c>
      <c r="AG54" s="4">
        <v>0.59</v>
      </c>
      <c r="AH54" s="4">
        <v>13.5</v>
      </c>
      <c r="AI54" s="4">
        <v>113.65</v>
      </c>
      <c r="AJ54" s="4">
        <v>60</v>
      </c>
      <c r="AK54" s="4">
        <v>9</v>
      </c>
      <c r="AL54" s="4">
        <v>9</v>
      </c>
      <c r="AM54" s="4">
        <v>0.28000000000000003</v>
      </c>
      <c r="AN54" s="4">
        <v>408</v>
      </c>
      <c r="AO54" s="4">
        <v>410.49</v>
      </c>
      <c r="AP54" s="4">
        <v>387095.7</v>
      </c>
      <c r="AQ54" s="4">
        <v>387095.7</v>
      </c>
      <c r="AR54" s="4" t="s">
        <v>280</v>
      </c>
      <c r="AS54" s="5">
        <f t="shared" si="0"/>
        <v>0</v>
      </c>
    </row>
    <row r="55" spans="1:45" ht="14.25" customHeight="1" x14ac:dyDescent="0.55000000000000004">
      <c r="A55" s="4">
        <v>22.46</v>
      </c>
      <c r="B55" s="4">
        <v>31.63</v>
      </c>
      <c r="C55" s="4">
        <v>5435.6</v>
      </c>
      <c r="D55" s="4">
        <v>7.58</v>
      </c>
      <c r="E55" s="4" t="s">
        <v>2166</v>
      </c>
      <c r="F55" s="4" t="s">
        <v>2167</v>
      </c>
      <c r="G55" s="4" t="s">
        <v>2168</v>
      </c>
      <c r="H55" s="4" t="s">
        <v>2169</v>
      </c>
      <c r="I55" s="4">
        <v>0</v>
      </c>
      <c r="J55" s="4">
        <v>551.37</v>
      </c>
      <c r="K55" s="4">
        <f t="shared" si="1"/>
        <v>65.86</v>
      </c>
      <c r="L55" s="4">
        <f t="shared" si="2"/>
        <v>71.22999999999999</v>
      </c>
      <c r="M55" s="4">
        <f t="shared" si="3"/>
        <v>-5.3699999999999903</v>
      </c>
      <c r="N55" s="4">
        <v>7.03</v>
      </c>
      <c r="O55" s="4">
        <v>81.93</v>
      </c>
      <c r="P55" s="4">
        <v>89</v>
      </c>
      <c r="Q55" s="4">
        <v>20.2</v>
      </c>
      <c r="R55" s="4">
        <v>9.17</v>
      </c>
      <c r="S55" s="4">
        <v>18.84</v>
      </c>
      <c r="T55" s="4">
        <v>3.61</v>
      </c>
      <c r="U55" s="4">
        <v>9.86</v>
      </c>
      <c r="V55" s="4">
        <v>3478.78</v>
      </c>
      <c r="W55" s="4">
        <v>1038.78</v>
      </c>
      <c r="X55" s="4">
        <v>1306.06</v>
      </c>
      <c r="Y55" s="4">
        <v>753.63</v>
      </c>
      <c r="Z55" s="4">
        <v>5.55</v>
      </c>
      <c r="AA55" s="4">
        <v>1.62</v>
      </c>
      <c r="AB55" s="4">
        <v>4.34</v>
      </c>
      <c r="AC55" s="4">
        <v>71.73</v>
      </c>
      <c r="AD55" s="4">
        <v>680</v>
      </c>
      <c r="AE55" s="4">
        <v>5900</v>
      </c>
      <c r="AF55" s="4">
        <v>82.79</v>
      </c>
      <c r="AG55" s="4">
        <v>0.59</v>
      </c>
      <c r="AH55" s="4">
        <v>9.35</v>
      </c>
      <c r="AI55" s="4">
        <v>39.700000000000003</v>
      </c>
      <c r="AJ55" s="4">
        <v>60</v>
      </c>
      <c r="AK55" s="4">
        <v>9</v>
      </c>
      <c r="AL55" s="4">
        <v>9</v>
      </c>
      <c r="AM55" s="4">
        <v>0.79</v>
      </c>
      <c r="AN55" s="4">
        <v>408</v>
      </c>
      <c r="AO55" s="4">
        <v>415.12</v>
      </c>
      <c r="AP55" s="4">
        <v>522347.2</v>
      </c>
      <c r="AQ55" s="4">
        <v>197416.68</v>
      </c>
      <c r="AR55" s="4" t="s">
        <v>1326</v>
      </c>
      <c r="AS55" s="5">
        <f t="shared" si="0"/>
        <v>18.546262557077625</v>
      </c>
    </row>
    <row r="56" spans="1:45" ht="14.25" customHeight="1" x14ac:dyDescent="0.55000000000000004">
      <c r="A56" s="4">
        <v>22.57</v>
      </c>
      <c r="B56" s="4">
        <v>31.77</v>
      </c>
      <c r="C56" s="4">
        <v>5568.8</v>
      </c>
      <c r="D56" s="4">
        <v>7.59</v>
      </c>
      <c r="E56" s="4" t="s">
        <v>2170</v>
      </c>
      <c r="F56" s="4" t="s">
        <v>2171</v>
      </c>
      <c r="G56" s="4" t="s">
        <v>2172</v>
      </c>
      <c r="H56" s="4" t="s">
        <v>2173</v>
      </c>
      <c r="I56" s="4">
        <v>0</v>
      </c>
      <c r="J56" s="4">
        <v>663.89</v>
      </c>
      <c r="K56" s="4">
        <f t="shared" si="1"/>
        <v>58.7</v>
      </c>
      <c r="L56" s="4">
        <f t="shared" si="2"/>
        <v>53.739999999999995</v>
      </c>
      <c r="M56" s="4">
        <f t="shared" si="3"/>
        <v>4.960000000000008</v>
      </c>
      <c r="N56" s="4">
        <v>7.18</v>
      </c>
      <c r="O56" s="4">
        <v>82.01</v>
      </c>
      <c r="P56" s="4">
        <v>89</v>
      </c>
      <c r="Q56" s="4">
        <v>19.899999999999999</v>
      </c>
      <c r="R56" s="4">
        <v>9.1999999999999993</v>
      </c>
      <c r="S56" s="4">
        <v>18.55</v>
      </c>
      <c r="T56" s="4">
        <v>4.03</v>
      </c>
      <c r="U56" s="4">
        <v>8.39</v>
      </c>
      <c r="V56" s="4">
        <v>3564.03</v>
      </c>
      <c r="W56" s="4">
        <v>1066.23</v>
      </c>
      <c r="X56" s="4">
        <v>1324.57</v>
      </c>
      <c r="Y56" s="4">
        <v>773.74</v>
      </c>
      <c r="Z56" s="4">
        <v>13.11</v>
      </c>
      <c r="AA56" s="4">
        <v>1.65</v>
      </c>
      <c r="AB56" s="4">
        <v>4.29</v>
      </c>
      <c r="AC56" s="4">
        <v>69.56</v>
      </c>
      <c r="AD56" s="4">
        <v>680</v>
      </c>
      <c r="AE56" s="4">
        <v>5900</v>
      </c>
      <c r="AF56" s="4">
        <v>83.04</v>
      </c>
      <c r="AG56" s="4">
        <v>0.59</v>
      </c>
      <c r="AH56" s="4">
        <v>11.24</v>
      </c>
      <c r="AI56" s="4">
        <v>105.22</v>
      </c>
      <c r="AJ56" s="4">
        <v>60</v>
      </c>
      <c r="AK56" s="4">
        <v>9</v>
      </c>
      <c r="AL56" s="4">
        <v>9</v>
      </c>
      <c r="AM56" s="4">
        <v>0.3</v>
      </c>
      <c r="AN56" s="4">
        <v>408</v>
      </c>
      <c r="AO56" s="4">
        <v>410.69</v>
      </c>
      <c r="AP56" s="4">
        <v>437457.02</v>
      </c>
      <c r="AQ56" s="4">
        <v>330285.5</v>
      </c>
      <c r="AR56" s="4" t="s">
        <v>285</v>
      </c>
      <c r="AS56" s="5">
        <f t="shared" si="0"/>
        <v>6.11709589041096</v>
      </c>
    </row>
    <row r="57" spans="1:45" ht="14.25" customHeight="1" x14ac:dyDescent="0.55000000000000004">
      <c r="A57" s="4">
        <v>22.87</v>
      </c>
      <c r="B57" s="4">
        <v>32.06</v>
      </c>
      <c r="C57" s="4">
        <v>5518.5</v>
      </c>
      <c r="D57" s="4">
        <v>7.61</v>
      </c>
      <c r="E57" s="4" t="s">
        <v>2174</v>
      </c>
      <c r="F57" s="4" t="s">
        <v>2175</v>
      </c>
      <c r="G57" s="4" t="s">
        <v>2044</v>
      </c>
      <c r="H57" s="4" t="s">
        <v>2176</v>
      </c>
      <c r="I57" s="4">
        <v>0</v>
      </c>
      <c r="J57" s="4">
        <v>801.59</v>
      </c>
      <c r="K57" s="4">
        <f t="shared" si="1"/>
        <v>68.5</v>
      </c>
      <c r="L57" s="4">
        <f t="shared" si="2"/>
        <v>65.38</v>
      </c>
      <c r="M57" s="4">
        <f t="shared" si="3"/>
        <v>3.1200000000000045</v>
      </c>
      <c r="N57" s="4">
        <v>7.28</v>
      </c>
      <c r="O57" s="4">
        <v>82.06</v>
      </c>
      <c r="P57" s="4">
        <v>83</v>
      </c>
      <c r="Q57" s="4">
        <v>20.8</v>
      </c>
      <c r="R57" s="4">
        <v>9.1999999999999993</v>
      </c>
      <c r="S57" s="4">
        <v>18.68</v>
      </c>
      <c r="T57" s="4">
        <v>4.1900000000000004</v>
      </c>
      <c r="U57" s="4">
        <v>6.88</v>
      </c>
      <c r="V57" s="4">
        <v>3531.84</v>
      </c>
      <c r="W57" s="4">
        <v>1050.4100000000001</v>
      </c>
      <c r="X57" s="4">
        <v>1244.18</v>
      </c>
      <c r="Y57" s="4">
        <v>749.8</v>
      </c>
      <c r="Z57" s="4">
        <v>9.9499999999999993</v>
      </c>
      <c r="AA57" s="4">
        <v>1.64</v>
      </c>
      <c r="AB57" s="4">
        <v>4.33</v>
      </c>
      <c r="AC57" s="4">
        <v>68.7</v>
      </c>
      <c r="AD57" s="4">
        <v>680</v>
      </c>
      <c r="AE57" s="4">
        <v>5900</v>
      </c>
      <c r="AF57" s="4">
        <v>83.02</v>
      </c>
      <c r="AG57" s="4">
        <v>0.59</v>
      </c>
      <c r="AH57" s="4">
        <v>14.11</v>
      </c>
      <c r="AI57" s="4">
        <v>68.47</v>
      </c>
      <c r="AJ57" s="4">
        <v>60</v>
      </c>
      <c r="AK57" s="4">
        <v>9</v>
      </c>
      <c r="AL57" s="4">
        <v>9</v>
      </c>
      <c r="AM57" s="4">
        <v>0.46</v>
      </c>
      <c r="AN57" s="4">
        <v>408</v>
      </c>
      <c r="AO57" s="4">
        <v>412.13</v>
      </c>
      <c r="AP57" s="4">
        <v>446295.46</v>
      </c>
      <c r="AQ57" s="4">
        <v>360262.45</v>
      </c>
      <c r="AR57" s="4" t="s">
        <v>289</v>
      </c>
      <c r="AS57" s="5">
        <f t="shared" si="0"/>
        <v>4.9105599315068496</v>
      </c>
    </row>
    <row r="58" spans="1:45" ht="14.25" customHeight="1" x14ac:dyDescent="0.55000000000000004">
      <c r="A58" s="4">
        <v>22.38</v>
      </c>
      <c r="B58" s="4">
        <v>31.46</v>
      </c>
      <c r="C58" s="4">
        <v>5447.8</v>
      </c>
      <c r="D58" s="4">
        <v>7.6</v>
      </c>
      <c r="E58" s="4" t="s">
        <v>2177</v>
      </c>
      <c r="F58" s="4" t="s">
        <v>2178</v>
      </c>
      <c r="G58" s="4" t="s">
        <v>2179</v>
      </c>
      <c r="H58" s="4" t="s">
        <v>2180</v>
      </c>
      <c r="I58" s="4">
        <v>0</v>
      </c>
      <c r="J58" s="4">
        <v>266.58999999999997</v>
      </c>
      <c r="K58" s="4">
        <f t="shared" si="1"/>
        <v>51.15</v>
      </c>
      <c r="L58" s="4">
        <f t="shared" si="2"/>
        <v>51.07</v>
      </c>
      <c r="M58" s="4">
        <f t="shared" si="3"/>
        <v>7.9999999999998295E-2</v>
      </c>
      <c r="N58" s="4">
        <v>6.81</v>
      </c>
      <c r="O58" s="4">
        <v>82.26</v>
      </c>
      <c r="P58" s="4">
        <v>94</v>
      </c>
      <c r="Q58" s="4">
        <v>19</v>
      </c>
      <c r="R58" s="4">
        <v>9.08</v>
      </c>
      <c r="S58" s="4">
        <v>18.27</v>
      </c>
      <c r="T58" s="4">
        <v>4.1100000000000003</v>
      </c>
      <c r="U58" s="4">
        <v>20.43</v>
      </c>
      <c r="V58" s="4">
        <v>3486.59</v>
      </c>
      <c r="W58" s="4">
        <v>1072.68</v>
      </c>
      <c r="X58" s="4">
        <v>1711.35</v>
      </c>
      <c r="Y58" s="4">
        <v>847.45</v>
      </c>
      <c r="Z58" s="4">
        <v>6.51</v>
      </c>
      <c r="AA58" s="4">
        <v>1.77</v>
      </c>
      <c r="AB58" s="4">
        <v>4.0599999999999996</v>
      </c>
      <c r="AC58" s="4">
        <v>68.84</v>
      </c>
      <c r="AD58" s="4">
        <v>680</v>
      </c>
      <c r="AE58" s="4">
        <v>5900</v>
      </c>
      <c r="AF58" s="4">
        <v>81.97</v>
      </c>
      <c r="AG58" s="4">
        <v>0.59</v>
      </c>
      <c r="AH58" s="4">
        <v>4.22</v>
      </c>
      <c r="AI58" s="4">
        <v>59.97</v>
      </c>
      <c r="AJ58" s="4">
        <v>60</v>
      </c>
      <c r="AK58" s="4">
        <v>9</v>
      </c>
      <c r="AL58" s="4">
        <v>9</v>
      </c>
      <c r="AM58" s="4">
        <v>0.52</v>
      </c>
      <c r="AN58" s="4">
        <v>408</v>
      </c>
      <c r="AO58" s="4">
        <v>412.71</v>
      </c>
      <c r="AP58" s="4">
        <v>523737.87</v>
      </c>
      <c r="AQ58" s="4">
        <v>139791.5</v>
      </c>
      <c r="AR58" s="4" t="s">
        <v>294</v>
      </c>
      <c r="AS58" s="5">
        <f t="shared" si="0"/>
        <v>21.914747146118721</v>
      </c>
    </row>
    <row r="59" spans="1:45" ht="14.25" customHeight="1" x14ac:dyDescent="0.55000000000000004">
      <c r="A59" s="4">
        <v>22.23</v>
      </c>
      <c r="B59" s="4">
        <v>31.43</v>
      </c>
      <c r="C59" s="4">
        <v>5458</v>
      </c>
      <c r="D59" s="4">
        <v>7.57</v>
      </c>
      <c r="E59" s="4" t="s">
        <v>2181</v>
      </c>
      <c r="F59" s="4" t="s">
        <v>2182</v>
      </c>
      <c r="G59" s="4" t="s">
        <v>2183</v>
      </c>
      <c r="H59" s="4" t="s">
        <v>2184</v>
      </c>
      <c r="I59" s="4">
        <v>0</v>
      </c>
      <c r="J59" s="4">
        <v>480.57</v>
      </c>
      <c r="K59" s="4">
        <f t="shared" si="1"/>
        <v>61.680000000000007</v>
      </c>
      <c r="L59" s="4">
        <f t="shared" si="2"/>
        <v>65.28</v>
      </c>
      <c r="M59" s="4">
        <f t="shared" si="3"/>
        <v>-3.5999999999999943</v>
      </c>
      <c r="N59" s="4">
        <v>6.98</v>
      </c>
      <c r="O59" s="4">
        <v>81.790000000000006</v>
      </c>
      <c r="P59" s="4">
        <v>94</v>
      </c>
      <c r="Q59" s="4">
        <v>19.5</v>
      </c>
      <c r="R59" s="4">
        <v>9.1999999999999993</v>
      </c>
      <c r="S59" s="4">
        <v>18.77</v>
      </c>
      <c r="T59" s="4">
        <v>3.46</v>
      </c>
      <c r="U59" s="4">
        <v>11.36</v>
      </c>
      <c r="V59" s="4">
        <v>3493.12</v>
      </c>
      <c r="W59" s="4">
        <v>1047.97</v>
      </c>
      <c r="X59" s="4">
        <v>1371.03</v>
      </c>
      <c r="Y59" s="4">
        <v>770.74</v>
      </c>
      <c r="Z59" s="4">
        <v>5.67</v>
      </c>
      <c r="AA59" s="4">
        <v>1.63</v>
      </c>
      <c r="AB59" s="4">
        <v>4.3099999999999996</v>
      </c>
      <c r="AC59" s="4">
        <v>72.67</v>
      </c>
      <c r="AD59" s="4">
        <v>680</v>
      </c>
      <c r="AE59" s="4">
        <v>5900</v>
      </c>
      <c r="AF59" s="4">
        <v>83.05</v>
      </c>
      <c r="AG59" s="4">
        <v>0.59</v>
      </c>
      <c r="AH59" s="4">
        <v>8.02</v>
      </c>
      <c r="AI59" s="4">
        <v>43.31</v>
      </c>
      <c r="AJ59" s="4">
        <v>60</v>
      </c>
      <c r="AK59" s="4">
        <v>9</v>
      </c>
      <c r="AL59" s="4">
        <v>9</v>
      </c>
      <c r="AM59" s="4">
        <v>0.73</v>
      </c>
      <c r="AN59" s="4">
        <v>408</v>
      </c>
      <c r="AO59" s="4">
        <v>414.53</v>
      </c>
      <c r="AP59" s="4">
        <v>526491.63</v>
      </c>
      <c r="AQ59" s="4">
        <v>168846.85</v>
      </c>
      <c r="AR59" s="4" t="s">
        <v>298</v>
      </c>
      <c r="AS59" s="5">
        <f t="shared" si="0"/>
        <v>20.41351484018265</v>
      </c>
    </row>
    <row r="60" spans="1:45" ht="14.25" customHeight="1" x14ac:dyDescent="0.55000000000000004">
      <c r="A60" s="4">
        <v>22.7</v>
      </c>
      <c r="B60" s="4">
        <v>31.91</v>
      </c>
      <c r="C60" s="4">
        <v>5544.1</v>
      </c>
      <c r="D60" s="4">
        <v>7.59</v>
      </c>
      <c r="E60" s="4" t="s">
        <v>2185</v>
      </c>
      <c r="F60" s="4" t="s">
        <v>2186</v>
      </c>
      <c r="G60" s="4" t="s">
        <v>2122</v>
      </c>
      <c r="H60" s="4" t="s">
        <v>2187</v>
      </c>
      <c r="I60" s="4">
        <v>0</v>
      </c>
      <c r="J60" s="4">
        <v>835.44</v>
      </c>
      <c r="K60" s="4">
        <f t="shared" si="1"/>
        <v>71.830000000000013</v>
      </c>
      <c r="L60" s="4">
        <f t="shared" si="2"/>
        <v>69.099999999999994</v>
      </c>
      <c r="M60" s="4">
        <f t="shared" si="3"/>
        <v>2.7300000000000182</v>
      </c>
      <c r="N60" s="4">
        <v>7.31</v>
      </c>
      <c r="O60" s="4">
        <v>81.77</v>
      </c>
      <c r="P60" s="4">
        <v>84</v>
      </c>
      <c r="Q60" s="4">
        <v>20.7</v>
      </c>
      <c r="R60" s="4">
        <v>9.2200000000000006</v>
      </c>
      <c r="S60" s="4">
        <v>18.71</v>
      </c>
      <c r="T60" s="4">
        <v>3.99</v>
      </c>
      <c r="U60" s="4">
        <v>6.64</v>
      </c>
      <c r="V60" s="4">
        <v>3548.22</v>
      </c>
      <c r="W60" s="4">
        <v>1054.04</v>
      </c>
      <c r="X60" s="4">
        <v>1236.32</v>
      </c>
      <c r="Y60" s="4">
        <v>749.89</v>
      </c>
      <c r="Z60" s="4">
        <v>9.8800000000000008</v>
      </c>
      <c r="AA60" s="4">
        <v>1.62</v>
      </c>
      <c r="AB60" s="4">
        <v>4.3499999999999996</v>
      </c>
      <c r="AC60" s="4">
        <v>69.78</v>
      </c>
      <c r="AD60" s="4">
        <v>680</v>
      </c>
      <c r="AE60" s="4">
        <v>5900</v>
      </c>
      <c r="AF60" s="4">
        <v>83.19</v>
      </c>
      <c r="AG60" s="4">
        <v>0.59</v>
      </c>
      <c r="AH60" s="4">
        <v>14.76</v>
      </c>
      <c r="AI60" s="4">
        <v>64.790000000000006</v>
      </c>
      <c r="AJ60" s="4">
        <v>60</v>
      </c>
      <c r="AK60" s="4">
        <v>9</v>
      </c>
      <c r="AL60" s="4">
        <v>9</v>
      </c>
      <c r="AM60" s="4">
        <v>0.48</v>
      </c>
      <c r="AN60" s="4">
        <v>408</v>
      </c>
      <c r="AO60" s="4">
        <v>412.36</v>
      </c>
      <c r="AP60" s="4">
        <v>449340.26</v>
      </c>
      <c r="AQ60" s="4">
        <v>387422.81</v>
      </c>
      <c r="AR60" s="4" t="s">
        <v>303</v>
      </c>
      <c r="AS60" s="5">
        <f t="shared" si="0"/>
        <v>3.5341010273972611</v>
      </c>
    </row>
    <row r="61" spans="1:45" ht="14.25" customHeight="1" x14ac:dyDescent="0.55000000000000004">
      <c r="A61" s="4">
        <v>21.75</v>
      </c>
      <c r="B61" s="4">
        <v>31.05</v>
      </c>
      <c r="C61" s="4">
        <v>5376</v>
      </c>
      <c r="D61" s="4">
        <v>7.59</v>
      </c>
      <c r="E61" s="4" t="s">
        <v>2188</v>
      </c>
      <c r="F61" s="4" t="s">
        <v>2189</v>
      </c>
      <c r="G61" s="4" t="s">
        <v>2118</v>
      </c>
      <c r="H61" s="4" t="s">
        <v>2190</v>
      </c>
      <c r="I61" s="4">
        <v>0</v>
      </c>
      <c r="J61" s="4">
        <v>397.73</v>
      </c>
      <c r="K61" s="4">
        <f t="shared" si="1"/>
        <v>57.41</v>
      </c>
      <c r="L61" s="4">
        <f t="shared" si="2"/>
        <v>66.490000000000009</v>
      </c>
      <c r="M61" s="4">
        <f t="shared" si="3"/>
        <v>-9.0800000000000125</v>
      </c>
      <c r="N61" s="4">
        <v>6.92</v>
      </c>
      <c r="O61" s="4">
        <v>82.01</v>
      </c>
      <c r="P61" s="4">
        <v>97</v>
      </c>
      <c r="Q61" s="4">
        <v>17.7</v>
      </c>
      <c r="R61" s="4">
        <v>9.3000000000000007</v>
      </c>
      <c r="S61" s="4">
        <v>17.34</v>
      </c>
      <c r="T61" s="4">
        <v>4.41</v>
      </c>
      <c r="U61" s="4">
        <v>13.52</v>
      </c>
      <c r="V61" s="4">
        <v>3440.64</v>
      </c>
      <c r="W61" s="4">
        <v>1039.8499999999999</v>
      </c>
      <c r="X61" s="4">
        <v>1444</v>
      </c>
      <c r="Y61" s="4">
        <v>781.02</v>
      </c>
      <c r="Z61" s="4">
        <v>5.18</v>
      </c>
      <c r="AA61" s="4">
        <v>1.66</v>
      </c>
      <c r="AB61" s="4">
        <v>4.2699999999999996</v>
      </c>
      <c r="AC61" s="4">
        <v>67.83</v>
      </c>
      <c r="AD61" s="4">
        <v>680</v>
      </c>
      <c r="AE61" s="4">
        <v>5900</v>
      </c>
      <c r="AF61" s="4">
        <v>83.96</v>
      </c>
      <c r="AG61" s="4">
        <v>0.59</v>
      </c>
      <c r="AH61" s="4">
        <v>6.71</v>
      </c>
      <c r="AI61" s="4">
        <v>42.52</v>
      </c>
      <c r="AJ61" s="4">
        <v>60</v>
      </c>
      <c r="AK61" s="4">
        <v>9</v>
      </c>
      <c r="AL61" s="4">
        <v>9</v>
      </c>
      <c r="AM61" s="4">
        <v>0.74</v>
      </c>
      <c r="AN61" s="4">
        <v>408</v>
      </c>
      <c r="AO61" s="4">
        <v>414.65</v>
      </c>
      <c r="AP61" s="4">
        <v>469288.05</v>
      </c>
      <c r="AQ61" s="4">
        <v>172327.47</v>
      </c>
      <c r="AR61" s="4" t="s">
        <v>1347</v>
      </c>
      <c r="AS61" s="5">
        <f t="shared" si="0"/>
        <v>16.949804794520546</v>
      </c>
    </row>
    <row r="62" spans="1:45" ht="14.25" customHeight="1" x14ac:dyDescent="0.55000000000000004">
      <c r="A62" s="4">
        <v>22.8</v>
      </c>
      <c r="B62" s="4">
        <v>31.97</v>
      </c>
      <c r="C62" s="4">
        <v>5549.4</v>
      </c>
      <c r="D62" s="4">
        <v>7.61</v>
      </c>
      <c r="E62" s="4" t="s">
        <v>2191</v>
      </c>
      <c r="F62" s="4" t="s">
        <v>2192</v>
      </c>
      <c r="G62" s="4" t="s">
        <v>2158</v>
      </c>
      <c r="H62" s="4" t="s">
        <v>2193</v>
      </c>
      <c r="I62" s="4">
        <v>0</v>
      </c>
      <c r="J62" s="4">
        <v>741.64</v>
      </c>
      <c r="K62" s="4">
        <f t="shared" si="1"/>
        <v>63.449999999999996</v>
      </c>
      <c r="L62" s="4">
        <f t="shared" si="2"/>
        <v>63.449999999999996</v>
      </c>
      <c r="M62" s="4">
        <f t="shared" si="3"/>
        <v>0</v>
      </c>
      <c r="N62" s="4">
        <v>7.24</v>
      </c>
      <c r="O62" s="4">
        <v>81.91</v>
      </c>
      <c r="P62" s="4">
        <v>77</v>
      </c>
      <c r="Q62" s="4">
        <v>21.2</v>
      </c>
      <c r="R62" s="4">
        <v>9.16</v>
      </c>
      <c r="S62" s="4">
        <v>18.3</v>
      </c>
      <c r="T62" s="4">
        <v>4.5</v>
      </c>
      <c r="U62" s="4">
        <v>7.48</v>
      </c>
      <c r="V62" s="4">
        <v>3551.62</v>
      </c>
      <c r="W62" s="4">
        <v>1058.6600000000001</v>
      </c>
      <c r="X62" s="4">
        <v>1277.55</v>
      </c>
      <c r="Y62" s="4">
        <v>760.51</v>
      </c>
      <c r="Z62" s="4">
        <v>12.5</v>
      </c>
      <c r="AA62" s="4">
        <v>1.66</v>
      </c>
      <c r="AB62" s="4">
        <v>4.3</v>
      </c>
      <c r="AC62" s="4">
        <v>67.05</v>
      </c>
      <c r="AD62" s="4">
        <v>680</v>
      </c>
      <c r="AE62" s="4">
        <v>5900</v>
      </c>
      <c r="AF62" s="4">
        <v>82.73</v>
      </c>
      <c r="AG62" s="4">
        <v>0.59</v>
      </c>
      <c r="AH62" s="4">
        <v>12.76</v>
      </c>
      <c r="AI62" s="4">
        <v>92.79</v>
      </c>
      <c r="AJ62" s="4">
        <v>60</v>
      </c>
      <c r="AK62" s="4">
        <v>9</v>
      </c>
      <c r="AL62" s="4">
        <v>9</v>
      </c>
      <c r="AM62" s="4">
        <v>0.34</v>
      </c>
      <c r="AN62" s="4">
        <v>408</v>
      </c>
      <c r="AO62" s="4">
        <v>411.05</v>
      </c>
      <c r="AP62" s="4">
        <v>392944.26</v>
      </c>
      <c r="AQ62" s="4">
        <v>392944.26</v>
      </c>
      <c r="AR62" s="4" t="s">
        <v>307</v>
      </c>
      <c r="AS62" s="5">
        <f t="shared" si="0"/>
        <v>0</v>
      </c>
    </row>
    <row r="63" spans="1:45" ht="14.25" customHeight="1" x14ac:dyDescent="0.55000000000000004">
      <c r="A63" s="4">
        <v>22.75</v>
      </c>
      <c r="B63" s="4">
        <v>32.03</v>
      </c>
      <c r="C63" s="4">
        <v>5518.1</v>
      </c>
      <c r="D63" s="4">
        <v>7.6</v>
      </c>
      <c r="E63" s="4" t="s">
        <v>2194</v>
      </c>
      <c r="F63" s="4" t="s">
        <v>2195</v>
      </c>
      <c r="G63" s="4" t="s">
        <v>538</v>
      </c>
      <c r="H63" s="4" t="s">
        <v>2196</v>
      </c>
      <c r="I63" s="4">
        <v>0</v>
      </c>
      <c r="J63" s="4">
        <v>721.22</v>
      </c>
      <c r="K63" s="4">
        <f t="shared" si="1"/>
        <v>61.739999999999995</v>
      </c>
      <c r="L63" s="4">
        <f t="shared" si="2"/>
        <v>65.47</v>
      </c>
      <c r="M63" s="4">
        <f t="shared" si="3"/>
        <v>-3.730000000000004</v>
      </c>
      <c r="N63" s="4">
        <v>7.22</v>
      </c>
      <c r="O63" s="4">
        <v>81.98</v>
      </c>
      <c r="P63" s="4">
        <v>61</v>
      </c>
      <c r="Q63" s="4">
        <v>23</v>
      </c>
      <c r="R63" s="4">
        <v>9.2799999999999994</v>
      </c>
      <c r="S63" s="4">
        <v>17.84</v>
      </c>
      <c r="T63" s="4">
        <v>4.91</v>
      </c>
      <c r="U63" s="4">
        <v>7.65</v>
      </c>
      <c r="V63" s="4">
        <v>3531.58</v>
      </c>
      <c r="W63" s="4">
        <v>1053.58</v>
      </c>
      <c r="X63" s="4">
        <v>1280.27</v>
      </c>
      <c r="Y63" s="4">
        <v>758.67</v>
      </c>
      <c r="Z63" s="4">
        <v>8.49</v>
      </c>
      <c r="AA63" s="4">
        <v>1.64</v>
      </c>
      <c r="AB63" s="4">
        <v>4.3099999999999996</v>
      </c>
      <c r="AC63" s="4">
        <v>65.400000000000006</v>
      </c>
      <c r="AD63" s="4">
        <v>680</v>
      </c>
      <c r="AE63" s="4">
        <v>5900</v>
      </c>
      <c r="AF63" s="4">
        <v>83.73</v>
      </c>
      <c r="AG63" s="4">
        <v>0.59</v>
      </c>
      <c r="AH63" s="4">
        <v>12.59</v>
      </c>
      <c r="AI63" s="4">
        <v>64.78</v>
      </c>
      <c r="AJ63" s="4">
        <v>60</v>
      </c>
      <c r="AK63" s="4">
        <v>9</v>
      </c>
      <c r="AL63" s="4">
        <v>9</v>
      </c>
      <c r="AM63" s="4">
        <v>0.48</v>
      </c>
      <c r="AN63" s="4">
        <v>408</v>
      </c>
      <c r="AO63" s="4">
        <v>412.36</v>
      </c>
      <c r="AP63" s="4">
        <v>375444.59</v>
      </c>
      <c r="AQ63" s="4">
        <v>343472.77</v>
      </c>
      <c r="AR63" s="4" t="s">
        <v>312</v>
      </c>
      <c r="AS63" s="5">
        <f t="shared" si="0"/>
        <v>1.8248755707762561</v>
      </c>
    </row>
    <row r="64" spans="1:45" ht="14.25" customHeight="1" x14ac:dyDescent="0.55000000000000004">
      <c r="A64" s="4">
        <v>22.71</v>
      </c>
      <c r="B64" s="4">
        <v>31.97</v>
      </c>
      <c r="C64" s="4">
        <v>5529.8</v>
      </c>
      <c r="D64" s="4">
        <v>7.6</v>
      </c>
      <c r="E64" s="4" t="s">
        <v>2197</v>
      </c>
      <c r="F64" s="4" t="s">
        <v>2198</v>
      </c>
      <c r="G64" s="4" t="s">
        <v>2199</v>
      </c>
      <c r="H64" s="4" t="s">
        <v>2200</v>
      </c>
      <c r="I64" s="4">
        <v>0</v>
      </c>
      <c r="J64" s="4">
        <v>711.81</v>
      </c>
      <c r="K64" s="4">
        <f t="shared" si="1"/>
        <v>61.099999999999994</v>
      </c>
      <c r="L64" s="4">
        <f t="shared" si="2"/>
        <v>61.099999999999994</v>
      </c>
      <c r="M64" s="4">
        <f t="shared" si="3"/>
        <v>0</v>
      </c>
      <c r="N64" s="4">
        <v>7.23</v>
      </c>
      <c r="O64" s="4">
        <v>82.07</v>
      </c>
      <c r="P64" s="4">
        <v>66</v>
      </c>
      <c r="Q64" s="4">
        <v>22.6</v>
      </c>
      <c r="R64" s="4">
        <v>9.26</v>
      </c>
      <c r="S64" s="4">
        <v>18.16</v>
      </c>
      <c r="T64" s="4">
        <v>4.54</v>
      </c>
      <c r="U64" s="4">
        <v>7.77</v>
      </c>
      <c r="V64" s="4">
        <v>3539.07</v>
      </c>
      <c r="W64" s="4">
        <v>1057.3599999999999</v>
      </c>
      <c r="X64" s="4">
        <v>1295.8499999999999</v>
      </c>
      <c r="Y64" s="4">
        <v>764.05</v>
      </c>
      <c r="Z64" s="4">
        <v>13.56</v>
      </c>
      <c r="AA64" s="4">
        <v>1.65</v>
      </c>
      <c r="AB64" s="4">
        <v>4.3</v>
      </c>
      <c r="AC64" s="4">
        <v>67.08</v>
      </c>
      <c r="AD64" s="4">
        <v>680</v>
      </c>
      <c r="AE64" s="4">
        <v>5900</v>
      </c>
      <c r="AF64" s="4">
        <v>83.59</v>
      </c>
      <c r="AG64" s="4">
        <v>0.59</v>
      </c>
      <c r="AH64" s="4">
        <v>12.35</v>
      </c>
      <c r="AI64" s="4">
        <v>104.58</v>
      </c>
      <c r="AJ64" s="4">
        <v>60</v>
      </c>
      <c r="AK64" s="4">
        <v>9</v>
      </c>
      <c r="AL64" s="4">
        <v>9</v>
      </c>
      <c r="AM64" s="4">
        <v>0.3</v>
      </c>
      <c r="AN64" s="4">
        <v>408</v>
      </c>
      <c r="AO64" s="4">
        <v>410.7</v>
      </c>
      <c r="AP64" s="4">
        <v>380576.49</v>
      </c>
      <c r="AQ64" s="4">
        <v>380576.49</v>
      </c>
      <c r="AR64" s="4" t="s">
        <v>317</v>
      </c>
      <c r="AS64" s="5">
        <f t="shared" si="0"/>
        <v>0</v>
      </c>
    </row>
    <row r="65" spans="1:45" ht="14.25" customHeight="1" x14ac:dyDescent="0.55000000000000004">
      <c r="A65" s="4">
        <v>22.91</v>
      </c>
      <c r="B65" s="4">
        <v>32.18</v>
      </c>
      <c r="C65" s="4">
        <v>5488.5</v>
      </c>
      <c r="D65" s="4">
        <v>7.61</v>
      </c>
      <c r="E65" s="4" t="s">
        <v>2201</v>
      </c>
      <c r="F65" s="4" t="s">
        <v>2202</v>
      </c>
      <c r="G65" s="4" t="s">
        <v>587</v>
      </c>
      <c r="H65" s="4" t="s">
        <v>2203</v>
      </c>
      <c r="I65" s="4">
        <v>0</v>
      </c>
      <c r="J65" s="4">
        <v>760.62</v>
      </c>
      <c r="K65" s="4">
        <f t="shared" si="1"/>
        <v>65</v>
      </c>
      <c r="L65" s="4">
        <f t="shared" si="2"/>
        <v>66.069999999999993</v>
      </c>
      <c r="M65" s="4">
        <f t="shared" si="3"/>
        <v>-1.0699999999999932</v>
      </c>
      <c r="N65" s="4">
        <v>7.25</v>
      </c>
      <c r="O65" s="4">
        <v>82.04</v>
      </c>
      <c r="P65" s="4">
        <v>84</v>
      </c>
      <c r="Q65" s="4">
        <v>20.9</v>
      </c>
      <c r="R65" s="4">
        <v>9.27</v>
      </c>
      <c r="S65" s="4">
        <v>18.899999999999999</v>
      </c>
      <c r="T65" s="4">
        <v>4.01</v>
      </c>
      <c r="U65" s="4">
        <v>7.22</v>
      </c>
      <c r="V65" s="4">
        <v>3512.64</v>
      </c>
      <c r="W65" s="4">
        <v>1046.01</v>
      </c>
      <c r="X65" s="4">
        <v>1253.03</v>
      </c>
      <c r="Y65" s="4">
        <v>749.44</v>
      </c>
      <c r="Z65" s="4">
        <v>5.9</v>
      </c>
      <c r="AA65" s="4">
        <v>1.64</v>
      </c>
      <c r="AB65" s="4">
        <v>4.32</v>
      </c>
      <c r="AC65" s="4">
        <v>69.78</v>
      </c>
      <c r="AD65" s="4">
        <v>680</v>
      </c>
      <c r="AE65" s="4">
        <v>5900</v>
      </c>
      <c r="AF65" s="4">
        <v>83.64</v>
      </c>
      <c r="AG65" s="4">
        <v>0.59</v>
      </c>
      <c r="AH65" s="4">
        <v>13.46</v>
      </c>
      <c r="AI65" s="4">
        <v>42.79</v>
      </c>
      <c r="AJ65" s="4">
        <v>60</v>
      </c>
      <c r="AK65" s="4">
        <v>9</v>
      </c>
      <c r="AL65" s="4">
        <v>9</v>
      </c>
      <c r="AM65" s="4">
        <v>0.73</v>
      </c>
      <c r="AN65" s="4">
        <v>408</v>
      </c>
      <c r="AO65" s="4">
        <v>414.61</v>
      </c>
      <c r="AP65" s="4">
        <v>444692.95</v>
      </c>
      <c r="AQ65" s="4">
        <v>171541.36</v>
      </c>
      <c r="AR65" s="4" t="s">
        <v>322</v>
      </c>
      <c r="AS65" s="5">
        <f t="shared" si="0"/>
        <v>15.590844178082193</v>
      </c>
    </row>
    <row r="66" spans="1:45" ht="14.25" customHeight="1" x14ac:dyDescent="0.55000000000000004">
      <c r="A66" s="4">
        <v>22.61</v>
      </c>
      <c r="B66" s="4">
        <v>31.85</v>
      </c>
      <c r="C66" s="4">
        <v>5407.2</v>
      </c>
      <c r="D66" s="4">
        <v>7.6</v>
      </c>
      <c r="E66" s="4" t="s">
        <v>2204</v>
      </c>
      <c r="F66" s="4" t="s">
        <v>2205</v>
      </c>
      <c r="G66" s="4" t="s">
        <v>234</v>
      </c>
      <c r="H66" s="4" t="s">
        <v>2206</v>
      </c>
      <c r="I66" s="4">
        <v>0</v>
      </c>
      <c r="J66" s="4">
        <v>462.03</v>
      </c>
      <c r="K66" s="4">
        <f t="shared" si="1"/>
        <v>60.46</v>
      </c>
      <c r="L66" s="4">
        <f t="shared" si="2"/>
        <v>66.2</v>
      </c>
      <c r="M66" s="4">
        <f t="shared" si="3"/>
        <v>-5.740000000000002</v>
      </c>
      <c r="N66" s="4">
        <v>6.96</v>
      </c>
      <c r="O66" s="4">
        <v>82.1</v>
      </c>
      <c r="P66" s="4">
        <v>91</v>
      </c>
      <c r="Q66" s="4">
        <v>19.600000000000001</v>
      </c>
      <c r="R66" s="4">
        <v>9.24</v>
      </c>
      <c r="S66" s="4">
        <v>18.5</v>
      </c>
      <c r="T66" s="4">
        <v>4.1100000000000003</v>
      </c>
      <c r="U66" s="4">
        <v>11.7</v>
      </c>
      <c r="V66" s="4">
        <v>3460.61</v>
      </c>
      <c r="W66" s="4">
        <v>1039.1199999999999</v>
      </c>
      <c r="X66" s="4">
        <v>1372.21</v>
      </c>
      <c r="Y66" s="4">
        <v>766.46</v>
      </c>
      <c r="Z66" s="4">
        <v>5.48</v>
      </c>
      <c r="AA66" s="4">
        <v>1.67</v>
      </c>
      <c r="AB66" s="4">
        <v>4.2699999999999996</v>
      </c>
      <c r="AC66" s="4">
        <v>69.209999999999994</v>
      </c>
      <c r="AD66" s="4">
        <v>680</v>
      </c>
      <c r="AE66" s="4">
        <v>5900</v>
      </c>
      <c r="AF66" s="4">
        <v>83.41</v>
      </c>
      <c r="AG66" s="4">
        <v>0.59</v>
      </c>
      <c r="AH66" s="4">
        <v>7.79</v>
      </c>
      <c r="AI66" s="4">
        <v>42.71</v>
      </c>
      <c r="AJ66" s="4">
        <v>60</v>
      </c>
      <c r="AK66" s="4">
        <v>9</v>
      </c>
      <c r="AL66" s="4">
        <v>9</v>
      </c>
      <c r="AM66" s="4">
        <v>0.74</v>
      </c>
      <c r="AN66" s="4">
        <v>408</v>
      </c>
      <c r="AO66" s="4">
        <v>414.62</v>
      </c>
      <c r="AP66" s="4">
        <v>505241.09</v>
      </c>
      <c r="AQ66" s="4">
        <v>174721.72</v>
      </c>
      <c r="AR66" s="4" t="s">
        <v>327</v>
      </c>
      <c r="AS66" s="5">
        <f t="shared" si="0"/>
        <v>18.865260844748857</v>
      </c>
    </row>
    <row r="67" spans="1:45" ht="14.25" customHeight="1" x14ac:dyDescent="0.55000000000000004">
      <c r="A67" s="4">
        <v>22.73</v>
      </c>
      <c r="B67" s="4">
        <v>32.01</v>
      </c>
      <c r="C67" s="4">
        <v>5506.9</v>
      </c>
      <c r="D67" s="4">
        <v>7.61</v>
      </c>
      <c r="E67" s="4" t="s">
        <v>2207</v>
      </c>
      <c r="F67" s="4" t="s">
        <v>2208</v>
      </c>
      <c r="G67" s="4" t="s">
        <v>2209</v>
      </c>
      <c r="H67" s="4" t="s">
        <v>2210</v>
      </c>
      <c r="I67" s="4">
        <v>0</v>
      </c>
      <c r="J67" s="4">
        <v>714.91</v>
      </c>
      <c r="K67" s="4">
        <f t="shared" ref="K67:K130" si="4">IF(E67=0,0,
VALUE(MID(E67,2,FIND(",",E67)-2))+
VALUE(MID(F67,2,FIND(",",F67)-2))+
VALUE(MID(G67,2,FIND(",",G67)-2))
)</f>
        <v>61.53</v>
      </c>
      <c r="L67" s="4">
        <f t="shared" ref="L67:L130" si="5">IF(E67=0,0,
VALUE(MID(E67,FIND(",",E67)+1,FIND("]",E67)-FIND(",",E67)-1))+
VALUE(MID(F67,FIND(",",F67)+1,FIND("]",F67)-FIND(",",F67)-1))+
VALUE(MID(G67,FIND(",",G67)+1,FIND("]",G67)-FIND(",",G67)-1))
)</f>
        <v>67.89</v>
      </c>
      <c r="M67" s="4">
        <f t="shared" ref="M67:M130" si="6">(K67-L67)</f>
        <v>-6.3599999999999994</v>
      </c>
      <c r="N67" s="4">
        <v>7.22</v>
      </c>
      <c r="O67" s="4">
        <v>82.12</v>
      </c>
      <c r="P67" s="4">
        <v>62</v>
      </c>
      <c r="Q67" s="4">
        <v>23.3</v>
      </c>
      <c r="R67" s="4">
        <v>9.2799999999999994</v>
      </c>
      <c r="S67" s="4">
        <v>18.25</v>
      </c>
      <c r="T67" s="4">
        <v>4.4800000000000004</v>
      </c>
      <c r="U67" s="4">
        <v>7.7</v>
      </c>
      <c r="V67" s="4">
        <v>3524.42</v>
      </c>
      <c r="W67" s="4">
        <v>1051.52</v>
      </c>
      <c r="X67" s="4">
        <v>1279.3499999999999</v>
      </c>
      <c r="Y67" s="4">
        <v>757.43</v>
      </c>
      <c r="Z67" s="4">
        <v>6.35</v>
      </c>
      <c r="AA67" s="4">
        <v>1.65</v>
      </c>
      <c r="AB67" s="4">
        <v>4.3099999999999996</v>
      </c>
      <c r="AC67" s="4">
        <v>67.47</v>
      </c>
      <c r="AD67" s="4">
        <v>680</v>
      </c>
      <c r="AE67" s="4">
        <v>5900</v>
      </c>
      <c r="AF67" s="4">
        <v>83.79</v>
      </c>
      <c r="AG67" s="4">
        <v>0.59</v>
      </c>
      <c r="AH67" s="4">
        <v>12.5</v>
      </c>
      <c r="AI67" s="4">
        <v>48.59</v>
      </c>
      <c r="AJ67" s="4">
        <v>60</v>
      </c>
      <c r="AK67" s="4">
        <v>9</v>
      </c>
      <c r="AL67" s="4">
        <v>9</v>
      </c>
      <c r="AM67" s="4">
        <v>0.65</v>
      </c>
      <c r="AN67" s="4">
        <v>408</v>
      </c>
      <c r="AO67" s="4">
        <v>413.82</v>
      </c>
      <c r="AP67" s="4">
        <v>375346.5</v>
      </c>
      <c r="AQ67" s="4">
        <v>257281.17</v>
      </c>
      <c r="AR67" s="4" t="s">
        <v>331</v>
      </c>
      <c r="AS67" s="5">
        <f t="shared" si="0"/>
        <v>6.7388886986301362</v>
      </c>
    </row>
    <row r="68" spans="1:45" ht="14.25" customHeight="1" x14ac:dyDescent="0.55000000000000004">
      <c r="A68" s="4">
        <v>22.8</v>
      </c>
      <c r="B68" s="4">
        <v>31.88</v>
      </c>
      <c r="C68" s="4">
        <v>5583.3</v>
      </c>
      <c r="D68" s="4">
        <v>7.59</v>
      </c>
      <c r="E68" s="4" t="s">
        <v>2211</v>
      </c>
      <c r="F68" s="4" t="s">
        <v>2212</v>
      </c>
      <c r="G68" s="4" t="s">
        <v>2118</v>
      </c>
      <c r="H68" s="4" t="s">
        <v>2213</v>
      </c>
      <c r="I68" s="4">
        <v>0</v>
      </c>
      <c r="J68" s="4">
        <v>732.63</v>
      </c>
      <c r="K68" s="4">
        <f t="shared" si="4"/>
        <v>62.57</v>
      </c>
      <c r="L68" s="4">
        <f t="shared" si="5"/>
        <v>65.97</v>
      </c>
      <c r="M68" s="4">
        <f t="shared" si="6"/>
        <v>-3.3999999999999986</v>
      </c>
      <c r="N68" s="4">
        <v>7.23</v>
      </c>
      <c r="O68" s="4">
        <v>81.86</v>
      </c>
      <c r="P68" s="4">
        <v>84</v>
      </c>
      <c r="Q68" s="4">
        <v>20.5</v>
      </c>
      <c r="R68" s="4">
        <v>9.08</v>
      </c>
      <c r="S68" s="4">
        <v>18.510000000000002</v>
      </c>
      <c r="T68" s="4">
        <v>4.29</v>
      </c>
      <c r="U68" s="4">
        <v>7.62</v>
      </c>
      <c r="V68" s="4">
        <v>3573.31</v>
      </c>
      <c r="W68" s="4">
        <v>1065.5899999999999</v>
      </c>
      <c r="X68" s="4">
        <v>1290.2</v>
      </c>
      <c r="Y68" s="4">
        <v>766.39</v>
      </c>
      <c r="Z68" s="4">
        <v>5.69</v>
      </c>
      <c r="AA68" s="4">
        <v>1.65</v>
      </c>
      <c r="AB68" s="4">
        <v>4.3</v>
      </c>
      <c r="AC68" s="4">
        <v>67.92</v>
      </c>
      <c r="AD68" s="4">
        <v>680</v>
      </c>
      <c r="AE68" s="4">
        <v>5900</v>
      </c>
      <c r="AF68" s="4">
        <v>81.98</v>
      </c>
      <c r="AG68" s="4">
        <v>0.59</v>
      </c>
      <c r="AH68" s="4">
        <v>12.38</v>
      </c>
      <c r="AI68" s="4">
        <v>42.86</v>
      </c>
      <c r="AJ68" s="4">
        <v>60</v>
      </c>
      <c r="AK68" s="4">
        <v>9</v>
      </c>
      <c r="AL68" s="4">
        <v>9</v>
      </c>
      <c r="AM68" s="4">
        <v>0.73</v>
      </c>
      <c r="AN68" s="4">
        <v>408</v>
      </c>
      <c r="AO68" s="4">
        <v>414.6</v>
      </c>
      <c r="AP68" s="4">
        <v>416779.6</v>
      </c>
      <c r="AQ68" s="4">
        <v>170050.59</v>
      </c>
      <c r="AR68" s="4" t="s">
        <v>335</v>
      </c>
      <c r="AS68" s="5">
        <f t="shared" si="0"/>
        <v>14.082706050228309</v>
      </c>
    </row>
    <row r="69" spans="1:45" ht="14.25" customHeight="1" x14ac:dyDescent="0.55000000000000004">
      <c r="A69" s="4">
        <v>22.68</v>
      </c>
      <c r="B69" s="4">
        <v>31.68</v>
      </c>
      <c r="C69" s="4">
        <v>5595.7</v>
      </c>
      <c r="D69" s="4">
        <v>7.6</v>
      </c>
      <c r="E69" s="4" t="s">
        <v>2214</v>
      </c>
      <c r="F69" s="4" t="s">
        <v>2215</v>
      </c>
      <c r="G69" s="4" t="s">
        <v>515</v>
      </c>
      <c r="H69" s="4" t="s">
        <v>2216</v>
      </c>
      <c r="I69" s="4">
        <v>0</v>
      </c>
      <c r="J69" s="4">
        <v>653.54999999999995</v>
      </c>
      <c r="K69" s="4">
        <f t="shared" si="4"/>
        <v>56.96</v>
      </c>
      <c r="L69" s="4">
        <f t="shared" si="5"/>
        <v>59.999999999999993</v>
      </c>
      <c r="M69" s="4">
        <f t="shared" si="6"/>
        <v>-3.039999999999992</v>
      </c>
      <c r="N69" s="4">
        <v>7.18</v>
      </c>
      <c r="O69" s="4">
        <v>81.849999999999994</v>
      </c>
      <c r="P69" s="4">
        <v>89</v>
      </c>
      <c r="Q69" s="4">
        <v>19.399999999999999</v>
      </c>
      <c r="R69" s="4">
        <v>9</v>
      </c>
      <c r="S69" s="4">
        <v>18.059999999999999</v>
      </c>
      <c r="T69" s="4">
        <v>4.63</v>
      </c>
      <c r="U69" s="4">
        <v>8.56</v>
      </c>
      <c r="V69" s="4">
        <v>3581.25</v>
      </c>
      <c r="W69" s="4">
        <v>1072.42</v>
      </c>
      <c r="X69" s="4">
        <v>1340.69</v>
      </c>
      <c r="Y69" s="4">
        <v>780.13</v>
      </c>
      <c r="Z69" s="4">
        <v>6.17</v>
      </c>
      <c r="AA69" s="4">
        <v>1.67</v>
      </c>
      <c r="AB69" s="4">
        <v>4.26</v>
      </c>
      <c r="AC69" s="4">
        <v>66.05</v>
      </c>
      <c r="AD69" s="4">
        <v>680</v>
      </c>
      <c r="AE69" s="4">
        <v>5900</v>
      </c>
      <c r="AF69" s="4">
        <v>81.25</v>
      </c>
      <c r="AG69" s="4">
        <v>0.59</v>
      </c>
      <c r="AH69" s="4">
        <v>10.74</v>
      </c>
      <c r="AI69" s="4">
        <v>51.05</v>
      </c>
      <c r="AJ69" s="4">
        <v>60</v>
      </c>
      <c r="AK69" s="4">
        <v>9</v>
      </c>
      <c r="AL69" s="4">
        <v>9</v>
      </c>
      <c r="AM69" s="4">
        <v>0.62</v>
      </c>
      <c r="AN69" s="4">
        <v>408</v>
      </c>
      <c r="AO69" s="4">
        <v>413.54</v>
      </c>
      <c r="AP69" s="4">
        <v>396466.1</v>
      </c>
      <c r="AQ69" s="4">
        <v>179449.06</v>
      </c>
      <c r="AR69" s="4" t="s">
        <v>340</v>
      </c>
      <c r="AS69" s="5">
        <f t="shared" si="0"/>
        <v>12.386817351598172</v>
      </c>
    </row>
    <row r="70" spans="1:45" ht="14.25" customHeight="1" x14ac:dyDescent="0.55000000000000004">
      <c r="A70" s="4">
        <v>22.39</v>
      </c>
      <c r="B70" s="4">
        <v>31.69</v>
      </c>
      <c r="C70" s="4">
        <v>5390.2</v>
      </c>
      <c r="D70" s="4">
        <v>7.58</v>
      </c>
      <c r="E70" s="4" t="s">
        <v>2217</v>
      </c>
      <c r="F70" s="4" t="s">
        <v>2218</v>
      </c>
      <c r="G70" s="4" t="s">
        <v>2021</v>
      </c>
      <c r="H70" s="4" t="s">
        <v>2219</v>
      </c>
      <c r="I70" s="4">
        <v>0</v>
      </c>
      <c r="J70" s="4">
        <v>417</v>
      </c>
      <c r="K70" s="4">
        <f t="shared" si="4"/>
        <v>58.68</v>
      </c>
      <c r="L70" s="4">
        <f t="shared" si="5"/>
        <v>59.92</v>
      </c>
      <c r="M70" s="4">
        <f t="shared" si="6"/>
        <v>-1.240000000000002</v>
      </c>
      <c r="N70" s="4">
        <v>6.94</v>
      </c>
      <c r="O70" s="4">
        <v>82.03</v>
      </c>
      <c r="P70" s="4">
        <v>92</v>
      </c>
      <c r="Q70" s="4">
        <v>19.100000000000001</v>
      </c>
      <c r="R70" s="4">
        <v>9.3000000000000007</v>
      </c>
      <c r="S70" s="4">
        <v>18.13</v>
      </c>
      <c r="T70" s="4">
        <v>4.26</v>
      </c>
      <c r="U70" s="4">
        <v>12.93</v>
      </c>
      <c r="V70" s="4">
        <v>3449.73</v>
      </c>
      <c r="W70" s="4">
        <v>1041.3499999999999</v>
      </c>
      <c r="X70" s="4">
        <v>1428.52</v>
      </c>
      <c r="Y70" s="4">
        <v>779.09</v>
      </c>
      <c r="Z70" s="4">
        <v>18.12</v>
      </c>
      <c r="AA70" s="4">
        <v>1.66</v>
      </c>
      <c r="AB70" s="4">
        <v>4.26</v>
      </c>
      <c r="AC70" s="4">
        <v>68.59</v>
      </c>
      <c r="AD70" s="4">
        <v>680</v>
      </c>
      <c r="AE70" s="4">
        <v>5900</v>
      </c>
      <c r="AF70" s="4">
        <v>83.97</v>
      </c>
      <c r="AG70" s="4">
        <v>0.59</v>
      </c>
      <c r="AH70" s="4">
        <v>7.04</v>
      </c>
      <c r="AI70" s="4">
        <v>145.49</v>
      </c>
      <c r="AJ70" s="4">
        <v>60</v>
      </c>
      <c r="AK70" s="4">
        <v>9</v>
      </c>
      <c r="AL70" s="4">
        <v>9</v>
      </c>
      <c r="AM70" s="4">
        <v>0.22</v>
      </c>
      <c r="AN70" s="4">
        <v>408</v>
      </c>
      <c r="AO70" s="4">
        <v>409.94</v>
      </c>
      <c r="AP70" s="4">
        <v>470766.43</v>
      </c>
      <c r="AQ70" s="4">
        <v>466013.05</v>
      </c>
      <c r="AR70" s="4" t="s">
        <v>345</v>
      </c>
      <c r="AS70" s="5">
        <f t="shared" si="0"/>
        <v>0.27131164383561668</v>
      </c>
    </row>
    <row r="71" spans="1:45" ht="14.25" customHeight="1" x14ac:dyDescent="0.55000000000000004">
      <c r="A71" s="4">
        <v>21.57</v>
      </c>
      <c r="B71" s="4">
        <v>30.91</v>
      </c>
      <c r="C71" s="4">
        <v>5374.2</v>
      </c>
      <c r="D71" s="4">
        <v>7.6</v>
      </c>
      <c r="E71" s="4" t="s">
        <v>2220</v>
      </c>
      <c r="F71" s="4" t="s">
        <v>2221</v>
      </c>
      <c r="G71" s="4" t="s">
        <v>2222</v>
      </c>
      <c r="H71" s="4" t="s">
        <v>412</v>
      </c>
      <c r="I71" s="4">
        <v>0</v>
      </c>
      <c r="J71" s="4">
        <v>419.56</v>
      </c>
      <c r="K71" s="4">
        <f t="shared" si="4"/>
        <v>56.98</v>
      </c>
      <c r="L71" s="4">
        <f t="shared" si="5"/>
        <v>65.98</v>
      </c>
      <c r="M71" s="4">
        <f t="shared" si="6"/>
        <v>-9.0000000000000071</v>
      </c>
      <c r="N71" s="4">
        <v>6.94</v>
      </c>
      <c r="O71" s="4">
        <v>81.98</v>
      </c>
      <c r="P71" s="4">
        <v>97</v>
      </c>
      <c r="Q71" s="4">
        <v>17.3</v>
      </c>
      <c r="R71" s="4">
        <v>9.34</v>
      </c>
      <c r="S71" s="4">
        <v>16.940000000000001</v>
      </c>
      <c r="T71" s="4">
        <v>4.63</v>
      </c>
      <c r="U71" s="4">
        <v>12.81</v>
      </c>
      <c r="V71" s="4">
        <v>3439.49</v>
      </c>
      <c r="W71" s="4">
        <v>1037.44</v>
      </c>
      <c r="X71" s="4">
        <v>1417.03</v>
      </c>
      <c r="Y71" s="4">
        <v>774.72</v>
      </c>
      <c r="Z71" s="4">
        <v>5.18</v>
      </c>
      <c r="AA71" s="4">
        <v>1.66</v>
      </c>
      <c r="AB71" s="4">
        <v>4.28</v>
      </c>
      <c r="AC71" s="4">
        <v>66.86</v>
      </c>
      <c r="AD71" s="4">
        <v>680</v>
      </c>
      <c r="AE71" s="4">
        <v>5900</v>
      </c>
      <c r="AF71" s="4">
        <v>84.31</v>
      </c>
      <c r="AG71" s="4">
        <v>0.59</v>
      </c>
      <c r="AH71" s="4">
        <v>7.14</v>
      </c>
      <c r="AI71" s="4">
        <v>42.85</v>
      </c>
      <c r="AJ71" s="4">
        <v>60</v>
      </c>
      <c r="AK71" s="4">
        <v>9</v>
      </c>
      <c r="AL71" s="4">
        <v>9</v>
      </c>
      <c r="AM71" s="4">
        <v>0.73</v>
      </c>
      <c r="AN71" s="4">
        <v>408</v>
      </c>
      <c r="AO71" s="4">
        <v>414.6</v>
      </c>
      <c r="AP71" s="4">
        <v>458097.63</v>
      </c>
      <c r="AQ71" s="4">
        <v>172948.87</v>
      </c>
      <c r="AR71" s="4" t="s">
        <v>1385</v>
      </c>
      <c r="AS71" s="5">
        <f t="shared" si="0"/>
        <v>16.275614155251141</v>
      </c>
    </row>
    <row r="72" spans="1:45" ht="14.25" customHeight="1" x14ac:dyDescent="0.55000000000000004">
      <c r="A72" s="4">
        <v>22.86</v>
      </c>
      <c r="B72" s="4">
        <v>32.11</v>
      </c>
      <c r="C72" s="4">
        <v>5469</v>
      </c>
      <c r="D72" s="4">
        <v>7.61</v>
      </c>
      <c r="E72" s="4" t="s">
        <v>2223</v>
      </c>
      <c r="F72" s="4" t="s">
        <v>2224</v>
      </c>
      <c r="G72" s="4" t="s">
        <v>2118</v>
      </c>
      <c r="H72" s="4" t="s">
        <v>2225</v>
      </c>
      <c r="I72" s="4">
        <v>0</v>
      </c>
      <c r="J72" s="4">
        <v>585.88</v>
      </c>
      <c r="K72" s="4">
        <f t="shared" si="4"/>
        <v>68.52000000000001</v>
      </c>
      <c r="L72" s="4">
        <f t="shared" si="5"/>
        <v>69.61</v>
      </c>
      <c r="M72" s="4">
        <f t="shared" si="6"/>
        <v>-1.0899999999999892</v>
      </c>
      <c r="N72" s="4">
        <v>7.07</v>
      </c>
      <c r="O72" s="4">
        <v>82.2</v>
      </c>
      <c r="P72" s="4">
        <v>83</v>
      </c>
      <c r="Q72" s="4">
        <v>20.6</v>
      </c>
      <c r="R72" s="4">
        <v>9.25</v>
      </c>
      <c r="S72" s="4">
        <v>18.48</v>
      </c>
      <c r="T72" s="4">
        <v>4.38</v>
      </c>
      <c r="U72" s="4">
        <v>9.33</v>
      </c>
      <c r="V72" s="4">
        <v>3500.16</v>
      </c>
      <c r="W72" s="4">
        <v>1044.26</v>
      </c>
      <c r="X72" s="4">
        <v>1297.98</v>
      </c>
      <c r="Y72" s="4">
        <v>755.13</v>
      </c>
      <c r="Z72" s="4">
        <v>6.4</v>
      </c>
      <c r="AA72" s="4">
        <v>1.66</v>
      </c>
      <c r="AB72" s="4">
        <v>4.29</v>
      </c>
      <c r="AC72" s="4">
        <v>67.88</v>
      </c>
      <c r="AD72" s="4">
        <v>680</v>
      </c>
      <c r="AE72" s="4">
        <v>5900</v>
      </c>
      <c r="AF72" s="4">
        <v>83.5</v>
      </c>
      <c r="AG72" s="4">
        <v>0.59</v>
      </c>
      <c r="AH72" s="4">
        <v>10.02</v>
      </c>
      <c r="AI72" s="4">
        <v>44</v>
      </c>
      <c r="AJ72" s="4">
        <v>60</v>
      </c>
      <c r="AK72" s="4">
        <v>9</v>
      </c>
      <c r="AL72" s="4">
        <v>9</v>
      </c>
      <c r="AM72" s="4">
        <v>0.71</v>
      </c>
      <c r="AN72" s="4">
        <v>408</v>
      </c>
      <c r="AO72" s="4">
        <v>414.43</v>
      </c>
      <c r="AP72" s="4">
        <v>555114.38</v>
      </c>
      <c r="AQ72" s="4">
        <v>229090.64</v>
      </c>
      <c r="AR72" s="4" t="s">
        <v>350</v>
      </c>
      <c r="AS72" s="5">
        <f t="shared" si="0"/>
        <v>18.60866095890411</v>
      </c>
    </row>
    <row r="73" spans="1:45" ht="14.25" customHeight="1" x14ac:dyDescent="0.55000000000000004">
      <c r="A73" s="4">
        <v>22.3</v>
      </c>
      <c r="B73" s="4">
        <v>31.62</v>
      </c>
      <c r="C73" s="4">
        <v>5380</v>
      </c>
      <c r="D73" s="4">
        <v>7.59</v>
      </c>
      <c r="E73" s="4" t="s">
        <v>2226</v>
      </c>
      <c r="F73" s="4" t="s">
        <v>2227</v>
      </c>
      <c r="G73" s="4" t="s">
        <v>2158</v>
      </c>
      <c r="H73" s="4" t="s">
        <v>2228</v>
      </c>
      <c r="I73" s="4">
        <v>0</v>
      </c>
      <c r="J73" s="4">
        <v>407.58</v>
      </c>
      <c r="K73" s="4">
        <f t="shared" si="4"/>
        <v>57.9</v>
      </c>
      <c r="L73" s="4">
        <f t="shared" si="5"/>
        <v>59.9</v>
      </c>
      <c r="M73" s="4">
        <f t="shared" si="6"/>
        <v>-2</v>
      </c>
      <c r="N73" s="4">
        <v>6.93</v>
      </c>
      <c r="O73" s="4">
        <v>82</v>
      </c>
      <c r="P73" s="4">
        <v>95</v>
      </c>
      <c r="Q73" s="4">
        <v>18.600000000000001</v>
      </c>
      <c r="R73" s="4">
        <v>9.32</v>
      </c>
      <c r="S73" s="4">
        <v>17.989999999999998</v>
      </c>
      <c r="T73" s="4">
        <v>4.3</v>
      </c>
      <c r="U73" s="4">
        <v>13.2</v>
      </c>
      <c r="V73" s="4">
        <v>3443.2</v>
      </c>
      <c r="W73" s="4">
        <v>1039.6500000000001</v>
      </c>
      <c r="X73" s="4">
        <v>1432.69</v>
      </c>
      <c r="Y73" s="4">
        <v>778.78</v>
      </c>
      <c r="Z73" s="4">
        <v>14.5</v>
      </c>
      <c r="AA73" s="4">
        <v>1.67</v>
      </c>
      <c r="AB73" s="4">
        <v>4.25</v>
      </c>
      <c r="AC73" s="4">
        <v>68.42</v>
      </c>
      <c r="AD73" s="4">
        <v>680</v>
      </c>
      <c r="AE73" s="4">
        <v>5900</v>
      </c>
      <c r="AF73" s="4">
        <v>84.13</v>
      </c>
      <c r="AG73" s="4">
        <v>0.59</v>
      </c>
      <c r="AH73" s="4">
        <v>6.9</v>
      </c>
      <c r="AI73" s="4">
        <v>118.01</v>
      </c>
      <c r="AJ73" s="4">
        <v>60</v>
      </c>
      <c r="AK73" s="4">
        <v>9</v>
      </c>
      <c r="AL73" s="4">
        <v>9</v>
      </c>
      <c r="AM73" s="4">
        <v>0.27</v>
      </c>
      <c r="AN73" s="4">
        <v>408</v>
      </c>
      <c r="AO73" s="4">
        <v>410.4</v>
      </c>
      <c r="AP73" s="4">
        <v>469616.14</v>
      </c>
      <c r="AQ73" s="4">
        <v>431814.64</v>
      </c>
      <c r="AR73" s="4" t="s">
        <v>355</v>
      </c>
      <c r="AS73" s="5">
        <f t="shared" si="0"/>
        <v>2.1576198630136987</v>
      </c>
    </row>
    <row r="74" spans="1:45" ht="14.25" customHeight="1" x14ac:dyDescent="0.55000000000000004">
      <c r="A74" s="4">
        <v>22.43</v>
      </c>
      <c r="B74" s="4">
        <v>31.77</v>
      </c>
      <c r="C74" s="4">
        <v>5392.5</v>
      </c>
      <c r="D74" s="4">
        <v>7.6</v>
      </c>
      <c r="E74" s="4" t="s">
        <v>2229</v>
      </c>
      <c r="F74" s="4" t="s">
        <v>2230</v>
      </c>
      <c r="G74" s="4" t="s">
        <v>2231</v>
      </c>
      <c r="H74" s="4" t="s">
        <v>2232</v>
      </c>
      <c r="I74" s="4">
        <v>0</v>
      </c>
      <c r="J74" s="4">
        <v>433.68</v>
      </c>
      <c r="K74" s="4">
        <f t="shared" si="4"/>
        <v>58.96</v>
      </c>
      <c r="L74" s="4">
        <f t="shared" si="5"/>
        <v>67.95</v>
      </c>
      <c r="M74" s="4">
        <f t="shared" si="6"/>
        <v>-8.990000000000002</v>
      </c>
      <c r="N74" s="4">
        <v>6.95</v>
      </c>
      <c r="O74" s="4">
        <v>82.01</v>
      </c>
      <c r="P74" s="4">
        <v>90</v>
      </c>
      <c r="Q74" s="4">
        <v>19.399999999999999</v>
      </c>
      <c r="R74" s="4">
        <v>9.33</v>
      </c>
      <c r="S74" s="4">
        <v>18.18</v>
      </c>
      <c r="T74" s="4">
        <v>4.25</v>
      </c>
      <c r="U74" s="4">
        <v>12.43</v>
      </c>
      <c r="V74" s="4">
        <v>3451.2</v>
      </c>
      <c r="W74" s="4">
        <v>1038.9100000000001</v>
      </c>
      <c r="X74" s="4">
        <v>1400.01</v>
      </c>
      <c r="Y74" s="4">
        <v>771.82</v>
      </c>
      <c r="Z74" s="4">
        <v>5.21</v>
      </c>
      <c r="AA74" s="4">
        <v>1.67</v>
      </c>
      <c r="AB74" s="4">
        <v>4.26</v>
      </c>
      <c r="AC74" s="4">
        <v>68.69</v>
      </c>
      <c r="AD74" s="4">
        <v>680</v>
      </c>
      <c r="AE74" s="4">
        <v>5900</v>
      </c>
      <c r="AF74" s="4">
        <v>84.25</v>
      </c>
      <c r="AG74" s="4">
        <v>0.59</v>
      </c>
      <c r="AH74" s="4">
        <v>7.37</v>
      </c>
      <c r="AI74" s="4">
        <v>41.61</v>
      </c>
      <c r="AJ74" s="4">
        <v>60</v>
      </c>
      <c r="AK74" s="4">
        <v>9</v>
      </c>
      <c r="AL74" s="4">
        <v>9</v>
      </c>
      <c r="AM74" s="4">
        <v>0.76</v>
      </c>
      <c r="AN74" s="4">
        <v>408</v>
      </c>
      <c r="AO74" s="4">
        <v>414.8</v>
      </c>
      <c r="AP74" s="4">
        <v>473394.51</v>
      </c>
      <c r="AQ74" s="4">
        <v>181312.39</v>
      </c>
      <c r="AR74" s="4" t="s">
        <v>1398</v>
      </c>
      <c r="AS74" s="5">
        <f t="shared" si="0"/>
        <v>16.671353881278538</v>
      </c>
    </row>
    <row r="75" spans="1:45" ht="14.25" customHeight="1" x14ac:dyDescent="0.55000000000000004">
      <c r="A75" s="4">
        <v>21.99</v>
      </c>
      <c r="B75" s="4">
        <v>31.32</v>
      </c>
      <c r="C75" s="4">
        <v>5373.9</v>
      </c>
      <c r="D75" s="4">
        <v>7.59</v>
      </c>
      <c r="E75" s="4" t="s">
        <v>2233</v>
      </c>
      <c r="F75" s="4" t="s">
        <v>2234</v>
      </c>
      <c r="G75" s="4" t="s">
        <v>2118</v>
      </c>
      <c r="H75" s="4" t="s">
        <v>2235</v>
      </c>
      <c r="I75" s="4">
        <v>0</v>
      </c>
      <c r="J75" s="4">
        <v>413.32</v>
      </c>
      <c r="K75" s="4">
        <f t="shared" si="4"/>
        <v>58.19</v>
      </c>
      <c r="L75" s="4">
        <f t="shared" si="5"/>
        <v>67.42</v>
      </c>
      <c r="M75" s="4">
        <f t="shared" si="6"/>
        <v>-9.230000000000004</v>
      </c>
      <c r="N75" s="4">
        <v>6.93</v>
      </c>
      <c r="O75" s="4">
        <v>82.01</v>
      </c>
      <c r="P75" s="4">
        <v>96</v>
      </c>
      <c r="Q75" s="4">
        <v>18.100000000000001</v>
      </c>
      <c r="R75" s="4">
        <v>9.32</v>
      </c>
      <c r="S75" s="4">
        <v>17.62</v>
      </c>
      <c r="T75" s="4">
        <v>4.38</v>
      </c>
      <c r="U75" s="4">
        <v>13</v>
      </c>
      <c r="V75" s="4">
        <v>3439.3</v>
      </c>
      <c r="W75" s="4">
        <v>1037.8800000000001</v>
      </c>
      <c r="X75" s="4">
        <v>1423.75</v>
      </c>
      <c r="Y75" s="4">
        <v>776.18</v>
      </c>
      <c r="Z75" s="4">
        <v>5.18</v>
      </c>
      <c r="AA75" s="4">
        <v>1.66</v>
      </c>
      <c r="AB75" s="4">
        <v>4.2699999999999996</v>
      </c>
      <c r="AC75" s="4">
        <v>68.05</v>
      </c>
      <c r="AD75" s="4">
        <v>680</v>
      </c>
      <c r="AE75" s="4">
        <v>5900</v>
      </c>
      <c r="AF75" s="4">
        <v>84.16</v>
      </c>
      <c r="AG75" s="4">
        <v>0.59</v>
      </c>
      <c r="AH75" s="4">
        <v>7.01</v>
      </c>
      <c r="AI75" s="4">
        <v>41.93</v>
      </c>
      <c r="AJ75" s="4">
        <v>60</v>
      </c>
      <c r="AK75" s="4">
        <v>9</v>
      </c>
      <c r="AL75" s="4">
        <v>9</v>
      </c>
      <c r="AM75" s="4">
        <v>0.75</v>
      </c>
      <c r="AN75" s="4">
        <v>408</v>
      </c>
      <c r="AO75" s="4">
        <v>414.74</v>
      </c>
      <c r="AP75" s="4">
        <v>469871.01</v>
      </c>
      <c r="AQ75" s="4">
        <v>176430.94</v>
      </c>
      <c r="AR75" s="4" t="s">
        <v>1403</v>
      </c>
      <c r="AS75" s="5">
        <f t="shared" si="0"/>
        <v>16.748862442922373</v>
      </c>
    </row>
    <row r="76" spans="1:45" ht="14.25" customHeight="1" x14ac:dyDescent="0.55000000000000004">
      <c r="A76" s="4">
        <v>22.79</v>
      </c>
      <c r="B76" s="4">
        <v>31.97</v>
      </c>
      <c r="C76" s="4">
        <v>5434.7</v>
      </c>
      <c r="D76" s="4">
        <v>7.6</v>
      </c>
      <c r="E76" s="4" t="s">
        <v>2236</v>
      </c>
      <c r="F76" s="4" t="s">
        <v>2237</v>
      </c>
      <c r="G76" s="4" t="s">
        <v>1775</v>
      </c>
      <c r="H76" s="4" t="s">
        <v>2238</v>
      </c>
      <c r="I76" s="4">
        <v>0</v>
      </c>
      <c r="J76" s="4">
        <v>516.29999999999995</v>
      </c>
      <c r="K76" s="4">
        <f t="shared" si="4"/>
        <v>63.589999999999996</v>
      </c>
      <c r="L76" s="4">
        <f t="shared" si="5"/>
        <v>65.69</v>
      </c>
      <c r="M76" s="4">
        <f t="shared" si="6"/>
        <v>-2.1000000000000014</v>
      </c>
      <c r="N76" s="4">
        <v>7.01</v>
      </c>
      <c r="O76" s="4">
        <v>82.05</v>
      </c>
      <c r="P76" s="4">
        <v>88</v>
      </c>
      <c r="Q76" s="4">
        <v>20.100000000000001</v>
      </c>
      <c r="R76" s="4">
        <v>9.18</v>
      </c>
      <c r="S76" s="4">
        <v>18.62</v>
      </c>
      <c r="T76" s="4">
        <v>4.17</v>
      </c>
      <c r="U76" s="4">
        <v>10.53</v>
      </c>
      <c r="V76" s="4">
        <v>3478.21</v>
      </c>
      <c r="W76" s="4">
        <v>1040.55</v>
      </c>
      <c r="X76" s="4">
        <v>1330.93</v>
      </c>
      <c r="Y76" s="4">
        <v>759.21</v>
      </c>
      <c r="Z76" s="4">
        <v>5.81</v>
      </c>
      <c r="AA76" s="4">
        <v>1.66</v>
      </c>
      <c r="AB76" s="4">
        <v>4.28</v>
      </c>
      <c r="AC76" s="4">
        <v>68.739999999999995</v>
      </c>
      <c r="AD76" s="4">
        <v>680</v>
      </c>
      <c r="AE76" s="4">
        <v>5900</v>
      </c>
      <c r="AF76" s="4">
        <v>82.85</v>
      </c>
      <c r="AG76" s="4">
        <v>0.59</v>
      </c>
      <c r="AH76" s="4">
        <v>8.6999999999999993</v>
      </c>
      <c r="AI76" s="4">
        <v>43.04</v>
      </c>
      <c r="AJ76" s="4">
        <v>60</v>
      </c>
      <c r="AK76" s="4">
        <v>9</v>
      </c>
      <c r="AL76" s="4">
        <v>9</v>
      </c>
      <c r="AM76" s="4">
        <v>0.73</v>
      </c>
      <c r="AN76" s="4">
        <v>408</v>
      </c>
      <c r="AO76" s="4">
        <v>414.57</v>
      </c>
      <c r="AP76" s="4">
        <v>544288.39</v>
      </c>
      <c r="AQ76" s="4">
        <v>173236.65</v>
      </c>
      <c r="AR76" s="4" t="s">
        <v>360</v>
      </c>
      <c r="AS76" s="5">
        <f t="shared" si="0"/>
        <v>21.178752283105023</v>
      </c>
    </row>
    <row r="77" spans="1:45" ht="14.25" customHeight="1" x14ac:dyDescent="0.55000000000000004">
      <c r="A77" s="4">
        <v>22.52</v>
      </c>
      <c r="B77" s="4">
        <v>31.84</v>
      </c>
      <c r="C77" s="4">
        <v>5396.9</v>
      </c>
      <c r="D77" s="4">
        <v>7.6</v>
      </c>
      <c r="E77" s="4" t="s">
        <v>2239</v>
      </c>
      <c r="F77" s="4" t="s">
        <v>2240</v>
      </c>
      <c r="G77" s="4" t="s">
        <v>1775</v>
      </c>
      <c r="H77" s="4" t="s">
        <v>2241</v>
      </c>
      <c r="I77" s="4">
        <v>0</v>
      </c>
      <c r="J77" s="4">
        <v>461.46</v>
      </c>
      <c r="K77" s="4">
        <f t="shared" si="4"/>
        <v>60.339999999999996</v>
      </c>
      <c r="L77" s="4">
        <f t="shared" si="5"/>
        <v>67.819999999999993</v>
      </c>
      <c r="M77" s="4">
        <f t="shared" si="6"/>
        <v>-7.4799999999999969</v>
      </c>
      <c r="N77" s="4">
        <v>6.96</v>
      </c>
      <c r="O77" s="4">
        <v>82.02</v>
      </c>
      <c r="P77" s="4">
        <v>90</v>
      </c>
      <c r="Q77" s="4">
        <v>19.600000000000001</v>
      </c>
      <c r="R77" s="4">
        <v>9.32</v>
      </c>
      <c r="S77" s="4">
        <v>18.38</v>
      </c>
      <c r="T77" s="4">
        <v>4.1399999999999997</v>
      </c>
      <c r="U77" s="4">
        <v>11.7</v>
      </c>
      <c r="V77" s="4">
        <v>3454.02</v>
      </c>
      <c r="W77" s="4">
        <v>1037</v>
      </c>
      <c r="X77" s="4">
        <v>1368.81</v>
      </c>
      <c r="Y77" s="4">
        <v>764.7</v>
      </c>
      <c r="Z77" s="4">
        <v>5.34</v>
      </c>
      <c r="AA77" s="4">
        <v>1.66</v>
      </c>
      <c r="AB77" s="4">
        <v>4.2699999999999996</v>
      </c>
      <c r="AC77" s="4">
        <v>69.23</v>
      </c>
      <c r="AD77" s="4">
        <v>680</v>
      </c>
      <c r="AE77" s="4">
        <v>5900</v>
      </c>
      <c r="AF77" s="4">
        <v>84.15</v>
      </c>
      <c r="AG77" s="4">
        <v>0.59</v>
      </c>
      <c r="AH77" s="4">
        <v>7.87</v>
      </c>
      <c r="AI77" s="4">
        <v>41.69</v>
      </c>
      <c r="AJ77" s="4">
        <v>60</v>
      </c>
      <c r="AK77" s="4">
        <v>9</v>
      </c>
      <c r="AL77" s="4">
        <v>9</v>
      </c>
      <c r="AM77" s="4">
        <v>0.75</v>
      </c>
      <c r="AN77" s="4">
        <v>408</v>
      </c>
      <c r="AO77" s="4">
        <v>414.78</v>
      </c>
      <c r="AP77" s="4">
        <v>490240.79</v>
      </c>
      <c r="AQ77" s="4">
        <v>182581.22</v>
      </c>
      <c r="AR77" s="4" t="s">
        <v>365</v>
      </c>
      <c r="AS77" s="5">
        <f t="shared" si="0"/>
        <v>17.560477739726025</v>
      </c>
    </row>
    <row r="78" spans="1:45" ht="14.25" customHeight="1" x14ac:dyDescent="0.55000000000000004">
      <c r="A78" s="4">
        <v>22.72</v>
      </c>
      <c r="B78" s="4">
        <v>31.98</v>
      </c>
      <c r="C78" s="4">
        <v>5520.2</v>
      </c>
      <c r="D78" s="4">
        <v>7.6</v>
      </c>
      <c r="E78" s="4" t="s">
        <v>2242</v>
      </c>
      <c r="F78" s="4" t="s">
        <v>1587</v>
      </c>
      <c r="G78" s="4" t="s">
        <v>2085</v>
      </c>
      <c r="H78" s="4" t="s">
        <v>2243</v>
      </c>
      <c r="I78" s="4">
        <v>0</v>
      </c>
      <c r="J78" s="4">
        <v>779.17</v>
      </c>
      <c r="K78" s="4">
        <f t="shared" si="4"/>
        <v>65.790000000000006</v>
      </c>
      <c r="L78" s="4">
        <f t="shared" si="5"/>
        <v>65.790000000000006</v>
      </c>
      <c r="M78" s="4">
        <f t="shared" si="6"/>
        <v>0</v>
      </c>
      <c r="N78" s="4">
        <v>7.27</v>
      </c>
      <c r="O78" s="4">
        <v>81.92</v>
      </c>
      <c r="P78" s="4">
        <v>62</v>
      </c>
      <c r="Q78" s="4">
        <v>22.9</v>
      </c>
      <c r="R78" s="4">
        <v>9.27</v>
      </c>
      <c r="S78" s="4">
        <v>17.89</v>
      </c>
      <c r="T78" s="4">
        <v>4.82</v>
      </c>
      <c r="U78" s="4">
        <v>7.08</v>
      </c>
      <c r="V78" s="4">
        <v>3532.93</v>
      </c>
      <c r="W78" s="4">
        <v>1051.6199999999999</v>
      </c>
      <c r="X78" s="4">
        <v>1254.28</v>
      </c>
      <c r="Y78" s="4">
        <v>752.46</v>
      </c>
      <c r="Z78" s="4">
        <v>17.11</v>
      </c>
      <c r="AA78" s="4">
        <v>1.63</v>
      </c>
      <c r="AB78" s="4">
        <v>4.34</v>
      </c>
      <c r="AC78" s="4">
        <v>65.77</v>
      </c>
      <c r="AD78" s="4">
        <v>680</v>
      </c>
      <c r="AE78" s="4">
        <v>5900</v>
      </c>
      <c r="AF78" s="4">
        <v>83.64</v>
      </c>
      <c r="AG78" s="4">
        <v>0.59</v>
      </c>
      <c r="AH78" s="4">
        <v>13.75</v>
      </c>
      <c r="AI78" s="4">
        <v>122.56</v>
      </c>
      <c r="AJ78" s="4">
        <v>60</v>
      </c>
      <c r="AK78" s="4">
        <v>9</v>
      </c>
      <c r="AL78" s="4">
        <v>9</v>
      </c>
      <c r="AM78" s="4">
        <v>0.26</v>
      </c>
      <c r="AN78" s="4">
        <v>408</v>
      </c>
      <c r="AO78" s="4">
        <v>410.31</v>
      </c>
      <c r="AP78" s="4">
        <v>378382.86</v>
      </c>
      <c r="AQ78" s="4">
        <v>378382.86</v>
      </c>
      <c r="AR78" s="4" t="s">
        <v>370</v>
      </c>
      <c r="AS78" s="5">
        <f t="shared" si="0"/>
        <v>0</v>
      </c>
    </row>
    <row r="79" spans="1:45" ht="14.25" customHeight="1" x14ac:dyDescent="0.55000000000000004">
      <c r="A79" s="4">
        <v>22.8</v>
      </c>
      <c r="B79" s="4">
        <v>31.9</v>
      </c>
      <c r="C79" s="4">
        <v>5548.1</v>
      </c>
      <c r="D79" s="4">
        <v>7.6</v>
      </c>
      <c r="E79" s="4" t="s">
        <v>2244</v>
      </c>
      <c r="F79" s="4" t="s">
        <v>2245</v>
      </c>
      <c r="G79" s="4" t="s">
        <v>2013</v>
      </c>
      <c r="H79" s="4" t="s">
        <v>2246</v>
      </c>
      <c r="I79" s="4">
        <v>0</v>
      </c>
      <c r="J79" s="4">
        <v>749.34</v>
      </c>
      <c r="K79" s="4">
        <f t="shared" si="4"/>
        <v>63.949999999999996</v>
      </c>
      <c r="L79" s="4">
        <f t="shared" si="5"/>
        <v>60.99</v>
      </c>
      <c r="M79" s="4">
        <f t="shared" si="6"/>
        <v>2.9599999999999937</v>
      </c>
      <c r="N79" s="4">
        <v>7.25</v>
      </c>
      <c r="O79" s="4">
        <v>82.05</v>
      </c>
      <c r="P79" s="4">
        <v>90</v>
      </c>
      <c r="Q79" s="4">
        <v>19.8</v>
      </c>
      <c r="R79" s="4">
        <v>9.09</v>
      </c>
      <c r="S79" s="4">
        <v>18.57</v>
      </c>
      <c r="T79" s="4">
        <v>4.2300000000000004</v>
      </c>
      <c r="U79" s="4">
        <v>7.4</v>
      </c>
      <c r="V79" s="4">
        <v>3550.78</v>
      </c>
      <c r="W79" s="4">
        <v>1058.18</v>
      </c>
      <c r="X79" s="4">
        <v>1274.28</v>
      </c>
      <c r="Y79" s="4">
        <v>759.65</v>
      </c>
      <c r="Z79" s="4">
        <v>11.53</v>
      </c>
      <c r="AA79" s="4">
        <v>1.64</v>
      </c>
      <c r="AB79" s="4">
        <v>4.3099999999999996</v>
      </c>
      <c r="AC79" s="4">
        <v>68.260000000000005</v>
      </c>
      <c r="AD79" s="4">
        <v>680</v>
      </c>
      <c r="AE79" s="4">
        <v>5900</v>
      </c>
      <c r="AF79" s="4">
        <v>82.09</v>
      </c>
      <c r="AG79" s="4">
        <v>0.59</v>
      </c>
      <c r="AH79" s="4">
        <v>12.82</v>
      </c>
      <c r="AI79" s="4">
        <v>84.99</v>
      </c>
      <c r="AJ79" s="4">
        <v>60</v>
      </c>
      <c r="AK79" s="4">
        <v>9</v>
      </c>
      <c r="AL79" s="4">
        <v>9</v>
      </c>
      <c r="AM79" s="4">
        <v>0.37</v>
      </c>
      <c r="AN79" s="4">
        <v>408</v>
      </c>
      <c r="AO79" s="4">
        <v>411.33</v>
      </c>
      <c r="AP79" s="4">
        <v>427196.34</v>
      </c>
      <c r="AQ79" s="4">
        <v>370315.89</v>
      </c>
      <c r="AR79" s="4" t="s">
        <v>375</v>
      </c>
      <c r="AS79" s="5">
        <f t="shared" si="0"/>
        <v>3.246601027397261</v>
      </c>
    </row>
    <row r="80" spans="1:45" ht="14.25" customHeight="1" x14ac:dyDescent="0.55000000000000004">
      <c r="A80" s="4">
        <v>21.4</v>
      </c>
      <c r="B80" s="4">
        <v>30.67</v>
      </c>
      <c r="C80" s="4">
        <v>5387.4</v>
      </c>
      <c r="D80" s="4">
        <v>7.61</v>
      </c>
      <c r="E80" s="4" t="s">
        <v>2247</v>
      </c>
      <c r="F80" s="4" t="s">
        <v>2248</v>
      </c>
      <c r="G80" s="4" t="s">
        <v>2114</v>
      </c>
      <c r="H80" s="4" t="s">
        <v>2249</v>
      </c>
      <c r="I80" s="4">
        <v>0</v>
      </c>
      <c r="J80" s="4">
        <v>509.83</v>
      </c>
      <c r="K80" s="4">
        <f t="shared" si="4"/>
        <v>56.370000000000005</v>
      </c>
      <c r="L80" s="4">
        <f t="shared" si="5"/>
        <v>64.25</v>
      </c>
      <c r="M80" s="4">
        <f t="shared" si="6"/>
        <v>-7.8799999999999955</v>
      </c>
      <c r="N80" s="4">
        <v>7.04</v>
      </c>
      <c r="O80" s="4">
        <v>81.91</v>
      </c>
      <c r="P80" s="4">
        <v>97</v>
      </c>
      <c r="Q80" s="4">
        <v>16.899999999999999</v>
      </c>
      <c r="R80" s="4">
        <v>9.27</v>
      </c>
      <c r="S80" s="4">
        <v>16.54</v>
      </c>
      <c r="T80" s="4">
        <v>4.87</v>
      </c>
      <c r="U80" s="4">
        <v>10.57</v>
      </c>
      <c r="V80" s="4">
        <v>3447.94</v>
      </c>
      <c r="W80" s="4">
        <v>1036.98</v>
      </c>
      <c r="X80" s="4">
        <v>1361.45</v>
      </c>
      <c r="Y80" s="4">
        <v>765.63</v>
      </c>
      <c r="Z80" s="4">
        <v>5.7</v>
      </c>
      <c r="AA80" s="4">
        <v>1.65</v>
      </c>
      <c r="AB80" s="4">
        <v>4.3099999999999996</v>
      </c>
      <c r="AC80" s="4">
        <v>65.58</v>
      </c>
      <c r="AD80" s="4">
        <v>680</v>
      </c>
      <c r="AE80" s="4">
        <v>5900</v>
      </c>
      <c r="AF80" s="4">
        <v>83.69</v>
      </c>
      <c r="AG80" s="4">
        <v>0.59</v>
      </c>
      <c r="AH80" s="4">
        <v>8.75</v>
      </c>
      <c r="AI80" s="4">
        <v>47.68</v>
      </c>
      <c r="AJ80" s="4">
        <v>60</v>
      </c>
      <c r="AK80" s="4">
        <v>9</v>
      </c>
      <c r="AL80" s="4">
        <v>9</v>
      </c>
      <c r="AM80" s="4">
        <v>0.66</v>
      </c>
      <c r="AN80" s="4">
        <v>408</v>
      </c>
      <c r="AO80" s="4">
        <v>413.93</v>
      </c>
      <c r="AP80" s="4">
        <v>411733.23</v>
      </c>
      <c r="AQ80" s="4">
        <v>202356.55</v>
      </c>
      <c r="AR80" s="4" t="s">
        <v>380</v>
      </c>
      <c r="AS80" s="5">
        <f t="shared" si="0"/>
        <v>11.950723744292237</v>
      </c>
    </row>
    <row r="81" spans="1:45" ht="14.25" customHeight="1" x14ac:dyDescent="0.55000000000000004">
      <c r="A81" s="4">
        <v>22.87</v>
      </c>
      <c r="B81" s="4">
        <v>32.159999999999997</v>
      </c>
      <c r="C81" s="4">
        <v>5409.1</v>
      </c>
      <c r="D81" s="4">
        <v>7.6</v>
      </c>
      <c r="E81" s="4" t="s">
        <v>2250</v>
      </c>
      <c r="F81" s="4" t="s">
        <v>2251</v>
      </c>
      <c r="G81" s="4" t="s">
        <v>2252</v>
      </c>
      <c r="H81" s="4" t="s">
        <v>464</v>
      </c>
      <c r="I81" s="4">
        <v>0</v>
      </c>
      <c r="J81" s="4">
        <v>516.55999999999995</v>
      </c>
      <c r="K81" s="4">
        <f t="shared" si="4"/>
        <v>56.850000000000009</v>
      </c>
      <c r="L81" s="4">
        <f t="shared" si="5"/>
        <v>56.850000000000009</v>
      </c>
      <c r="M81" s="4">
        <f t="shared" si="6"/>
        <v>0</v>
      </c>
      <c r="N81" s="4">
        <v>7.05</v>
      </c>
      <c r="O81" s="4">
        <v>82.03</v>
      </c>
      <c r="P81" s="4">
        <v>86</v>
      </c>
      <c r="Q81" s="4">
        <v>21</v>
      </c>
      <c r="R81" s="4">
        <v>9.2899999999999991</v>
      </c>
      <c r="S81" s="4">
        <v>19.25</v>
      </c>
      <c r="T81" s="4">
        <v>3.62</v>
      </c>
      <c r="U81" s="4">
        <v>10.47</v>
      </c>
      <c r="V81" s="4">
        <v>3461.82</v>
      </c>
      <c r="W81" s="4">
        <v>1042.19</v>
      </c>
      <c r="X81" s="4">
        <v>1372.14</v>
      </c>
      <c r="Y81" s="4">
        <v>770.86</v>
      </c>
      <c r="Z81" s="4">
        <v>28.47</v>
      </c>
      <c r="AA81" s="4">
        <v>1.67</v>
      </c>
      <c r="AB81" s="4">
        <v>4.25</v>
      </c>
      <c r="AC81" s="4">
        <v>71.959999999999994</v>
      </c>
      <c r="AD81" s="4">
        <v>680</v>
      </c>
      <c r="AE81" s="4">
        <v>5900</v>
      </c>
      <c r="AF81" s="4">
        <v>83.84</v>
      </c>
      <c r="AG81" s="4">
        <v>0.59</v>
      </c>
      <c r="AH81" s="4">
        <v>8.85</v>
      </c>
      <c r="AI81" s="4">
        <v>236.03</v>
      </c>
      <c r="AJ81" s="4">
        <v>60</v>
      </c>
      <c r="AK81" s="4">
        <v>9</v>
      </c>
      <c r="AL81" s="4">
        <v>9</v>
      </c>
      <c r="AM81" s="4">
        <v>0.13</v>
      </c>
      <c r="AN81" s="4">
        <v>408</v>
      </c>
      <c r="AO81" s="4">
        <v>409.2</v>
      </c>
      <c r="AP81" s="4">
        <v>408591.43</v>
      </c>
      <c r="AQ81" s="4">
        <v>408591.43</v>
      </c>
      <c r="AR81" s="4" t="s">
        <v>384</v>
      </c>
      <c r="AS81" s="5">
        <f t="shared" si="0"/>
        <v>0</v>
      </c>
    </row>
    <row r="82" spans="1:45" ht="14.25" customHeight="1" x14ac:dyDescent="0.55000000000000004">
      <c r="A82" s="4">
        <v>23.03</v>
      </c>
      <c r="B82" s="4">
        <v>32.340000000000003</v>
      </c>
      <c r="C82" s="4">
        <v>5389.6</v>
      </c>
      <c r="D82" s="4">
        <v>7.6</v>
      </c>
      <c r="E82" s="4" t="s">
        <v>2253</v>
      </c>
      <c r="F82" s="4" t="s">
        <v>2254</v>
      </c>
      <c r="G82" s="4" t="s">
        <v>2118</v>
      </c>
      <c r="H82" s="4" t="s">
        <v>2255</v>
      </c>
      <c r="I82" s="4">
        <v>0</v>
      </c>
      <c r="J82" s="4">
        <v>566.97</v>
      </c>
      <c r="K82" s="4">
        <f t="shared" si="4"/>
        <v>59.36</v>
      </c>
      <c r="L82" s="4">
        <f t="shared" si="5"/>
        <v>63.099999999999994</v>
      </c>
      <c r="M82" s="4">
        <f t="shared" si="6"/>
        <v>-3.7399999999999949</v>
      </c>
      <c r="N82" s="4">
        <v>7.08</v>
      </c>
      <c r="O82" s="4">
        <v>82.01</v>
      </c>
      <c r="P82" s="4">
        <v>84</v>
      </c>
      <c r="Q82" s="4">
        <v>21.3</v>
      </c>
      <c r="R82" s="4">
        <v>9.32</v>
      </c>
      <c r="S82" s="4">
        <v>19.29</v>
      </c>
      <c r="T82" s="4">
        <v>3.74</v>
      </c>
      <c r="U82" s="4">
        <v>9.51</v>
      </c>
      <c r="V82" s="4">
        <v>3449.34</v>
      </c>
      <c r="W82" s="4">
        <v>1033.69</v>
      </c>
      <c r="X82" s="4">
        <v>1317.54</v>
      </c>
      <c r="Y82" s="4">
        <v>755.41</v>
      </c>
      <c r="Z82" s="4">
        <v>10.35</v>
      </c>
      <c r="AA82" s="4">
        <v>1.65</v>
      </c>
      <c r="AB82" s="4">
        <v>4.29</v>
      </c>
      <c r="AC82" s="4">
        <v>71.349999999999994</v>
      </c>
      <c r="AD82" s="4">
        <v>680</v>
      </c>
      <c r="AE82" s="4">
        <v>5900</v>
      </c>
      <c r="AF82" s="4">
        <v>84.09</v>
      </c>
      <c r="AG82" s="4">
        <v>0.59</v>
      </c>
      <c r="AH82" s="4">
        <v>9.89</v>
      </c>
      <c r="AI82" s="4">
        <v>82.16</v>
      </c>
      <c r="AJ82" s="4">
        <v>60</v>
      </c>
      <c r="AK82" s="4">
        <v>9</v>
      </c>
      <c r="AL82" s="4">
        <v>9</v>
      </c>
      <c r="AM82" s="4">
        <v>0.38</v>
      </c>
      <c r="AN82" s="4">
        <v>408</v>
      </c>
      <c r="AO82" s="4">
        <v>411.44</v>
      </c>
      <c r="AP82" s="4">
        <v>411900.71</v>
      </c>
      <c r="AQ82" s="4">
        <v>387730.77</v>
      </c>
      <c r="AR82" s="4" t="s">
        <v>388</v>
      </c>
      <c r="AS82" s="5">
        <f t="shared" si="0"/>
        <v>1.379562785388128</v>
      </c>
    </row>
    <row r="83" spans="1:45" ht="14.25" customHeight="1" x14ac:dyDescent="0.55000000000000004">
      <c r="A83" s="4">
        <v>21.06</v>
      </c>
      <c r="B83" s="4">
        <v>30.32</v>
      </c>
      <c r="C83" s="4">
        <v>5390.2</v>
      </c>
      <c r="D83" s="4">
        <v>7.61</v>
      </c>
      <c r="E83" s="4" t="s">
        <v>2256</v>
      </c>
      <c r="F83" s="4" t="s">
        <v>2257</v>
      </c>
      <c r="G83" s="4" t="s">
        <v>2122</v>
      </c>
      <c r="H83" s="4" t="s">
        <v>2258</v>
      </c>
      <c r="I83" s="4">
        <v>0</v>
      </c>
      <c r="J83" s="4">
        <v>489.95</v>
      </c>
      <c r="K83" s="4">
        <f t="shared" si="4"/>
        <v>55.64</v>
      </c>
      <c r="L83" s="4">
        <f t="shared" si="5"/>
        <v>63.39</v>
      </c>
      <c r="M83" s="4">
        <f t="shared" si="6"/>
        <v>-7.75</v>
      </c>
      <c r="N83" s="4">
        <v>7.02</v>
      </c>
      <c r="O83" s="4">
        <v>82.04</v>
      </c>
      <c r="P83" s="4">
        <v>98</v>
      </c>
      <c r="Q83" s="4">
        <v>16.7</v>
      </c>
      <c r="R83" s="4">
        <v>9.26</v>
      </c>
      <c r="S83" s="4">
        <v>16.45</v>
      </c>
      <c r="T83" s="4">
        <v>4.6100000000000003</v>
      </c>
      <c r="U83" s="4">
        <v>11</v>
      </c>
      <c r="V83" s="4">
        <v>3449.73</v>
      </c>
      <c r="W83" s="4">
        <v>1039.17</v>
      </c>
      <c r="X83" s="4">
        <v>1381.17</v>
      </c>
      <c r="Y83" s="4">
        <v>770.62</v>
      </c>
      <c r="Z83" s="4">
        <v>5.71</v>
      </c>
      <c r="AA83" s="4">
        <v>1.65</v>
      </c>
      <c r="AB83" s="4">
        <v>4.3099999999999996</v>
      </c>
      <c r="AC83" s="4">
        <v>66.78</v>
      </c>
      <c r="AD83" s="4">
        <v>680</v>
      </c>
      <c r="AE83" s="4">
        <v>5900</v>
      </c>
      <c r="AF83" s="4">
        <v>83.59</v>
      </c>
      <c r="AG83" s="4">
        <v>0.59</v>
      </c>
      <c r="AH83" s="4">
        <v>8.36</v>
      </c>
      <c r="AI83" s="4">
        <v>48.32</v>
      </c>
      <c r="AJ83" s="4">
        <v>60</v>
      </c>
      <c r="AK83" s="4">
        <v>9</v>
      </c>
      <c r="AL83" s="4">
        <v>9</v>
      </c>
      <c r="AM83" s="4">
        <v>0.65</v>
      </c>
      <c r="AN83" s="4">
        <v>408</v>
      </c>
      <c r="AO83" s="4">
        <v>413.85</v>
      </c>
      <c r="AP83" s="4">
        <v>413004.32</v>
      </c>
      <c r="AQ83" s="4">
        <v>197108.48000000001</v>
      </c>
      <c r="AR83" s="4" t="s">
        <v>1433</v>
      </c>
      <c r="AS83" s="5">
        <f t="shared" si="0"/>
        <v>12.322821917808218</v>
      </c>
    </row>
    <row r="84" spans="1:45" ht="14.25" customHeight="1" x14ac:dyDescent="0.55000000000000004">
      <c r="A84" s="4">
        <v>21.62</v>
      </c>
      <c r="B84" s="4">
        <v>30.91</v>
      </c>
      <c r="C84" s="4">
        <v>5391</v>
      </c>
      <c r="D84" s="4">
        <v>7.6</v>
      </c>
      <c r="E84" s="4" t="s">
        <v>2259</v>
      </c>
      <c r="F84" s="4" t="s">
        <v>2260</v>
      </c>
      <c r="G84" s="4" t="s">
        <v>2074</v>
      </c>
      <c r="H84" s="4" t="s">
        <v>464</v>
      </c>
      <c r="I84" s="4">
        <v>0</v>
      </c>
      <c r="J84" s="4">
        <v>484.25</v>
      </c>
      <c r="K84" s="4">
        <f t="shared" si="4"/>
        <v>55.34</v>
      </c>
      <c r="L84" s="4">
        <f t="shared" si="5"/>
        <v>55.34</v>
      </c>
      <c r="M84" s="4">
        <f t="shared" si="6"/>
        <v>0</v>
      </c>
      <c r="N84" s="4">
        <v>7.03</v>
      </c>
      <c r="O84" s="4">
        <v>82.01</v>
      </c>
      <c r="P84" s="4">
        <v>98</v>
      </c>
      <c r="Q84" s="4">
        <v>17.100000000000001</v>
      </c>
      <c r="R84" s="4">
        <v>9.2799999999999994</v>
      </c>
      <c r="S84" s="4">
        <v>16.850000000000001</v>
      </c>
      <c r="T84" s="4">
        <v>4.7699999999999996</v>
      </c>
      <c r="U84" s="4">
        <v>11.13</v>
      </c>
      <c r="V84" s="4">
        <v>3450.24</v>
      </c>
      <c r="W84" s="4">
        <v>1040.74</v>
      </c>
      <c r="X84" s="4">
        <v>1393.75</v>
      </c>
      <c r="Y84" s="4">
        <v>774.25</v>
      </c>
      <c r="Z84" s="4">
        <v>27.66</v>
      </c>
      <c r="AA84" s="4">
        <v>1.66</v>
      </c>
      <c r="AB84" s="4">
        <v>4.29</v>
      </c>
      <c r="AC84" s="4">
        <v>66.05</v>
      </c>
      <c r="AD84" s="4">
        <v>680</v>
      </c>
      <c r="AE84" s="4">
        <v>5900</v>
      </c>
      <c r="AF84" s="4">
        <v>83.8</v>
      </c>
      <c r="AG84" s="4">
        <v>0.59</v>
      </c>
      <c r="AH84" s="4">
        <v>8.27</v>
      </c>
      <c r="AI84" s="4">
        <v>235.61</v>
      </c>
      <c r="AJ84" s="4">
        <v>60</v>
      </c>
      <c r="AK84" s="4">
        <v>9</v>
      </c>
      <c r="AL84" s="4">
        <v>9</v>
      </c>
      <c r="AM84" s="4">
        <v>0.13</v>
      </c>
      <c r="AN84" s="4">
        <v>408</v>
      </c>
      <c r="AO84" s="4">
        <v>409.2</v>
      </c>
      <c r="AP84" s="4">
        <v>410378.54</v>
      </c>
      <c r="AQ84" s="4">
        <v>410378.54</v>
      </c>
      <c r="AR84" s="4" t="s">
        <v>393</v>
      </c>
      <c r="AS84" s="5">
        <f t="shared" si="0"/>
        <v>0</v>
      </c>
    </row>
    <row r="85" spans="1:45" ht="14.25" customHeight="1" x14ac:dyDescent="0.55000000000000004">
      <c r="A85" s="4">
        <v>21.29</v>
      </c>
      <c r="B85" s="4">
        <v>30.56</v>
      </c>
      <c r="C85" s="4">
        <v>5404.4</v>
      </c>
      <c r="D85" s="4">
        <v>7.6</v>
      </c>
      <c r="E85" s="4" t="s">
        <v>2261</v>
      </c>
      <c r="F85" s="4" t="s">
        <v>2262</v>
      </c>
      <c r="G85" s="4" t="s">
        <v>2098</v>
      </c>
      <c r="H85" s="4" t="s">
        <v>2263</v>
      </c>
      <c r="I85" s="4">
        <v>0</v>
      </c>
      <c r="J85" s="4">
        <v>509.64</v>
      </c>
      <c r="K85" s="4">
        <f t="shared" si="4"/>
        <v>56.809999999999995</v>
      </c>
      <c r="L85" s="4">
        <f t="shared" si="5"/>
        <v>59.57</v>
      </c>
      <c r="M85" s="4">
        <f t="shared" si="6"/>
        <v>-2.7600000000000051</v>
      </c>
      <c r="N85" s="4">
        <v>7.04</v>
      </c>
      <c r="O85" s="4">
        <v>82.03</v>
      </c>
      <c r="P85" s="4">
        <v>97</v>
      </c>
      <c r="Q85" s="4">
        <v>16.8</v>
      </c>
      <c r="R85" s="4">
        <v>9.27</v>
      </c>
      <c r="S85" s="4">
        <v>16.440000000000001</v>
      </c>
      <c r="T85" s="4">
        <v>4.8499999999999996</v>
      </c>
      <c r="U85" s="4">
        <v>10.6</v>
      </c>
      <c r="V85" s="4">
        <v>3458.82</v>
      </c>
      <c r="W85" s="4">
        <v>1040.2</v>
      </c>
      <c r="X85" s="4">
        <v>1365.39</v>
      </c>
      <c r="Y85" s="4">
        <v>767.92</v>
      </c>
      <c r="Z85" s="4">
        <v>11.92</v>
      </c>
      <c r="AA85" s="4">
        <v>1.64</v>
      </c>
      <c r="AB85" s="4">
        <v>4.32</v>
      </c>
      <c r="AC85" s="4">
        <v>65.64</v>
      </c>
      <c r="AD85" s="4">
        <v>680</v>
      </c>
      <c r="AE85" s="4">
        <v>5900</v>
      </c>
      <c r="AF85" s="4">
        <v>83.7</v>
      </c>
      <c r="AG85" s="4">
        <v>0.59</v>
      </c>
      <c r="AH85" s="4">
        <v>8.7100000000000009</v>
      </c>
      <c r="AI85" s="4">
        <v>98.88</v>
      </c>
      <c r="AJ85" s="4">
        <v>60</v>
      </c>
      <c r="AK85" s="4">
        <v>9</v>
      </c>
      <c r="AL85" s="4">
        <v>9</v>
      </c>
      <c r="AM85" s="4">
        <v>0.32</v>
      </c>
      <c r="AN85" s="4">
        <v>408</v>
      </c>
      <c r="AO85" s="4">
        <v>410.86</v>
      </c>
      <c r="AP85" s="4">
        <v>414954.92</v>
      </c>
      <c r="AQ85" s="4">
        <v>390144.58</v>
      </c>
      <c r="AR85" s="4" t="s">
        <v>398</v>
      </c>
      <c r="AS85" s="5">
        <f t="shared" si="0"/>
        <v>1.416115296803651</v>
      </c>
    </row>
    <row r="86" spans="1:45" ht="14.25" customHeight="1" x14ac:dyDescent="0.55000000000000004">
      <c r="A86" s="4">
        <v>23.08</v>
      </c>
      <c r="B86" s="4">
        <v>32.43</v>
      </c>
      <c r="C86" s="4">
        <v>5390.1</v>
      </c>
      <c r="D86" s="4">
        <v>7.6</v>
      </c>
      <c r="E86" s="4" t="s">
        <v>2264</v>
      </c>
      <c r="F86" s="4" t="s">
        <v>2265</v>
      </c>
      <c r="G86" s="4" t="s">
        <v>2104</v>
      </c>
      <c r="H86" s="4" t="s">
        <v>2266</v>
      </c>
      <c r="I86" s="4">
        <v>0</v>
      </c>
      <c r="J86" s="4">
        <v>557.04999999999995</v>
      </c>
      <c r="K86" s="4">
        <f t="shared" si="4"/>
        <v>59.089999999999996</v>
      </c>
      <c r="L86" s="4">
        <f t="shared" si="5"/>
        <v>64.23</v>
      </c>
      <c r="M86" s="4">
        <f t="shared" si="6"/>
        <v>-5.1400000000000077</v>
      </c>
      <c r="N86" s="4">
        <v>7.07</v>
      </c>
      <c r="O86" s="4">
        <v>82.03</v>
      </c>
      <c r="P86" s="4">
        <v>85</v>
      </c>
      <c r="Q86" s="4">
        <v>21</v>
      </c>
      <c r="R86" s="4">
        <v>9.35</v>
      </c>
      <c r="S86" s="4">
        <v>19.12</v>
      </c>
      <c r="T86" s="4">
        <v>3.96</v>
      </c>
      <c r="U86" s="4">
        <v>9.68</v>
      </c>
      <c r="V86" s="4">
        <v>3449.66</v>
      </c>
      <c r="W86" s="4">
        <v>1034.19</v>
      </c>
      <c r="X86" s="4">
        <v>1323.32</v>
      </c>
      <c r="Y86" s="4">
        <v>756.7</v>
      </c>
      <c r="Z86" s="4">
        <v>8.2799999999999994</v>
      </c>
      <c r="AA86" s="4">
        <v>1.65</v>
      </c>
      <c r="AB86" s="4">
        <v>4.29</v>
      </c>
      <c r="AC86" s="4">
        <v>70.25</v>
      </c>
      <c r="AD86" s="4">
        <v>680</v>
      </c>
      <c r="AE86" s="4">
        <v>5900</v>
      </c>
      <c r="AF86" s="4">
        <v>84.39</v>
      </c>
      <c r="AG86" s="4">
        <v>0.59</v>
      </c>
      <c r="AH86" s="4">
        <v>9.73</v>
      </c>
      <c r="AI86" s="4">
        <v>66.03</v>
      </c>
      <c r="AJ86" s="4">
        <v>60</v>
      </c>
      <c r="AK86" s="4">
        <v>9</v>
      </c>
      <c r="AL86" s="4">
        <v>9</v>
      </c>
      <c r="AM86" s="4">
        <v>0.48</v>
      </c>
      <c r="AN86" s="4">
        <v>408</v>
      </c>
      <c r="AO86" s="4">
        <v>412.28</v>
      </c>
      <c r="AP86" s="4">
        <v>414282.41</v>
      </c>
      <c r="AQ86" s="4">
        <v>334565.90000000002</v>
      </c>
      <c r="AR86" s="4" t="s">
        <v>403</v>
      </c>
      <c r="AS86" s="5">
        <f t="shared" si="0"/>
        <v>4.5500291095890386</v>
      </c>
    </row>
    <row r="87" spans="1:45" ht="14.25" customHeight="1" x14ac:dyDescent="0.55000000000000004">
      <c r="A87" s="4">
        <v>21.26</v>
      </c>
      <c r="B87" s="4">
        <v>30.57</v>
      </c>
      <c r="C87" s="4">
        <v>5386.5</v>
      </c>
      <c r="D87" s="4">
        <v>7.59</v>
      </c>
      <c r="E87" s="4" t="s">
        <v>2267</v>
      </c>
      <c r="F87" s="4" t="s">
        <v>2268</v>
      </c>
      <c r="G87" s="4" t="s">
        <v>2269</v>
      </c>
      <c r="H87" s="4" t="s">
        <v>464</v>
      </c>
      <c r="I87" s="4">
        <v>0</v>
      </c>
      <c r="J87" s="4">
        <v>511.08</v>
      </c>
      <c r="K87" s="4">
        <f t="shared" si="4"/>
        <v>56.94</v>
      </c>
      <c r="L87" s="4">
        <f t="shared" si="5"/>
        <v>56.94</v>
      </c>
      <c r="M87" s="4">
        <f t="shared" si="6"/>
        <v>0</v>
      </c>
      <c r="N87" s="4">
        <v>7.04</v>
      </c>
      <c r="O87" s="4">
        <v>82.01</v>
      </c>
      <c r="P87" s="4">
        <v>98</v>
      </c>
      <c r="Q87" s="4">
        <v>16.8</v>
      </c>
      <c r="R87" s="4">
        <v>9.3000000000000007</v>
      </c>
      <c r="S87" s="4">
        <v>16.55</v>
      </c>
      <c r="T87" s="4">
        <v>4.71</v>
      </c>
      <c r="U87" s="4">
        <v>10.54</v>
      </c>
      <c r="V87" s="4">
        <v>3447.36</v>
      </c>
      <c r="W87" s="4">
        <v>1036.9100000000001</v>
      </c>
      <c r="X87" s="4">
        <v>1361.54</v>
      </c>
      <c r="Y87" s="4">
        <v>765.69</v>
      </c>
      <c r="Z87" s="4">
        <v>28.48</v>
      </c>
      <c r="AA87" s="4">
        <v>1.62</v>
      </c>
      <c r="AB87" s="4">
        <v>4.34</v>
      </c>
      <c r="AC87" s="4">
        <v>66.39</v>
      </c>
      <c r="AD87" s="4">
        <v>680</v>
      </c>
      <c r="AE87" s="4">
        <v>5900</v>
      </c>
      <c r="AF87" s="4">
        <v>83.99</v>
      </c>
      <c r="AG87" s="4">
        <v>0.59</v>
      </c>
      <c r="AH87" s="4">
        <v>8.8000000000000007</v>
      </c>
      <c r="AI87" s="4">
        <v>235.73</v>
      </c>
      <c r="AJ87" s="4">
        <v>60</v>
      </c>
      <c r="AK87" s="4">
        <v>9</v>
      </c>
      <c r="AL87" s="4">
        <v>9</v>
      </c>
      <c r="AM87" s="4">
        <v>0.13</v>
      </c>
      <c r="AN87" s="4">
        <v>408</v>
      </c>
      <c r="AO87" s="4">
        <v>409.2</v>
      </c>
      <c r="AP87" s="4">
        <v>414701.42</v>
      </c>
      <c r="AQ87" s="4">
        <v>414701.42</v>
      </c>
      <c r="AR87" s="4" t="s">
        <v>408</v>
      </c>
      <c r="AS87" s="5">
        <f t="shared" si="0"/>
        <v>0</v>
      </c>
    </row>
    <row r="88" spans="1:45" ht="14.25" customHeight="1" x14ac:dyDescent="0.55000000000000004">
      <c r="A88" s="4">
        <v>21.23</v>
      </c>
      <c r="B88" s="4">
        <v>30.49</v>
      </c>
      <c r="C88" s="4">
        <v>5400.7</v>
      </c>
      <c r="D88" s="4">
        <v>7.59</v>
      </c>
      <c r="E88" s="4" t="s">
        <v>2270</v>
      </c>
      <c r="F88" s="4" t="s">
        <v>2271</v>
      </c>
      <c r="G88" s="4" t="s">
        <v>570</v>
      </c>
      <c r="H88" s="4" t="s">
        <v>464</v>
      </c>
      <c r="I88" s="4">
        <v>0</v>
      </c>
      <c r="J88" s="4">
        <v>530.41999999999996</v>
      </c>
      <c r="K88" s="4">
        <f t="shared" si="4"/>
        <v>56.88</v>
      </c>
      <c r="L88" s="4">
        <f t="shared" si="5"/>
        <v>56.88</v>
      </c>
      <c r="M88" s="4">
        <f t="shared" si="6"/>
        <v>0</v>
      </c>
      <c r="N88" s="4">
        <v>7.05</v>
      </c>
      <c r="O88" s="4">
        <v>81.99</v>
      </c>
      <c r="P88" s="4">
        <v>97</v>
      </c>
      <c r="Q88" s="4">
        <v>16.899999999999999</v>
      </c>
      <c r="R88" s="4">
        <v>9.27</v>
      </c>
      <c r="S88" s="4">
        <v>16.54</v>
      </c>
      <c r="T88" s="4">
        <v>4.6900000000000004</v>
      </c>
      <c r="U88" s="4">
        <v>10.18</v>
      </c>
      <c r="V88" s="4">
        <v>3456.45</v>
      </c>
      <c r="W88" s="4">
        <v>1038.1099999999999</v>
      </c>
      <c r="X88" s="4">
        <v>1347.67</v>
      </c>
      <c r="Y88" s="4">
        <v>763.46</v>
      </c>
      <c r="Z88" s="4">
        <v>28.37</v>
      </c>
      <c r="AA88" s="4">
        <v>1.62</v>
      </c>
      <c r="AB88" s="4">
        <v>4.3499999999999996</v>
      </c>
      <c r="AC88" s="4">
        <v>66.37</v>
      </c>
      <c r="AD88" s="4">
        <v>680</v>
      </c>
      <c r="AE88" s="4">
        <v>5900</v>
      </c>
      <c r="AF88" s="4">
        <v>83.64</v>
      </c>
      <c r="AG88" s="4">
        <v>0.59</v>
      </c>
      <c r="AH88" s="4">
        <v>9.11</v>
      </c>
      <c r="AI88" s="4">
        <v>235.06</v>
      </c>
      <c r="AJ88" s="4">
        <v>60</v>
      </c>
      <c r="AK88" s="4">
        <v>9</v>
      </c>
      <c r="AL88" s="4">
        <v>9</v>
      </c>
      <c r="AM88" s="4">
        <v>0.13</v>
      </c>
      <c r="AN88" s="4">
        <v>408</v>
      </c>
      <c r="AO88" s="4">
        <v>409.2</v>
      </c>
      <c r="AP88" s="4">
        <v>408231.36</v>
      </c>
      <c r="AQ88" s="4">
        <v>408231.36</v>
      </c>
      <c r="AR88" s="4" t="s">
        <v>413</v>
      </c>
      <c r="AS88" s="5">
        <f t="shared" si="0"/>
        <v>0</v>
      </c>
    </row>
    <row r="89" spans="1:45" ht="14.25" customHeight="1" x14ac:dyDescent="0.55000000000000004">
      <c r="A89" s="4">
        <v>22.75</v>
      </c>
      <c r="B89" s="4">
        <v>32.08</v>
      </c>
      <c r="C89" s="4">
        <v>5393.7</v>
      </c>
      <c r="D89" s="4">
        <v>7.6</v>
      </c>
      <c r="E89" s="4" t="s">
        <v>2272</v>
      </c>
      <c r="F89" s="4" t="s">
        <v>2273</v>
      </c>
      <c r="G89" s="4" t="s">
        <v>2118</v>
      </c>
      <c r="H89" s="4" t="s">
        <v>464</v>
      </c>
      <c r="I89" s="4">
        <v>0</v>
      </c>
      <c r="J89" s="4">
        <v>594.48</v>
      </c>
      <c r="K89" s="4">
        <f t="shared" si="4"/>
        <v>61.82</v>
      </c>
      <c r="L89" s="4">
        <f t="shared" si="5"/>
        <v>61.82</v>
      </c>
      <c r="M89" s="4">
        <f t="shared" si="6"/>
        <v>0</v>
      </c>
      <c r="N89" s="4">
        <v>7.1</v>
      </c>
      <c r="O89" s="4">
        <v>81.97</v>
      </c>
      <c r="P89" s="4">
        <v>85</v>
      </c>
      <c r="Q89" s="4">
        <v>21</v>
      </c>
      <c r="R89" s="4">
        <v>9.32</v>
      </c>
      <c r="S89" s="4">
        <v>19.12</v>
      </c>
      <c r="T89" s="4">
        <v>3.63</v>
      </c>
      <c r="U89" s="4">
        <v>9.07</v>
      </c>
      <c r="V89" s="4">
        <v>3451.97</v>
      </c>
      <c r="W89" s="4">
        <v>1032.52</v>
      </c>
      <c r="X89" s="4">
        <v>1297.08</v>
      </c>
      <c r="Y89" s="4">
        <v>750.64</v>
      </c>
      <c r="Z89" s="4">
        <v>30.94</v>
      </c>
      <c r="AA89" s="4">
        <v>1.64</v>
      </c>
      <c r="AB89" s="4">
        <v>4.32</v>
      </c>
      <c r="AC89" s="4">
        <v>71.98</v>
      </c>
      <c r="AD89" s="4">
        <v>680</v>
      </c>
      <c r="AE89" s="4">
        <v>5900</v>
      </c>
      <c r="AF89" s="4">
        <v>84.16</v>
      </c>
      <c r="AG89" s="4">
        <v>0.59</v>
      </c>
      <c r="AH89" s="4">
        <v>10.42</v>
      </c>
      <c r="AI89" s="4">
        <v>235.85</v>
      </c>
      <c r="AJ89" s="4">
        <v>60</v>
      </c>
      <c r="AK89" s="4">
        <v>9</v>
      </c>
      <c r="AL89" s="4">
        <v>9</v>
      </c>
      <c r="AM89" s="4">
        <v>0.13</v>
      </c>
      <c r="AN89" s="4">
        <v>408</v>
      </c>
      <c r="AO89" s="4">
        <v>409.2</v>
      </c>
      <c r="AP89" s="4">
        <v>419262.63</v>
      </c>
      <c r="AQ89" s="4">
        <v>419262.63</v>
      </c>
      <c r="AR89" s="4" t="s">
        <v>418</v>
      </c>
      <c r="AS89" s="5">
        <f t="shared" si="0"/>
        <v>0</v>
      </c>
    </row>
    <row r="90" spans="1:45" ht="14.25" customHeight="1" x14ac:dyDescent="0.55000000000000004">
      <c r="A90" s="4">
        <v>23.1</v>
      </c>
      <c r="B90" s="4">
        <v>32.450000000000003</v>
      </c>
      <c r="C90" s="4">
        <v>5400.8</v>
      </c>
      <c r="D90" s="4">
        <v>7.6</v>
      </c>
      <c r="E90" s="4" t="s">
        <v>2274</v>
      </c>
      <c r="F90" s="4" t="s">
        <v>2275</v>
      </c>
      <c r="G90" s="4" t="s">
        <v>2276</v>
      </c>
      <c r="H90" s="4" t="s">
        <v>464</v>
      </c>
      <c r="I90" s="4">
        <v>0</v>
      </c>
      <c r="J90" s="4">
        <v>559.65</v>
      </c>
      <c r="K90" s="4">
        <f t="shared" si="4"/>
        <v>60.209999999999994</v>
      </c>
      <c r="L90" s="4">
        <f t="shared" si="5"/>
        <v>60.209999999999994</v>
      </c>
      <c r="M90" s="4">
        <f t="shared" si="6"/>
        <v>0</v>
      </c>
      <c r="N90" s="4">
        <v>7.09</v>
      </c>
      <c r="O90" s="4">
        <v>82.02</v>
      </c>
      <c r="P90" s="4">
        <v>80</v>
      </c>
      <c r="Q90" s="4">
        <v>22</v>
      </c>
      <c r="R90" s="4">
        <v>9.34</v>
      </c>
      <c r="S90" s="4">
        <v>19.45</v>
      </c>
      <c r="T90" s="4">
        <v>3.65</v>
      </c>
      <c r="U90" s="4">
        <v>9.65</v>
      </c>
      <c r="V90" s="4">
        <v>3456.51</v>
      </c>
      <c r="W90" s="4">
        <v>1038.06</v>
      </c>
      <c r="X90" s="4">
        <v>1338.45</v>
      </c>
      <c r="Y90" s="4">
        <v>762.37</v>
      </c>
      <c r="Z90" s="4">
        <v>30.12</v>
      </c>
      <c r="AA90" s="4">
        <v>1.66</v>
      </c>
      <c r="AB90" s="4">
        <v>4.2699999999999996</v>
      </c>
      <c r="AC90" s="4">
        <v>71.88</v>
      </c>
      <c r="AD90" s="4">
        <v>680</v>
      </c>
      <c r="AE90" s="4">
        <v>5900</v>
      </c>
      <c r="AF90" s="4">
        <v>84.35</v>
      </c>
      <c r="AG90" s="4">
        <v>0.59</v>
      </c>
      <c r="AH90" s="4">
        <v>9.75</v>
      </c>
      <c r="AI90" s="4">
        <v>235.74</v>
      </c>
      <c r="AJ90" s="4">
        <v>60</v>
      </c>
      <c r="AK90" s="4">
        <v>9</v>
      </c>
      <c r="AL90" s="4">
        <v>9</v>
      </c>
      <c r="AM90" s="4">
        <v>0.13</v>
      </c>
      <c r="AN90" s="4">
        <v>408</v>
      </c>
      <c r="AO90" s="4">
        <v>409.2</v>
      </c>
      <c r="AP90" s="4">
        <v>414585.24</v>
      </c>
      <c r="AQ90" s="4">
        <v>414585.24</v>
      </c>
      <c r="AR90" s="4" t="s">
        <v>422</v>
      </c>
      <c r="AS90" s="5">
        <f t="shared" si="0"/>
        <v>0</v>
      </c>
    </row>
    <row r="91" spans="1:45" ht="14.25" customHeight="1" x14ac:dyDescent="0.55000000000000004">
      <c r="A91" s="4">
        <v>22.3</v>
      </c>
      <c r="B91" s="4">
        <v>31.64</v>
      </c>
      <c r="C91" s="4">
        <v>5397.5</v>
      </c>
      <c r="D91" s="4">
        <v>7.6</v>
      </c>
      <c r="E91" s="4" t="s">
        <v>2277</v>
      </c>
      <c r="F91" s="4" t="s">
        <v>2278</v>
      </c>
      <c r="G91" s="4" t="s">
        <v>2209</v>
      </c>
      <c r="H91" s="4" t="s">
        <v>464</v>
      </c>
      <c r="I91" s="4">
        <v>0</v>
      </c>
      <c r="J91" s="4">
        <v>535.73</v>
      </c>
      <c r="K91" s="4">
        <f t="shared" si="4"/>
        <v>58.14</v>
      </c>
      <c r="L91" s="4">
        <f t="shared" si="5"/>
        <v>58.14</v>
      </c>
      <c r="M91" s="4">
        <f t="shared" si="6"/>
        <v>0</v>
      </c>
      <c r="N91" s="4">
        <v>7.05</v>
      </c>
      <c r="O91" s="4">
        <v>81.95</v>
      </c>
      <c r="P91" s="4">
        <v>90</v>
      </c>
      <c r="Q91" s="4">
        <v>19.7</v>
      </c>
      <c r="R91" s="4">
        <v>9.34</v>
      </c>
      <c r="S91" s="4">
        <v>18.47</v>
      </c>
      <c r="T91" s="4">
        <v>3.83</v>
      </c>
      <c r="U91" s="4">
        <v>10.07</v>
      </c>
      <c r="V91" s="4">
        <v>3454.4</v>
      </c>
      <c r="W91" s="4">
        <v>1036.6500000000001</v>
      </c>
      <c r="X91" s="4">
        <v>1339.02</v>
      </c>
      <c r="Y91" s="4">
        <v>760.84</v>
      </c>
      <c r="Z91" s="4">
        <v>29.07</v>
      </c>
      <c r="AA91" s="4">
        <v>1.65</v>
      </c>
      <c r="AB91" s="4">
        <v>4.3</v>
      </c>
      <c r="AC91" s="4">
        <v>70.930000000000007</v>
      </c>
      <c r="AD91" s="4">
        <v>680</v>
      </c>
      <c r="AE91" s="4">
        <v>5900</v>
      </c>
      <c r="AF91" s="4">
        <v>84.33</v>
      </c>
      <c r="AG91" s="4">
        <v>0.59</v>
      </c>
      <c r="AH91" s="4">
        <v>9.2899999999999991</v>
      </c>
      <c r="AI91" s="4">
        <v>235.64</v>
      </c>
      <c r="AJ91" s="4">
        <v>60</v>
      </c>
      <c r="AK91" s="4">
        <v>9</v>
      </c>
      <c r="AL91" s="4">
        <v>9</v>
      </c>
      <c r="AM91" s="4">
        <v>0.13</v>
      </c>
      <c r="AN91" s="4">
        <v>408</v>
      </c>
      <c r="AO91" s="4">
        <v>409.2</v>
      </c>
      <c r="AP91" s="4">
        <v>416265.88</v>
      </c>
      <c r="AQ91" s="4">
        <v>416265.88</v>
      </c>
      <c r="AR91" s="4" t="s">
        <v>427</v>
      </c>
      <c r="AS91" s="5">
        <f t="shared" si="0"/>
        <v>0</v>
      </c>
    </row>
    <row r="92" spans="1:45" ht="14.25" customHeight="1" x14ac:dyDescent="0.55000000000000004">
      <c r="A92" s="4">
        <v>22.51</v>
      </c>
      <c r="B92" s="4">
        <v>31.86</v>
      </c>
      <c r="C92" s="4">
        <v>5394.4</v>
      </c>
      <c r="D92" s="4">
        <v>7.6</v>
      </c>
      <c r="E92" s="4" t="s">
        <v>2279</v>
      </c>
      <c r="F92" s="4" t="s">
        <v>2280</v>
      </c>
      <c r="G92" s="4" t="s">
        <v>2055</v>
      </c>
      <c r="H92" s="4" t="s">
        <v>464</v>
      </c>
      <c r="I92" s="4">
        <v>0</v>
      </c>
      <c r="J92" s="4">
        <v>559.15</v>
      </c>
      <c r="K92" s="4">
        <f t="shared" si="4"/>
        <v>58.660000000000004</v>
      </c>
      <c r="L92" s="4">
        <f t="shared" si="5"/>
        <v>58.660000000000004</v>
      </c>
      <c r="M92" s="4">
        <f t="shared" si="6"/>
        <v>0</v>
      </c>
      <c r="N92" s="4">
        <v>7.08</v>
      </c>
      <c r="O92" s="4">
        <v>81.98</v>
      </c>
      <c r="P92" s="4">
        <v>85</v>
      </c>
      <c r="Q92" s="4">
        <v>20.5</v>
      </c>
      <c r="R92" s="4">
        <v>9.35</v>
      </c>
      <c r="S92" s="4">
        <v>18.64</v>
      </c>
      <c r="T92" s="4">
        <v>3.87</v>
      </c>
      <c r="U92" s="4">
        <v>9.65</v>
      </c>
      <c r="V92" s="4">
        <v>3452.42</v>
      </c>
      <c r="W92" s="4">
        <v>1035.1199999999999</v>
      </c>
      <c r="X92" s="4">
        <v>1324.6</v>
      </c>
      <c r="Y92" s="4">
        <v>757.5</v>
      </c>
      <c r="Z92" s="4">
        <v>29.3</v>
      </c>
      <c r="AA92" s="4">
        <v>1.65</v>
      </c>
      <c r="AB92" s="4">
        <v>4.3</v>
      </c>
      <c r="AC92" s="4">
        <v>70.709999999999994</v>
      </c>
      <c r="AD92" s="4">
        <v>680</v>
      </c>
      <c r="AE92" s="4">
        <v>5900</v>
      </c>
      <c r="AF92" s="4">
        <v>84.42</v>
      </c>
      <c r="AG92" s="4">
        <v>0.59</v>
      </c>
      <c r="AH92" s="4">
        <v>9.76</v>
      </c>
      <c r="AI92" s="4">
        <v>235.37</v>
      </c>
      <c r="AJ92" s="4">
        <v>60</v>
      </c>
      <c r="AK92" s="4">
        <v>9</v>
      </c>
      <c r="AL92" s="4">
        <v>9</v>
      </c>
      <c r="AM92" s="4">
        <v>0.13</v>
      </c>
      <c r="AN92" s="4">
        <v>408</v>
      </c>
      <c r="AO92" s="4">
        <v>409.2</v>
      </c>
      <c r="AP92" s="4">
        <v>409931.53</v>
      </c>
      <c r="AQ92" s="4">
        <v>409931.53</v>
      </c>
      <c r="AR92" s="4" t="s">
        <v>432</v>
      </c>
      <c r="AS92" s="5">
        <f t="shared" si="0"/>
        <v>0</v>
      </c>
    </row>
    <row r="93" spans="1:45" ht="14.25" customHeight="1" x14ac:dyDescent="0.55000000000000004">
      <c r="A93" s="4">
        <v>21.34</v>
      </c>
      <c r="B93" s="4">
        <v>30.61</v>
      </c>
      <c r="C93" s="4">
        <v>5402.5</v>
      </c>
      <c r="D93" s="4">
        <v>7.59</v>
      </c>
      <c r="E93" s="4" t="s">
        <v>2281</v>
      </c>
      <c r="F93" s="4" t="s">
        <v>2282</v>
      </c>
      <c r="G93" s="4" t="s">
        <v>2162</v>
      </c>
      <c r="H93" s="4" t="s">
        <v>2283</v>
      </c>
      <c r="I93" s="4">
        <v>0</v>
      </c>
      <c r="J93" s="4">
        <v>535.03</v>
      </c>
      <c r="K93" s="4">
        <f t="shared" si="4"/>
        <v>57.599999999999994</v>
      </c>
      <c r="L93" s="4">
        <f t="shared" si="5"/>
        <v>65.7</v>
      </c>
      <c r="M93" s="4">
        <f t="shared" si="6"/>
        <v>-8.1000000000000085</v>
      </c>
      <c r="N93" s="4">
        <v>7.06</v>
      </c>
      <c r="O93" s="4">
        <v>81.93</v>
      </c>
      <c r="P93" s="4">
        <v>96</v>
      </c>
      <c r="Q93" s="4">
        <v>17.100000000000001</v>
      </c>
      <c r="R93" s="4">
        <v>9.2799999999999994</v>
      </c>
      <c r="S93" s="4">
        <v>16.62</v>
      </c>
      <c r="T93" s="4">
        <v>4.72</v>
      </c>
      <c r="U93" s="4">
        <v>10.1</v>
      </c>
      <c r="V93" s="4">
        <v>3457.6</v>
      </c>
      <c r="W93" s="4">
        <v>1038.5</v>
      </c>
      <c r="X93" s="4">
        <v>1347</v>
      </c>
      <c r="Y93" s="4">
        <v>763.66</v>
      </c>
      <c r="Z93" s="4">
        <v>5.7</v>
      </c>
      <c r="AA93" s="4">
        <v>1.63</v>
      </c>
      <c r="AB93" s="4">
        <v>4.34</v>
      </c>
      <c r="AC93" s="4">
        <v>66.28</v>
      </c>
      <c r="AD93" s="4">
        <v>680</v>
      </c>
      <c r="AE93" s="4">
        <v>5900</v>
      </c>
      <c r="AF93" s="4">
        <v>83.74</v>
      </c>
      <c r="AG93" s="4">
        <v>0.59</v>
      </c>
      <c r="AH93" s="4">
        <v>9.2100000000000009</v>
      </c>
      <c r="AI93" s="4">
        <v>46.62</v>
      </c>
      <c r="AJ93" s="4">
        <v>60</v>
      </c>
      <c r="AK93" s="4">
        <v>9</v>
      </c>
      <c r="AL93" s="4">
        <v>9</v>
      </c>
      <c r="AM93" s="4">
        <v>0.67</v>
      </c>
      <c r="AN93" s="4">
        <v>408</v>
      </c>
      <c r="AO93" s="4">
        <v>414.06</v>
      </c>
      <c r="AP93" s="4">
        <v>410491.18</v>
      </c>
      <c r="AQ93" s="4">
        <v>208449.73</v>
      </c>
      <c r="AR93" s="4" t="s">
        <v>1468</v>
      </c>
      <c r="AS93" s="5">
        <f t="shared" si="0"/>
        <v>11.532046232876711</v>
      </c>
    </row>
    <row r="94" spans="1:45" ht="14.25" customHeight="1" x14ac:dyDescent="0.55000000000000004">
      <c r="A94" s="4">
        <v>23.05</v>
      </c>
      <c r="B94" s="4">
        <v>32.340000000000003</v>
      </c>
      <c r="C94" s="4">
        <v>5405.2</v>
      </c>
      <c r="D94" s="4">
        <v>7.6</v>
      </c>
      <c r="E94" s="4" t="s">
        <v>2284</v>
      </c>
      <c r="F94" s="4" t="s">
        <v>2285</v>
      </c>
      <c r="G94" s="4" t="s">
        <v>620</v>
      </c>
      <c r="H94" s="4" t="s">
        <v>464</v>
      </c>
      <c r="I94" s="4">
        <v>0</v>
      </c>
      <c r="J94" s="4">
        <v>527.89</v>
      </c>
      <c r="K94" s="4">
        <f t="shared" si="4"/>
        <v>57.489999999999995</v>
      </c>
      <c r="L94" s="4">
        <f t="shared" si="5"/>
        <v>57.489999999999995</v>
      </c>
      <c r="M94" s="4">
        <f t="shared" si="6"/>
        <v>0</v>
      </c>
      <c r="N94" s="4">
        <v>7.06</v>
      </c>
      <c r="O94" s="4">
        <v>82.01</v>
      </c>
      <c r="P94" s="4">
        <v>79</v>
      </c>
      <c r="Q94" s="4">
        <v>22</v>
      </c>
      <c r="R94" s="4">
        <v>9.2899999999999991</v>
      </c>
      <c r="S94" s="4">
        <v>19.32</v>
      </c>
      <c r="T94" s="4">
        <v>3.73</v>
      </c>
      <c r="U94" s="4">
        <v>10.24</v>
      </c>
      <c r="V94" s="4">
        <v>3459.33</v>
      </c>
      <c r="W94" s="4">
        <v>1040.43</v>
      </c>
      <c r="X94" s="4">
        <v>1360.16</v>
      </c>
      <c r="Y94" s="4">
        <v>767.57</v>
      </c>
      <c r="Z94" s="4">
        <v>28.7</v>
      </c>
      <c r="AA94" s="4">
        <v>1.67</v>
      </c>
      <c r="AB94" s="4">
        <v>4.26</v>
      </c>
      <c r="AC94" s="4">
        <v>71.33</v>
      </c>
      <c r="AD94" s="4">
        <v>680</v>
      </c>
      <c r="AE94" s="4">
        <v>5900</v>
      </c>
      <c r="AF94" s="4">
        <v>83.84</v>
      </c>
      <c r="AG94" s="4">
        <v>0.59</v>
      </c>
      <c r="AH94" s="4">
        <v>9.07</v>
      </c>
      <c r="AI94" s="4">
        <v>235.25</v>
      </c>
      <c r="AJ94" s="4">
        <v>60</v>
      </c>
      <c r="AK94" s="4">
        <v>9</v>
      </c>
      <c r="AL94" s="4">
        <v>9</v>
      </c>
      <c r="AM94" s="4">
        <v>0.13</v>
      </c>
      <c r="AN94" s="4">
        <v>408</v>
      </c>
      <c r="AO94" s="4">
        <v>409.2</v>
      </c>
      <c r="AP94" s="4">
        <v>409672.96000000002</v>
      </c>
      <c r="AQ94" s="4">
        <v>409672.96000000002</v>
      </c>
      <c r="AR94" s="4" t="s">
        <v>436</v>
      </c>
      <c r="AS94" s="5">
        <f t="shared" si="0"/>
        <v>0</v>
      </c>
    </row>
    <row r="95" spans="1:45" ht="14.25" customHeight="1" x14ac:dyDescent="0.55000000000000004">
      <c r="A95" s="4">
        <v>22.84</v>
      </c>
      <c r="B95" s="4">
        <v>32.15</v>
      </c>
      <c r="C95" s="4">
        <v>5403.8</v>
      </c>
      <c r="D95" s="4">
        <v>7.61</v>
      </c>
      <c r="E95" s="4" t="s">
        <v>2286</v>
      </c>
      <c r="F95" s="4" t="s">
        <v>2287</v>
      </c>
      <c r="G95" s="4" t="s">
        <v>2288</v>
      </c>
      <c r="H95" s="4" t="s">
        <v>2289</v>
      </c>
      <c r="I95" s="4">
        <v>0</v>
      </c>
      <c r="J95" s="4">
        <v>556.09</v>
      </c>
      <c r="K95" s="4">
        <f t="shared" si="4"/>
        <v>59.97</v>
      </c>
      <c r="L95" s="4">
        <f t="shared" si="5"/>
        <v>63.01</v>
      </c>
      <c r="M95" s="4">
        <f t="shared" si="6"/>
        <v>-3.0399999999999991</v>
      </c>
      <c r="N95" s="4">
        <v>7.08</v>
      </c>
      <c r="O95" s="4">
        <v>82</v>
      </c>
      <c r="P95" s="4">
        <v>89</v>
      </c>
      <c r="Q95" s="4">
        <v>20.399999999999999</v>
      </c>
      <c r="R95" s="4">
        <v>9.32</v>
      </c>
      <c r="S95" s="4">
        <v>19.04</v>
      </c>
      <c r="T95" s="4">
        <v>3.8</v>
      </c>
      <c r="U95" s="4">
        <v>9.7200000000000006</v>
      </c>
      <c r="V95" s="4">
        <v>3458.43</v>
      </c>
      <c r="W95" s="4">
        <v>1038.42</v>
      </c>
      <c r="X95" s="4">
        <v>1338.61</v>
      </c>
      <c r="Y95" s="4">
        <v>762.39</v>
      </c>
      <c r="Z95" s="4">
        <v>11.9</v>
      </c>
      <c r="AA95" s="4">
        <v>1.67</v>
      </c>
      <c r="AB95" s="4">
        <v>4.2699999999999996</v>
      </c>
      <c r="AC95" s="4">
        <v>71.05</v>
      </c>
      <c r="AD95" s="4">
        <v>680</v>
      </c>
      <c r="AE95" s="4">
        <v>5900</v>
      </c>
      <c r="AF95" s="4">
        <v>84.1</v>
      </c>
      <c r="AG95" s="4">
        <v>0.59</v>
      </c>
      <c r="AH95" s="4">
        <v>9.65</v>
      </c>
      <c r="AI95" s="4">
        <v>93.47</v>
      </c>
      <c r="AJ95" s="4">
        <v>60</v>
      </c>
      <c r="AK95" s="4">
        <v>9</v>
      </c>
      <c r="AL95" s="4">
        <v>9</v>
      </c>
      <c r="AM95" s="4">
        <v>0.34</v>
      </c>
      <c r="AN95" s="4">
        <v>408</v>
      </c>
      <c r="AO95" s="4">
        <v>411.02</v>
      </c>
      <c r="AP95" s="4">
        <v>415827.08</v>
      </c>
      <c r="AQ95" s="4">
        <v>412695.93</v>
      </c>
      <c r="AR95" s="4" t="s">
        <v>441</v>
      </c>
      <c r="AS95" s="5">
        <f t="shared" si="0"/>
        <v>0.17871860730593742</v>
      </c>
    </row>
    <row r="96" spans="1:45" ht="14.25" customHeight="1" x14ac:dyDescent="0.55000000000000004">
      <c r="A96" s="4">
        <v>21.33</v>
      </c>
      <c r="B96" s="4">
        <v>30.51</v>
      </c>
      <c r="C96" s="4">
        <v>5403.6</v>
      </c>
      <c r="D96" s="4">
        <v>7.61</v>
      </c>
      <c r="E96" s="4" t="s">
        <v>2290</v>
      </c>
      <c r="F96" s="4" t="s">
        <v>2291</v>
      </c>
      <c r="G96" s="4" t="s">
        <v>2158</v>
      </c>
      <c r="H96" s="4" t="s">
        <v>2292</v>
      </c>
      <c r="I96" s="4">
        <v>0</v>
      </c>
      <c r="J96" s="4">
        <v>468.96</v>
      </c>
      <c r="K96" s="4">
        <f t="shared" si="4"/>
        <v>54.19</v>
      </c>
      <c r="L96" s="4">
        <f t="shared" si="5"/>
        <v>61.68</v>
      </c>
      <c r="M96" s="4">
        <f t="shared" si="6"/>
        <v>-7.490000000000002</v>
      </c>
      <c r="N96" s="4">
        <v>7.01</v>
      </c>
      <c r="O96" s="4">
        <v>82.01</v>
      </c>
      <c r="P96" s="4">
        <v>97</v>
      </c>
      <c r="Q96" s="4">
        <v>17.100000000000001</v>
      </c>
      <c r="R96" s="4">
        <v>9.18</v>
      </c>
      <c r="S96" s="4">
        <v>16.739999999999998</v>
      </c>
      <c r="T96" s="4">
        <v>4.5999999999999996</v>
      </c>
      <c r="U96" s="4">
        <v>11.52</v>
      </c>
      <c r="V96" s="4">
        <v>3458.3</v>
      </c>
      <c r="W96" s="4">
        <v>1043.5999999999999</v>
      </c>
      <c r="X96" s="4">
        <v>1406.09</v>
      </c>
      <c r="Y96" s="4">
        <v>777.7</v>
      </c>
      <c r="Z96" s="4">
        <v>5.71</v>
      </c>
      <c r="AA96" s="4">
        <v>1.66</v>
      </c>
      <c r="AB96" s="4">
        <v>4.29</v>
      </c>
      <c r="AC96" s="4">
        <v>66.62</v>
      </c>
      <c r="AD96" s="4">
        <v>680</v>
      </c>
      <c r="AE96" s="4">
        <v>5900</v>
      </c>
      <c r="AF96" s="4">
        <v>82.84</v>
      </c>
      <c r="AG96" s="4">
        <v>0.59</v>
      </c>
      <c r="AH96" s="4">
        <v>7.87</v>
      </c>
      <c r="AI96" s="4">
        <v>49.66</v>
      </c>
      <c r="AJ96" s="4">
        <v>60</v>
      </c>
      <c r="AK96" s="4">
        <v>9</v>
      </c>
      <c r="AL96" s="4">
        <v>9</v>
      </c>
      <c r="AM96" s="4">
        <v>0.63</v>
      </c>
      <c r="AN96" s="4">
        <v>408</v>
      </c>
      <c r="AO96" s="4">
        <v>413.69</v>
      </c>
      <c r="AP96" s="4">
        <v>409350.51</v>
      </c>
      <c r="AQ96" s="4">
        <v>189228.28</v>
      </c>
      <c r="AR96" s="4" t="s">
        <v>1481</v>
      </c>
      <c r="AS96" s="5">
        <f t="shared" si="0"/>
        <v>12.564054223744293</v>
      </c>
    </row>
    <row r="97" spans="1:45" ht="14.25" customHeight="1" x14ac:dyDescent="0.55000000000000004">
      <c r="A97" s="4">
        <v>22.09</v>
      </c>
      <c r="B97" s="4">
        <v>31.36</v>
      </c>
      <c r="C97" s="4">
        <v>5403.1</v>
      </c>
      <c r="D97" s="4">
        <v>7.6</v>
      </c>
      <c r="E97" s="4" t="s">
        <v>2293</v>
      </c>
      <c r="F97" s="4" t="s">
        <v>2294</v>
      </c>
      <c r="G97" s="4" t="s">
        <v>2162</v>
      </c>
      <c r="H97" s="4" t="s">
        <v>2295</v>
      </c>
      <c r="I97" s="4">
        <v>0</v>
      </c>
      <c r="J97" s="4">
        <v>497.55</v>
      </c>
      <c r="K97" s="4">
        <f t="shared" si="4"/>
        <v>55.33</v>
      </c>
      <c r="L97" s="4">
        <f t="shared" si="5"/>
        <v>55.33</v>
      </c>
      <c r="M97" s="4">
        <f t="shared" si="6"/>
        <v>0</v>
      </c>
      <c r="N97" s="4">
        <v>7.03</v>
      </c>
      <c r="O97" s="4">
        <v>82.03</v>
      </c>
      <c r="P97" s="4">
        <v>95</v>
      </c>
      <c r="Q97" s="4">
        <v>18.7</v>
      </c>
      <c r="R97" s="4">
        <v>9.27</v>
      </c>
      <c r="S97" s="4">
        <v>18.09</v>
      </c>
      <c r="T97" s="4">
        <v>4</v>
      </c>
      <c r="U97" s="4">
        <v>10.86</v>
      </c>
      <c r="V97" s="4">
        <v>3457.98</v>
      </c>
      <c r="W97" s="4">
        <v>1041.6199999999999</v>
      </c>
      <c r="X97" s="4">
        <v>1381.44</v>
      </c>
      <c r="Y97" s="4">
        <v>772.09</v>
      </c>
      <c r="Z97" s="4">
        <v>27.75</v>
      </c>
      <c r="AA97" s="4">
        <v>1.66</v>
      </c>
      <c r="AB97" s="4">
        <v>4.28</v>
      </c>
      <c r="AC97" s="4">
        <v>69.88</v>
      </c>
      <c r="AD97" s="4">
        <v>680</v>
      </c>
      <c r="AE97" s="4">
        <v>5900</v>
      </c>
      <c r="AF97" s="4">
        <v>83.68</v>
      </c>
      <c r="AG97" s="4">
        <v>0.59</v>
      </c>
      <c r="AH97" s="4">
        <v>8.49</v>
      </c>
      <c r="AI97" s="4">
        <v>236.33</v>
      </c>
      <c r="AJ97" s="4">
        <v>60</v>
      </c>
      <c r="AK97" s="4">
        <v>9</v>
      </c>
      <c r="AL97" s="4">
        <v>9</v>
      </c>
      <c r="AM97" s="4">
        <v>0.13</v>
      </c>
      <c r="AN97" s="4">
        <v>408</v>
      </c>
      <c r="AO97" s="4">
        <v>409.2</v>
      </c>
      <c r="AP97" s="4">
        <v>406821.37</v>
      </c>
      <c r="AQ97" s="4">
        <v>406821.37</v>
      </c>
      <c r="AR97" s="4" t="s">
        <v>446</v>
      </c>
      <c r="AS97" s="5">
        <f t="shared" si="0"/>
        <v>0</v>
      </c>
    </row>
    <row r="98" spans="1:45" ht="14.25" customHeight="1" x14ac:dyDescent="0.55000000000000004">
      <c r="A98" s="4">
        <v>21.83</v>
      </c>
      <c r="B98" s="4">
        <v>31.04</v>
      </c>
      <c r="C98" s="4">
        <v>5417.5</v>
      </c>
      <c r="D98" s="4">
        <v>7.61</v>
      </c>
      <c r="E98" s="4" t="s">
        <v>2296</v>
      </c>
      <c r="F98" s="4" t="s">
        <v>2297</v>
      </c>
      <c r="G98" s="4" t="s">
        <v>2125</v>
      </c>
      <c r="H98" s="4" t="s">
        <v>464</v>
      </c>
      <c r="I98" s="4">
        <v>0</v>
      </c>
      <c r="J98" s="4">
        <v>492.38</v>
      </c>
      <c r="K98" s="4">
        <f t="shared" si="4"/>
        <v>55.72</v>
      </c>
      <c r="L98" s="4">
        <f t="shared" si="5"/>
        <v>55.72</v>
      </c>
      <c r="M98" s="4">
        <f t="shared" si="6"/>
        <v>0</v>
      </c>
      <c r="N98" s="4">
        <v>7.03</v>
      </c>
      <c r="O98" s="4">
        <v>81.95</v>
      </c>
      <c r="P98" s="4">
        <v>97</v>
      </c>
      <c r="Q98" s="4">
        <v>18.100000000000001</v>
      </c>
      <c r="R98" s="4">
        <v>9.2100000000000009</v>
      </c>
      <c r="S98" s="4">
        <v>17.739999999999998</v>
      </c>
      <c r="T98" s="4">
        <v>4.09</v>
      </c>
      <c r="U98" s="4">
        <v>11</v>
      </c>
      <c r="V98" s="4">
        <v>3467.2</v>
      </c>
      <c r="W98" s="4">
        <v>1044.31</v>
      </c>
      <c r="X98" s="4">
        <v>1386.35</v>
      </c>
      <c r="Y98" s="4">
        <v>774.14</v>
      </c>
      <c r="Z98" s="4">
        <v>27.8</v>
      </c>
      <c r="AA98" s="4">
        <v>1.66</v>
      </c>
      <c r="AB98" s="4">
        <v>4.28</v>
      </c>
      <c r="AC98" s="4">
        <v>69.260000000000005</v>
      </c>
      <c r="AD98" s="4">
        <v>680</v>
      </c>
      <c r="AE98" s="4">
        <v>5900</v>
      </c>
      <c r="AF98" s="4">
        <v>83.18</v>
      </c>
      <c r="AG98" s="4">
        <v>0.59</v>
      </c>
      <c r="AH98" s="4">
        <v>8.32</v>
      </c>
      <c r="AI98" s="4">
        <v>235.16</v>
      </c>
      <c r="AJ98" s="4">
        <v>60</v>
      </c>
      <c r="AK98" s="4">
        <v>9</v>
      </c>
      <c r="AL98" s="4">
        <v>9</v>
      </c>
      <c r="AM98" s="4">
        <v>0.13</v>
      </c>
      <c r="AN98" s="4">
        <v>408</v>
      </c>
      <c r="AO98" s="4">
        <v>409.2</v>
      </c>
      <c r="AP98" s="4">
        <v>412601.99</v>
      </c>
      <c r="AQ98" s="4">
        <v>412601.99</v>
      </c>
      <c r="AR98" s="4" t="s">
        <v>451</v>
      </c>
      <c r="AS98" s="5">
        <f t="shared" si="0"/>
        <v>0</v>
      </c>
    </row>
    <row r="99" spans="1:45" ht="14.25" customHeight="1" x14ac:dyDescent="0.55000000000000004">
      <c r="A99" s="4">
        <v>21.12</v>
      </c>
      <c r="B99" s="4">
        <v>30.4</v>
      </c>
      <c r="C99" s="4">
        <v>5387</v>
      </c>
      <c r="D99" s="4">
        <v>7.6</v>
      </c>
      <c r="E99" s="4" t="s">
        <v>2298</v>
      </c>
      <c r="F99" s="4" t="s">
        <v>2285</v>
      </c>
      <c r="G99" s="4" t="s">
        <v>2299</v>
      </c>
      <c r="H99" s="4" t="s">
        <v>464</v>
      </c>
      <c r="I99" s="4">
        <v>0</v>
      </c>
      <c r="J99" s="4">
        <v>520.41</v>
      </c>
      <c r="K99" s="4">
        <f t="shared" si="4"/>
        <v>56.34</v>
      </c>
      <c r="L99" s="4">
        <f t="shared" si="5"/>
        <v>56.34</v>
      </c>
      <c r="M99" s="4">
        <f t="shared" si="6"/>
        <v>0</v>
      </c>
      <c r="N99" s="4">
        <v>7.04</v>
      </c>
      <c r="O99" s="4">
        <v>82</v>
      </c>
      <c r="P99" s="4">
        <v>98</v>
      </c>
      <c r="Q99" s="4">
        <v>16.600000000000001</v>
      </c>
      <c r="R99" s="4">
        <v>9.2799999999999994</v>
      </c>
      <c r="S99" s="4">
        <v>16.350000000000001</v>
      </c>
      <c r="T99" s="4">
        <v>4.7699999999999996</v>
      </c>
      <c r="U99" s="4">
        <v>10.35</v>
      </c>
      <c r="V99" s="4">
        <v>3447.68</v>
      </c>
      <c r="W99" s="4">
        <v>1035.92</v>
      </c>
      <c r="X99" s="4">
        <v>1350.65</v>
      </c>
      <c r="Y99" s="4">
        <v>762.89</v>
      </c>
      <c r="Z99" s="4">
        <v>28.14</v>
      </c>
      <c r="AA99" s="4">
        <v>1.63</v>
      </c>
      <c r="AB99" s="4">
        <v>4.34</v>
      </c>
      <c r="AC99" s="4">
        <v>66.03</v>
      </c>
      <c r="AD99" s="4">
        <v>680</v>
      </c>
      <c r="AE99" s="4">
        <v>5900</v>
      </c>
      <c r="AF99" s="4">
        <v>83.75</v>
      </c>
      <c r="AG99" s="4">
        <v>0.59</v>
      </c>
      <c r="AH99" s="4">
        <v>8.9600000000000009</v>
      </c>
      <c r="AI99" s="4">
        <v>235.4</v>
      </c>
      <c r="AJ99" s="4">
        <v>60</v>
      </c>
      <c r="AK99" s="4">
        <v>9</v>
      </c>
      <c r="AL99" s="4">
        <v>9</v>
      </c>
      <c r="AM99" s="4">
        <v>0.13</v>
      </c>
      <c r="AN99" s="4">
        <v>408</v>
      </c>
      <c r="AO99" s="4">
        <v>409.2</v>
      </c>
      <c r="AP99" s="4">
        <v>408586.77</v>
      </c>
      <c r="AQ99" s="4">
        <v>408586.77</v>
      </c>
      <c r="AR99" s="4" t="s">
        <v>456</v>
      </c>
      <c r="AS99" s="5">
        <f t="shared" si="0"/>
        <v>0</v>
      </c>
    </row>
    <row r="100" spans="1:45" ht="14.25" customHeight="1" x14ac:dyDescent="0.55000000000000004">
      <c r="A100" s="4">
        <v>23.18</v>
      </c>
      <c r="B100" s="4">
        <v>32.49</v>
      </c>
      <c r="C100" s="4">
        <v>5401</v>
      </c>
      <c r="D100" s="4">
        <v>7.6</v>
      </c>
      <c r="E100" s="4" t="s">
        <v>2300</v>
      </c>
      <c r="F100" s="4" t="s">
        <v>2275</v>
      </c>
      <c r="G100" s="4" t="s">
        <v>2301</v>
      </c>
      <c r="H100" s="4" t="s">
        <v>464</v>
      </c>
      <c r="I100" s="4">
        <v>0</v>
      </c>
      <c r="J100" s="4">
        <v>598.77</v>
      </c>
      <c r="K100" s="4">
        <f t="shared" si="4"/>
        <v>62.279999999999994</v>
      </c>
      <c r="L100" s="4">
        <f t="shared" si="5"/>
        <v>62.279999999999994</v>
      </c>
      <c r="M100" s="4">
        <f t="shared" si="6"/>
        <v>0</v>
      </c>
      <c r="N100" s="4">
        <v>7.11</v>
      </c>
      <c r="O100" s="4">
        <v>81.95</v>
      </c>
      <c r="P100" s="4">
        <v>80</v>
      </c>
      <c r="Q100" s="4">
        <v>22</v>
      </c>
      <c r="R100" s="4">
        <v>9.32</v>
      </c>
      <c r="S100" s="4">
        <v>19.45</v>
      </c>
      <c r="T100" s="4">
        <v>3.73</v>
      </c>
      <c r="U100" s="4">
        <v>9.02</v>
      </c>
      <c r="V100" s="4">
        <v>3456.64</v>
      </c>
      <c r="W100" s="4">
        <v>1034.8900000000001</v>
      </c>
      <c r="X100" s="4">
        <v>1304.8499999999999</v>
      </c>
      <c r="Y100" s="4">
        <v>753.81</v>
      </c>
      <c r="Z100" s="4">
        <v>31.14</v>
      </c>
      <c r="AA100" s="4">
        <v>1.66</v>
      </c>
      <c r="AB100" s="4">
        <v>4.29</v>
      </c>
      <c r="AC100" s="4">
        <v>71.430000000000007</v>
      </c>
      <c r="AD100" s="4">
        <v>680</v>
      </c>
      <c r="AE100" s="4">
        <v>5900</v>
      </c>
      <c r="AF100" s="4">
        <v>84.1</v>
      </c>
      <c r="AG100" s="4">
        <v>0.59</v>
      </c>
      <c r="AH100" s="4">
        <v>10.49</v>
      </c>
      <c r="AI100" s="4">
        <v>235.64</v>
      </c>
      <c r="AJ100" s="4">
        <v>60</v>
      </c>
      <c r="AK100" s="4">
        <v>9</v>
      </c>
      <c r="AL100" s="4">
        <v>9</v>
      </c>
      <c r="AM100" s="4">
        <v>0.13</v>
      </c>
      <c r="AN100" s="4">
        <v>408</v>
      </c>
      <c r="AO100" s="4">
        <v>409.2</v>
      </c>
      <c r="AP100" s="4">
        <v>416455.69</v>
      </c>
      <c r="AQ100" s="4">
        <v>416455.69</v>
      </c>
      <c r="AR100" s="4" t="s">
        <v>460</v>
      </c>
      <c r="AS100" s="5">
        <f t="shared" si="0"/>
        <v>0</v>
      </c>
    </row>
    <row r="101" spans="1:45" ht="14.25" customHeight="1" x14ac:dyDescent="0.55000000000000004">
      <c r="A101" s="4">
        <v>21.42</v>
      </c>
      <c r="B101" s="4">
        <v>30.74</v>
      </c>
      <c r="C101" s="4">
        <v>5386.9</v>
      </c>
      <c r="D101" s="4">
        <v>7.6</v>
      </c>
      <c r="E101" s="4" t="s">
        <v>2302</v>
      </c>
      <c r="F101" s="4" t="s">
        <v>2260</v>
      </c>
      <c r="G101" s="4" t="s">
        <v>2303</v>
      </c>
      <c r="H101" s="4" t="s">
        <v>464</v>
      </c>
      <c r="I101" s="4">
        <v>0</v>
      </c>
      <c r="J101" s="4">
        <v>529.05999999999995</v>
      </c>
      <c r="K101" s="4">
        <f t="shared" si="4"/>
        <v>57.660000000000004</v>
      </c>
      <c r="L101" s="4">
        <f t="shared" si="5"/>
        <v>57.660000000000004</v>
      </c>
      <c r="M101" s="4">
        <f t="shared" si="6"/>
        <v>0</v>
      </c>
      <c r="N101" s="4">
        <v>7.06</v>
      </c>
      <c r="O101" s="4">
        <v>81.97</v>
      </c>
      <c r="P101" s="4">
        <v>98</v>
      </c>
      <c r="Q101" s="4">
        <v>17.100000000000001</v>
      </c>
      <c r="R101" s="4">
        <v>9.32</v>
      </c>
      <c r="S101" s="4">
        <v>16.850000000000001</v>
      </c>
      <c r="T101" s="4">
        <v>4.5599999999999996</v>
      </c>
      <c r="U101" s="4">
        <v>10.18</v>
      </c>
      <c r="V101" s="4">
        <v>3447.62</v>
      </c>
      <c r="W101" s="4">
        <v>1036.08</v>
      </c>
      <c r="X101" s="4">
        <v>1349.12</v>
      </c>
      <c r="Y101" s="4">
        <v>762.99</v>
      </c>
      <c r="Z101" s="4">
        <v>28.85</v>
      </c>
      <c r="AA101" s="4">
        <v>1.63</v>
      </c>
      <c r="AB101" s="4">
        <v>4.33</v>
      </c>
      <c r="AC101" s="4">
        <v>67.13</v>
      </c>
      <c r="AD101" s="4">
        <v>680</v>
      </c>
      <c r="AE101" s="4">
        <v>5900</v>
      </c>
      <c r="AF101" s="4">
        <v>84.13</v>
      </c>
      <c r="AG101" s="4">
        <v>0.59</v>
      </c>
      <c r="AH101" s="4">
        <v>9.16</v>
      </c>
      <c r="AI101" s="4">
        <v>235.81</v>
      </c>
      <c r="AJ101" s="4">
        <v>60</v>
      </c>
      <c r="AK101" s="4">
        <v>9</v>
      </c>
      <c r="AL101" s="4">
        <v>9</v>
      </c>
      <c r="AM101" s="4">
        <v>0.13</v>
      </c>
      <c r="AN101" s="4">
        <v>408</v>
      </c>
      <c r="AO101" s="4">
        <v>409.2</v>
      </c>
      <c r="AP101" s="4">
        <v>412479.67</v>
      </c>
      <c r="AQ101" s="4">
        <v>412479.67</v>
      </c>
      <c r="AR101" s="4" t="s">
        <v>465</v>
      </c>
      <c r="AS101" s="5">
        <f t="shared" si="0"/>
        <v>0</v>
      </c>
    </row>
    <row r="102" spans="1:45" ht="14.25" customHeight="1" x14ac:dyDescent="0.55000000000000004">
      <c r="A102" s="4">
        <v>21.42</v>
      </c>
      <c r="B102" s="4">
        <v>30.62</v>
      </c>
      <c r="C102" s="4">
        <v>5411.2</v>
      </c>
      <c r="D102" s="4">
        <v>7.6</v>
      </c>
      <c r="E102" s="4" t="s">
        <v>2304</v>
      </c>
      <c r="F102" s="4" t="s">
        <v>2305</v>
      </c>
      <c r="G102" s="4" t="s">
        <v>2158</v>
      </c>
      <c r="H102" s="4" t="s">
        <v>464</v>
      </c>
      <c r="I102" s="4">
        <v>0</v>
      </c>
      <c r="J102" s="4">
        <v>461.83</v>
      </c>
      <c r="K102" s="4">
        <f t="shared" si="4"/>
        <v>54.04</v>
      </c>
      <c r="L102" s="4">
        <f t="shared" si="5"/>
        <v>54.04</v>
      </c>
      <c r="M102" s="4">
        <f t="shared" si="6"/>
        <v>0</v>
      </c>
      <c r="N102" s="4">
        <v>7</v>
      </c>
      <c r="O102" s="4">
        <v>82.05</v>
      </c>
      <c r="P102" s="4">
        <v>97</v>
      </c>
      <c r="Q102" s="4">
        <v>17.3</v>
      </c>
      <c r="R102" s="4">
        <v>9.1999999999999993</v>
      </c>
      <c r="S102" s="4">
        <v>16.940000000000001</v>
      </c>
      <c r="T102" s="4">
        <v>4.49</v>
      </c>
      <c r="U102" s="4">
        <v>11.72</v>
      </c>
      <c r="V102" s="4">
        <v>3463.17</v>
      </c>
      <c r="W102" s="4">
        <v>1045.5899999999999</v>
      </c>
      <c r="X102" s="4">
        <v>1414.75</v>
      </c>
      <c r="Y102" s="4">
        <v>780.32</v>
      </c>
      <c r="Z102" s="4">
        <v>27.05</v>
      </c>
      <c r="AA102" s="4">
        <v>1.66</v>
      </c>
      <c r="AB102" s="4">
        <v>4.28</v>
      </c>
      <c r="AC102" s="4">
        <v>67.209999999999994</v>
      </c>
      <c r="AD102" s="4">
        <v>680</v>
      </c>
      <c r="AE102" s="4">
        <v>5900</v>
      </c>
      <c r="AF102" s="4">
        <v>83.02</v>
      </c>
      <c r="AG102" s="4">
        <v>0.59</v>
      </c>
      <c r="AH102" s="4">
        <v>7.75</v>
      </c>
      <c r="AI102" s="4">
        <v>235.87</v>
      </c>
      <c r="AJ102" s="4">
        <v>60</v>
      </c>
      <c r="AK102" s="4">
        <v>9</v>
      </c>
      <c r="AL102" s="4">
        <v>9</v>
      </c>
      <c r="AM102" s="4">
        <v>0.13</v>
      </c>
      <c r="AN102" s="4">
        <v>408</v>
      </c>
      <c r="AO102" s="4">
        <v>409.2</v>
      </c>
      <c r="AP102" s="4">
        <v>410927.93</v>
      </c>
      <c r="AQ102" s="4">
        <v>410927.93</v>
      </c>
      <c r="AR102" s="4" t="s">
        <v>469</v>
      </c>
      <c r="AS102" s="5">
        <f t="shared" si="0"/>
        <v>0</v>
      </c>
    </row>
    <row r="103" spans="1:45" ht="14.25" customHeight="1" x14ac:dyDescent="0.55000000000000004">
      <c r="A103" s="4">
        <v>23.11</v>
      </c>
      <c r="B103" s="4">
        <v>32.39</v>
      </c>
      <c r="C103" s="4">
        <v>5407.5</v>
      </c>
      <c r="D103" s="4">
        <v>7.6</v>
      </c>
      <c r="E103" s="4" t="s">
        <v>2306</v>
      </c>
      <c r="F103" s="4" t="s">
        <v>2307</v>
      </c>
      <c r="G103" s="4" t="s">
        <v>2308</v>
      </c>
      <c r="H103" s="4" t="s">
        <v>464</v>
      </c>
      <c r="I103" s="4">
        <v>0</v>
      </c>
      <c r="J103" s="4">
        <v>574.94000000000005</v>
      </c>
      <c r="K103" s="4">
        <f t="shared" si="4"/>
        <v>60.839999999999996</v>
      </c>
      <c r="L103" s="4">
        <f t="shared" si="5"/>
        <v>60.839999999999996</v>
      </c>
      <c r="M103" s="4">
        <f t="shared" si="6"/>
        <v>0</v>
      </c>
      <c r="N103" s="4">
        <v>7.1</v>
      </c>
      <c r="O103" s="4">
        <v>81.99</v>
      </c>
      <c r="P103" s="4">
        <v>78</v>
      </c>
      <c r="Q103" s="4">
        <v>22</v>
      </c>
      <c r="R103" s="4">
        <v>9.2799999999999994</v>
      </c>
      <c r="S103" s="4">
        <v>19.190000000000001</v>
      </c>
      <c r="T103" s="4">
        <v>3.92</v>
      </c>
      <c r="U103" s="4">
        <v>9.41</v>
      </c>
      <c r="V103" s="4">
        <v>3460.8</v>
      </c>
      <c r="W103" s="4">
        <v>1037.81</v>
      </c>
      <c r="X103" s="4">
        <v>1324.75</v>
      </c>
      <c r="Y103" s="4">
        <v>759.29</v>
      </c>
      <c r="Z103" s="4">
        <v>30.36</v>
      </c>
      <c r="AA103" s="4">
        <v>1.66</v>
      </c>
      <c r="AB103" s="4">
        <v>4.28</v>
      </c>
      <c r="AC103" s="4">
        <v>70.319999999999993</v>
      </c>
      <c r="AD103" s="4">
        <v>680</v>
      </c>
      <c r="AE103" s="4">
        <v>5900</v>
      </c>
      <c r="AF103" s="4">
        <v>83.81</v>
      </c>
      <c r="AG103" s="4">
        <v>0.59</v>
      </c>
      <c r="AH103" s="4">
        <v>9.9700000000000006</v>
      </c>
      <c r="AI103" s="4">
        <v>235.16</v>
      </c>
      <c r="AJ103" s="4">
        <v>60</v>
      </c>
      <c r="AK103" s="4">
        <v>9</v>
      </c>
      <c r="AL103" s="4">
        <v>9</v>
      </c>
      <c r="AM103" s="4">
        <v>0.13</v>
      </c>
      <c r="AN103" s="4">
        <v>408</v>
      </c>
      <c r="AO103" s="4">
        <v>409.2</v>
      </c>
      <c r="AP103" s="4">
        <v>415044.93</v>
      </c>
      <c r="AQ103" s="4">
        <v>415044.93</v>
      </c>
      <c r="AR103" s="4" t="s">
        <v>473</v>
      </c>
      <c r="AS103" s="5">
        <f t="shared" si="0"/>
        <v>0</v>
      </c>
    </row>
    <row r="104" spans="1:45" ht="14.25" customHeight="1" x14ac:dyDescent="0.55000000000000004">
      <c r="A104" s="4">
        <v>21.38</v>
      </c>
      <c r="B104" s="4">
        <v>30.59</v>
      </c>
      <c r="C104" s="4">
        <v>5394.2</v>
      </c>
      <c r="D104" s="4">
        <v>7.6</v>
      </c>
      <c r="E104" s="4" t="s">
        <v>2309</v>
      </c>
      <c r="F104" s="4" t="s">
        <v>2310</v>
      </c>
      <c r="G104" s="4" t="s">
        <v>2162</v>
      </c>
      <c r="H104" s="4" t="s">
        <v>2311</v>
      </c>
      <c r="I104" s="4">
        <v>0</v>
      </c>
      <c r="J104" s="4">
        <v>523.20000000000005</v>
      </c>
      <c r="K104" s="4">
        <f t="shared" si="4"/>
        <v>57.19</v>
      </c>
      <c r="L104" s="4">
        <f t="shared" si="5"/>
        <v>62.55</v>
      </c>
      <c r="M104" s="4">
        <f t="shared" si="6"/>
        <v>-5.3599999999999994</v>
      </c>
      <c r="N104" s="4">
        <v>7.05</v>
      </c>
      <c r="O104" s="4">
        <v>82.02</v>
      </c>
      <c r="P104" s="4">
        <v>98</v>
      </c>
      <c r="Q104" s="4">
        <v>17</v>
      </c>
      <c r="R104" s="4">
        <v>9.2100000000000009</v>
      </c>
      <c r="S104" s="4">
        <v>16.75</v>
      </c>
      <c r="T104" s="4">
        <v>4.62</v>
      </c>
      <c r="U104" s="4">
        <v>10.31</v>
      </c>
      <c r="V104" s="4">
        <v>3452.29</v>
      </c>
      <c r="W104" s="4">
        <v>1037.6099999999999</v>
      </c>
      <c r="X104" s="4">
        <v>1353.74</v>
      </c>
      <c r="Y104" s="4">
        <v>764.52</v>
      </c>
      <c r="Z104" s="4">
        <v>7.77</v>
      </c>
      <c r="AA104" s="4">
        <v>1.64</v>
      </c>
      <c r="AB104" s="4">
        <v>4.32</v>
      </c>
      <c r="AC104" s="4">
        <v>66.59</v>
      </c>
      <c r="AD104" s="4">
        <v>680</v>
      </c>
      <c r="AE104" s="4">
        <v>5900</v>
      </c>
      <c r="AF104" s="4">
        <v>83.16</v>
      </c>
      <c r="AG104" s="4">
        <v>0.59</v>
      </c>
      <c r="AH104" s="4">
        <v>8.93</v>
      </c>
      <c r="AI104" s="4">
        <v>64.040000000000006</v>
      </c>
      <c r="AJ104" s="4">
        <v>60</v>
      </c>
      <c r="AK104" s="4">
        <v>9</v>
      </c>
      <c r="AL104" s="4">
        <v>9</v>
      </c>
      <c r="AM104" s="4">
        <v>0.49</v>
      </c>
      <c r="AN104" s="4">
        <v>408</v>
      </c>
      <c r="AO104" s="4">
        <v>412.41</v>
      </c>
      <c r="AP104" s="4">
        <v>412063.39</v>
      </c>
      <c r="AQ104" s="4">
        <v>301692.33</v>
      </c>
      <c r="AR104" s="4" t="s">
        <v>478</v>
      </c>
      <c r="AS104" s="5">
        <f t="shared" si="0"/>
        <v>6.2997180365296801</v>
      </c>
    </row>
    <row r="105" spans="1:45" ht="14.25" customHeight="1" x14ac:dyDescent="0.55000000000000004">
      <c r="A105" s="4">
        <v>22.94</v>
      </c>
      <c r="B105" s="4">
        <v>32.22</v>
      </c>
      <c r="C105" s="4">
        <v>5406.3</v>
      </c>
      <c r="D105" s="4">
        <v>7.59</v>
      </c>
      <c r="E105" s="4" t="s">
        <v>2312</v>
      </c>
      <c r="F105" s="4" t="s">
        <v>2313</v>
      </c>
      <c r="G105" s="4" t="s">
        <v>1341</v>
      </c>
      <c r="H105" s="4" t="s">
        <v>464</v>
      </c>
      <c r="I105" s="4">
        <v>0</v>
      </c>
      <c r="J105" s="4">
        <v>562.6</v>
      </c>
      <c r="K105" s="4">
        <f t="shared" si="4"/>
        <v>61.21</v>
      </c>
      <c r="L105" s="4">
        <f t="shared" si="5"/>
        <v>61.21</v>
      </c>
      <c r="M105" s="4">
        <f t="shared" si="6"/>
        <v>0</v>
      </c>
      <c r="N105" s="4">
        <v>7.1</v>
      </c>
      <c r="O105" s="4">
        <v>81.98</v>
      </c>
      <c r="P105" s="4">
        <v>85</v>
      </c>
      <c r="Q105" s="4">
        <v>20.8</v>
      </c>
      <c r="R105" s="4">
        <v>9.2799999999999994</v>
      </c>
      <c r="S105" s="4">
        <v>18.93</v>
      </c>
      <c r="T105" s="4">
        <v>4.01</v>
      </c>
      <c r="U105" s="4">
        <v>9.61</v>
      </c>
      <c r="V105" s="4">
        <v>3460.03</v>
      </c>
      <c r="W105" s="4">
        <v>1039.5899999999999</v>
      </c>
      <c r="X105" s="4">
        <v>1342.44</v>
      </c>
      <c r="Y105" s="4">
        <v>764.16</v>
      </c>
      <c r="Z105" s="4">
        <v>30.65</v>
      </c>
      <c r="AA105" s="4">
        <v>1.65</v>
      </c>
      <c r="AB105" s="4">
        <v>4.28</v>
      </c>
      <c r="AC105" s="4">
        <v>69.81</v>
      </c>
      <c r="AD105" s="4">
        <v>680</v>
      </c>
      <c r="AE105" s="4">
        <v>5900</v>
      </c>
      <c r="AF105" s="4">
        <v>83.78</v>
      </c>
      <c r="AG105" s="4">
        <v>0.59</v>
      </c>
      <c r="AH105" s="4">
        <v>9.73</v>
      </c>
      <c r="AI105" s="4">
        <v>235.93</v>
      </c>
      <c r="AJ105" s="4">
        <v>60</v>
      </c>
      <c r="AK105" s="4">
        <v>9</v>
      </c>
      <c r="AL105" s="4">
        <v>9</v>
      </c>
      <c r="AM105" s="4">
        <v>0.13</v>
      </c>
      <c r="AN105" s="4">
        <v>408</v>
      </c>
      <c r="AO105" s="4">
        <v>409.2</v>
      </c>
      <c r="AP105" s="4">
        <v>418005.7</v>
      </c>
      <c r="AQ105" s="4">
        <v>418005.7</v>
      </c>
      <c r="AR105" s="4" t="s">
        <v>483</v>
      </c>
      <c r="AS105" s="5">
        <f t="shared" si="0"/>
        <v>0</v>
      </c>
    </row>
    <row r="106" spans="1:45" ht="14.25" customHeight="1" x14ac:dyDescent="0.55000000000000004">
      <c r="A106" s="4">
        <v>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f t="shared" si="4"/>
        <v>0</v>
      </c>
      <c r="L106" s="4">
        <f t="shared" si="5"/>
        <v>0</v>
      </c>
      <c r="M106" s="4">
        <f t="shared" si="6"/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5">
        <f t="shared" si="0"/>
        <v>0</v>
      </c>
    </row>
    <row r="107" spans="1:45" ht="14.25" customHeight="1" x14ac:dyDescent="0.55000000000000004">
      <c r="A107" s="4">
        <v>22.51</v>
      </c>
      <c r="B107" s="4">
        <v>31.65</v>
      </c>
      <c r="C107" s="4">
        <v>5458.8</v>
      </c>
      <c r="D107" s="4">
        <v>7.6</v>
      </c>
      <c r="E107" s="4" t="s">
        <v>2314</v>
      </c>
      <c r="F107" s="4" t="s">
        <v>2275</v>
      </c>
      <c r="G107" s="4" t="s">
        <v>2315</v>
      </c>
      <c r="H107" s="4" t="s">
        <v>464</v>
      </c>
      <c r="I107" s="4">
        <v>0</v>
      </c>
      <c r="J107" s="4">
        <v>577.41999999999996</v>
      </c>
      <c r="K107" s="4">
        <f t="shared" si="4"/>
        <v>57.66</v>
      </c>
      <c r="L107" s="4">
        <f t="shared" si="5"/>
        <v>57.66</v>
      </c>
      <c r="M107" s="4">
        <f t="shared" si="6"/>
        <v>0</v>
      </c>
      <c r="N107" s="4">
        <v>7.05</v>
      </c>
      <c r="O107" s="4">
        <v>81.94</v>
      </c>
      <c r="P107" s="4">
        <v>85</v>
      </c>
      <c r="Q107" s="4">
        <v>20.399999999999999</v>
      </c>
      <c r="R107" s="4">
        <v>9.1300000000000008</v>
      </c>
      <c r="S107" s="4">
        <v>18.54</v>
      </c>
      <c r="T107" s="4">
        <v>3.97</v>
      </c>
      <c r="U107" s="4">
        <v>9.4499999999999993</v>
      </c>
      <c r="V107" s="4">
        <v>3493.63</v>
      </c>
      <c r="W107" s="4">
        <v>1041.31</v>
      </c>
      <c r="X107" s="4">
        <v>1290.52</v>
      </c>
      <c r="Y107" s="4">
        <v>751.64</v>
      </c>
      <c r="Z107" s="4">
        <v>28.76</v>
      </c>
      <c r="AA107" s="4">
        <v>1.64</v>
      </c>
      <c r="AB107" s="4">
        <v>4.32</v>
      </c>
      <c r="AC107" s="4">
        <v>69.680000000000007</v>
      </c>
      <c r="AD107" s="4">
        <v>680</v>
      </c>
      <c r="AE107" s="4">
        <v>5900</v>
      </c>
      <c r="AF107" s="4">
        <v>82.45</v>
      </c>
      <c r="AG107" s="4">
        <v>0.59</v>
      </c>
      <c r="AH107" s="4">
        <v>9.75</v>
      </c>
      <c r="AI107" s="4">
        <v>235.04</v>
      </c>
      <c r="AJ107" s="4">
        <v>60</v>
      </c>
      <c r="AK107" s="4">
        <v>9</v>
      </c>
      <c r="AL107" s="4">
        <v>9</v>
      </c>
      <c r="AM107" s="4">
        <v>0.13</v>
      </c>
      <c r="AN107" s="4">
        <v>408</v>
      </c>
      <c r="AO107" s="4">
        <v>409.2</v>
      </c>
      <c r="AP107" s="4">
        <v>412425.5</v>
      </c>
      <c r="AQ107" s="4">
        <v>412425.5</v>
      </c>
      <c r="AR107" s="4" t="s">
        <v>493</v>
      </c>
      <c r="AS107" s="5">
        <f t="shared" si="0"/>
        <v>0</v>
      </c>
    </row>
    <row r="108" spans="1:45" ht="14.25" customHeight="1" x14ac:dyDescent="0.55000000000000004">
      <c r="A108" s="4">
        <v>22.79</v>
      </c>
      <c r="B108" s="4">
        <v>32.04</v>
      </c>
      <c r="C108" s="4">
        <v>5429.7</v>
      </c>
      <c r="D108" s="4">
        <v>7.61</v>
      </c>
      <c r="E108" s="4" t="s">
        <v>2316</v>
      </c>
      <c r="F108" s="4" t="s">
        <v>2307</v>
      </c>
      <c r="G108" s="4" t="s">
        <v>476</v>
      </c>
      <c r="H108" s="4" t="s">
        <v>464</v>
      </c>
      <c r="I108" s="4">
        <v>0</v>
      </c>
      <c r="J108" s="4">
        <v>611.67999999999995</v>
      </c>
      <c r="K108" s="4">
        <f t="shared" si="4"/>
        <v>61.480000000000004</v>
      </c>
      <c r="L108" s="4">
        <f t="shared" si="5"/>
        <v>61.480000000000004</v>
      </c>
      <c r="M108" s="4">
        <f t="shared" si="6"/>
        <v>0</v>
      </c>
      <c r="N108" s="4">
        <v>7.1</v>
      </c>
      <c r="O108" s="4">
        <v>81.99</v>
      </c>
      <c r="P108" s="4">
        <v>76</v>
      </c>
      <c r="Q108" s="4">
        <v>21.8</v>
      </c>
      <c r="R108" s="4">
        <v>9.25</v>
      </c>
      <c r="S108" s="4">
        <v>18.739999999999998</v>
      </c>
      <c r="T108" s="4">
        <v>4.05</v>
      </c>
      <c r="U108" s="4">
        <v>8.8800000000000008</v>
      </c>
      <c r="V108" s="4">
        <v>3475.01</v>
      </c>
      <c r="W108" s="4">
        <v>1037.08</v>
      </c>
      <c r="X108" s="4">
        <v>1284.5999999999999</v>
      </c>
      <c r="Y108" s="4">
        <v>749.77</v>
      </c>
      <c r="Z108" s="4">
        <v>30.82</v>
      </c>
      <c r="AA108" s="4">
        <v>1.65</v>
      </c>
      <c r="AB108" s="4">
        <v>4.3099999999999996</v>
      </c>
      <c r="AC108" s="4">
        <v>69.540000000000006</v>
      </c>
      <c r="AD108" s="4">
        <v>680</v>
      </c>
      <c r="AE108" s="4">
        <v>5900</v>
      </c>
      <c r="AF108" s="4">
        <v>83.52</v>
      </c>
      <c r="AG108" s="4">
        <v>0.59</v>
      </c>
      <c r="AH108" s="4">
        <v>10.6</v>
      </c>
      <c r="AI108" s="4">
        <v>236.2</v>
      </c>
      <c r="AJ108" s="4">
        <v>60</v>
      </c>
      <c r="AK108" s="4">
        <v>9</v>
      </c>
      <c r="AL108" s="4">
        <v>9</v>
      </c>
      <c r="AM108" s="4">
        <v>0.13</v>
      </c>
      <c r="AN108" s="4">
        <v>408</v>
      </c>
      <c r="AO108" s="4">
        <v>409.2</v>
      </c>
      <c r="AP108" s="4">
        <v>415579.25</v>
      </c>
      <c r="AQ108" s="4">
        <v>415579.25</v>
      </c>
      <c r="AR108" s="4" t="s">
        <v>497</v>
      </c>
      <c r="AS108" s="5">
        <f t="shared" si="0"/>
        <v>0</v>
      </c>
    </row>
    <row r="109" spans="1:45" ht="14.25" customHeight="1" x14ac:dyDescent="0.55000000000000004">
      <c r="A109" s="4">
        <v>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f t="shared" si="4"/>
        <v>0</v>
      </c>
      <c r="L109" s="4">
        <f t="shared" si="5"/>
        <v>0</v>
      </c>
      <c r="M109" s="4">
        <f t="shared" si="6"/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5">
        <f t="shared" si="0"/>
        <v>0</v>
      </c>
    </row>
    <row r="110" spans="1:45" ht="14.25" customHeight="1" x14ac:dyDescent="0.55000000000000004">
      <c r="A110" s="4">
        <v>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f t="shared" si="4"/>
        <v>0</v>
      </c>
      <c r="L110" s="4">
        <f t="shared" si="5"/>
        <v>0</v>
      </c>
      <c r="M110" s="4">
        <f t="shared" si="6"/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5">
        <f t="shared" si="0"/>
        <v>0</v>
      </c>
    </row>
    <row r="111" spans="1:45" ht="14.25" customHeight="1" x14ac:dyDescent="0.55000000000000004">
      <c r="A111" s="4">
        <v>0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f t="shared" si="4"/>
        <v>0</v>
      </c>
      <c r="L111" s="4">
        <f t="shared" si="5"/>
        <v>0</v>
      </c>
      <c r="M111" s="4">
        <f t="shared" si="6"/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5">
        <f t="shared" si="0"/>
        <v>0</v>
      </c>
    </row>
    <row r="112" spans="1:45" ht="14.25" customHeight="1" x14ac:dyDescent="0.55000000000000004">
      <c r="A112" s="4">
        <v>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f t="shared" si="4"/>
        <v>0</v>
      </c>
      <c r="L112" s="4">
        <f t="shared" si="5"/>
        <v>0</v>
      </c>
      <c r="M112" s="4">
        <f t="shared" si="6"/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5">
        <f t="shared" si="0"/>
        <v>0</v>
      </c>
    </row>
    <row r="113" spans="1:45" ht="14.25" customHeight="1" x14ac:dyDescent="0.55000000000000004">
      <c r="A113" s="4">
        <v>23.02</v>
      </c>
      <c r="B113" s="4">
        <v>32.36</v>
      </c>
      <c r="C113" s="4">
        <v>5407</v>
      </c>
      <c r="D113" s="4">
        <v>7.61</v>
      </c>
      <c r="E113" s="4" t="s">
        <v>2317</v>
      </c>
      <c r="F113" s="4" t="s">
        <v>2275</v>
      </c>
      <c r="G113" s="4" t="s">
        <v>601</v>
      </c>
      <c r="H113" s="4" t="s">
        <v>464</v>
      </c>
      <c r="I113" s="4">
        <v>0</v>
      </c>
      <c r="J113" s="4">
        <v>574.17999999999995</v>
      </c>
      <c r="K113" s="4">
        <f t="shared" si="4"/>
        <v>60.660000000000004</v>
      </c>
      <c r="L113" s="4">
        <f t="shared" si="5"/>
        <v>60.660000000000004</v>
      </c>
      <c r="M113" s="4">
        <f t="shared" si="6"/>
        <v>0</v>
      </c>
      <c r="N113" s="4">
        <v>7.09</v>
      </c>
      <c r="O113" s="4">
        <v>81.99</v>
      </c>
      <c r="P113" s="4">
        <v>77</v>
      </c>
      <c r="Q113" s="4">
        <v>22.2</v>
      </c>
      <c r="R113" s="4">
        <v>9.35</v>
      </c>
      <c r="S113" s="4">
        <v>19.25</v>
      </c>
      <c r="T113" s="4">
        <v>3.76</v>
      </c>
      <c r="U113" s="4">
        <v>9.42</v>
      </c>
      <c r="V113" s="4">
        <v>3460.48</v>
      </c>
      <c r="W113" s="4">
        <v>1037.51</v>
      </c>
      <c r="X113" s="4">
        <v>1323.34</v>
      </c>
      <c r="Y113" s="4">
        <v>758.76</v>
      </c>
      <c r="Z113" s="4">
        <v>30.37</v>
      </c>
      <c r="AA113" s="4">
        <v>1.67</v>
      </c>
      <c r="AB113" s="4">
        <v>4.28</v>
      </c>
      <c r="AC113" s="4">
        <v>71.290000000000006</v>
      </c>
      <c r="AD113" s="4">
        <v>680</v>
      </c>
      <c r="AE113" s="4">
        <v>5900</v>
      </c>
      <c r="AF113" s="4">
        <v>84.39</v>
      </c>
      <c r="AG113" s="4">
        <v>0.59</v>
      </c>
      <c r="AH113" s="4">
        <v>10.029999999999999</v>
      </c>
      <c r="AI113" s="4">
        <v>235.92</v>
      </c>
      <c r="AJ113" s="4">
        <v>60</v>
      </c>
      <c r="AK113" s="4">
        <v>9</v>
      </c>
      <c r="AL113" s="4">
        <v>9</v>
      </c>
      <c r="AM113" s="4">
        <v>0.13</v>
      </c>
      <c r="AN113" s="4">
        <v>408</v>
      </c>
      <c r="AO113" s="4">
        <v>409.2</v>
      </c>
      <c r="AP113" s="4">
        <v>414927.2</v>
      </c>
      <c r="AQ113" s="4">
        <v>414927.2</v>
      </c>
      <c r="AR113" s="4" t="s">
        <v>521</v>
      </c>
      <c r="AS113" s="5">
        <f t="shared" si="0"/>
        <v>0</v>
      </c>
    </row>
    <row r="114" spans="1:45" ht="14.25" customHeight="1" x14ac:dyDescent="0.55000000000000004">
      <c r="A114" s="4">
        <v>0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f t="shared" si="4"/>
        <v>0</v>
      </c>
      <c r="L114" s="4">
        <f t="shared" si="5"/>
        <v>0</v>
      </c>
      <c r="M114" s="4">
        <f t="shared" si="6"/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5">
        <f t="shared" si="0"/>
        <v>0</v>
      </c>
    </row>
    <row r="115" spans="1:45" ht="14.25" customHeight="1" x14ac:dyDescent="0.55000000000000004">
      <c r="A115" s="4">
        <v>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f t="shared" si="4"/>
        <v>0</v>
      </c>
      <c r="L115" s="4">
        <f t="shared" si="5"/>
        <v>0</v>
      </c>
      <c r="M115" s="4">
        <f t="shared" si="6"/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5">
        <f t="shared" si="0"/>
        <v>0</v>
      </c>
    </row>
    <row r="116" spans="1:45" ht="14.25" customHeight="1" x14ac:dyDescent="0.55000000000000004">
      <c r="A116" s="4">
        <v>0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f t="shared" si="4"/>
        <v>0</v>
      </c>
      <c r="L116" s="4">
        <f t="shared" si="5"/>
        <v>0</v>
      </c>
      <c r="M116" s="4">
        <f t="shared" si="6"/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5">
        <f t="shared" si="0"/>
        <v>0</v>
      </c>
    </row>
    <row r="117" spans="1:45" ht="14.25" customHeight="1" x14ac:dyDescent="0.55000000000000004">
      <c r="A117" s="4">
        <v>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f t="shared" si="4"/>
        <v>0</v>
      </c>
      <c r="L117" s="4">
        <f t="shared" si="5"/>
        <v>0</v>
      </c>
      <c r="M117" s="4">
        <f t="shared" si="6"/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5">
        <f t="shared" si="0"/>
        <v>0</v>
      </c>
    </row>
    <row r="118" spans="1:45" ht="14.25" customHeight="1" x14ac:dyDescent="0.55000000000000004">
      <c r="A118" s="4">
        <v>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f t="shared" si="4"/>
        <v>0</v>
      </c>
      <c r="L118" s="4">
        <f t="shared" si="5"/>
        <v>0</v>
      </c>
      <c r="M118" s="4">
        <f t="shared" si="6"/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5">
        <f t="shared" si="0"/>
        <v>0</v>
      </c>
    </row>
    <row r="119" spans="1:45" ht="14.25" customHeight="1" x14ac:dyDescent="0.55000000000000004">
      <c r="A119" s="4">
        <v>22.23</v>
      </c>
      <c r="B119" s="4">
        <v>31.1</v>
      </c>
      <c r="C119" s="4">
        <v>5482.3</v>
      </c>
      <c r="D119" s="4">
        <v>7.61</v>
      </c>
      <c r="E119" s="4" t="s">
        <v>2318</v>
      </c>
      <c r="F119" s="4" t="s">
        <v>2319</v>
      </c>
      <c r="G119" s="4" t="s">
        <v>2320</v>
      </c>
      <c r="H119" s="4" t="s">
        <v>379</v>
      </c>
      <c r="I119" s="4">
        <v>0</v>
      </c>
      <c r="J119" s="4">
        <v>622.94000000000005</v>
      </c>
      <c r="K119" s="4">
        <f t="shared" si="4"/>
        <v>57.399999999999991</v>
      </c>
      <c r="L119" s="4">
        <f t="shared" si="5"/>
        <v>62.319999999999993</v>
      </c>
      <c r="M119" s="4">
        <f t="shared" si="6"/>
        <v>-4.9200000000000017</v>
      </c>
      <c r="N119" s="4">
        <v>7.04</v>
      </c>
      <c r="O119" s="4">
        <v>82.02</v>
      </c>
      <c r="P119" s="4">
        <v>87</v>
      </c>
      <c r="Q119" s="4">
        <v>19.7</v>
      </c>
      <c r="R119" s="4">
        <v>8.86</v>
      </c>
      <c r="S119" s="4">
        <v>18.100000000000001</v>
      </c>
      <c r="T119" s="4">
        <v>4.13</v>
      </c>
      <c r="U119" s="4">
        <v>8.8000000000000007</v>
      </c>
      <c r="V119" s="4">
        <v>3508.67</v>
      </c>
      <c r="W119" s="4">
        <v>1038.31</v>
      </c>
      <c r="X119" s="4">
        <v>1230.3</v>
      </c>
      <c r="Y119" s="4">
        <v>736.21</v>
      </c>
      <c r="Z119" s="4">
        <v>8.2899999999999991</v>
      </c>
      <c r="AA119" s="4">
        <v>1.62</v>
      </c>
      <c r="AB119" s="4">
        <v>4.37</v>
      </c>
      <c r="AC119" s="4">
        <v>68.22</v>
      </c>
      <c r="AD119" s="4">
        <v>680</v>
      </c>
      <c r="AE119" s="4">
        <v>5900</v>
      </c>
      <c r="AF119" s="4">
        <v>80.02</v>
      </c>
      <c r="AG119" s="4">
        <v>0.59</v>
      </c>
      <c r="AH119" s="4">
        <v>10.26</v>
      </c>
      <c r="AI119" s="4">
        <v>68.05</v>
      </c>
      <c r="AJ119" s="4">
        <v>60</v>
      </c>
      <c r="AK119" s="4">
        <v>9</v>
      </c>
      <c r="AL119" s="4">
        <v>9</v>
      </c>
      <c r="AM119" s="4">
        <v>0.46</v>
      </c>
      <c r="AN119" s="4">
        <v>408</v>
      </c>
      <c r="AO119" s="4">
        <v>412.15</v>
      </c>
      <c r="AP119" s="4">
        <v>412462.13</v>
      </c>
      <c r="AQ119" s="4">
        <v>371334.94</v>
      </c>
      <c r="AR119" s="4" t="s">
        <v>545</v>
      </c>
      <c r="AS119" s="5">
        <f t="shared" si="0"/>
        <v>2.3474423515981737</v>
      </c>
    </row>
    <row r="120" spans="1:45" ht="14.25" customHeight="1" x14ac:dyDescent="0.55000000000000004">
      <c r="A120" s="4">
        <v>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f t="shared" si="4"/>
        <v>0</v>
      </c>
      <c r="L120" s="4">
        <f t="shared" si="5"/>
        <v>0</v>
      </c>
      <c r="M120" s="4">
        <f t="shared" si="6"/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5">
        <f t="shared" si="0"/>
        <v>0</v>
      </c>
    </row>
    <row r="121" spans="1:45" ht="14.25" customHeight="1" x14ac:dyDescent="0.55000000000000004">
      <c r="A121" s="4">
        <v>22.88</v>
      </c>
      <c r="B121" s="4">
        <v>32.200000000000003</v>
      </c>
      <c r="C121" s="4">
        <v>5411.7</v>
      </c>
      <c r="D121" s="4">
        <v>7.61</v>
      </c>
      <c r="E121" s="4" t="s">
        <v>2321</v>
      </c>
      <c r="F121" s="4" t="s">
        <v>2322</v>
      </c>
      <c r="G121" s="4" t="s">
        <v>2269</v>
      </c>
      <c r="H121" s="4" t="s">
        <v>464</v>
      </c>
      <c r="I121" s="4">
        <v>0</v>
      </c>
      <c r="J121" s="4">
        <v>589.79999999999995</v>
      </c>
      <c r="K121" s="4">
        <f t="shared" si="4"/>
        <v>61.31</v>
      </c>
      <c r="L121" s="4">
        <f t="shared" si="5"/>
        <v>61.31</v>
      </c>
      <c r="M121" s="4">
        <f t="shared" si="6"/>
        <v>0</v>
      </c>
      <c r="N121" s="4">
        <v>7.1</v>
      </c>
      <c r="O121" s="4">
        <v>82</v>
      </c>
      <c r="P121" s="4">
        <v>75</v>
      </c>
      <c r="Q121" s="4">
        <v>22.2</v>
      </c>
      <c r="R121" s="4">
        <v>9.32</v>
      </c>
      <c r="S121" s="4">
        <v>18.989999999999998</v>
      </c>
      <c r="T121" s="4">
        <v>3.89</v>
      </c>
      <c r="U121" s="4">
        <v>9.18</v>
      </c>
      <c r="V121" s="4">
        <v>3463.49</v>
      </c>
      <c r="W121" s="4">
        <v>1036.72</v>
      </c>
      <c r="X121" s="4">
        <v>1308.1099999999999</v>
      </c>
      <c r="Y121" s="4">
        <v>755.04</v>
      </c>
      <c r="Z121" s="4">
        <v>30.62</v>
      </c>
      <c r="AA121" s="4">
        <v>1.66</v>
      </c>
      <c r="AB121" s="4">
        <v>4.29</v>
      </c>
      <c r="AC121" s="4">
        <v>70.540000000000006</v>
      </c>
      <c r="AD121" s="4">
        <v>680</v>
      </c>
      <c r="AE121" s="4">
        <v>5900</v>
      </c>
      <c r="AF121" s="4">
        <v>84.1</v>
      </c>
      <c r="AG121" s="4">
        <v>0.59</v>
      </c>
      <c r="AH121" s="4">
        <v>10.29</v>
      </c>
      <c r="AI121" s="4">
        <v>235.39</v>
      </c>
      <c r="AJ121" s="4">
        <v>60</v>
      </c>
      <c r="AK121" s="4">
        <v>9</v>
      </c>
      <c r="AL121" s="4">
        <v>9</v>
      </c>
      <c r="AM121" s="4">
        <v>0.13</v>
      </c>
      <c r="AN121" s="4">
        <v>408</v>
      </c>
      <c r="AO121" s="4">
        <v>409.2</v>
      </c>
      <c r="AP121" s="4">
        <v>416001.47</v>
      </c>
      <c r="AQ121" s="4">
        <v>416001.47</v>
      </c>
      <c r="AR121" s="4" t="s">
        <v>553</v>
      </c>
      <c r="AS121" s="5">
        <f t="shared" si="0"/>
        <v>0</v>
      </c>
    </row>
    <row r="122" spans="1:45" ht="14.25" customHeight="1" x14ac:dyDescent="0.55000000000000004">
      <c r="A122" s="4">
        <v>22.86</v>
      </c>
      <c r="B122" s="4">
        <v>32.130000000000003</v>
      </c>
      <c r="C122" s="4">
        <v>5423.4</v>
      </c>
      <c r="D122" s="4">
        <v>7.61</v>
      </c>
      <c r="E122" s="4" t="s">
        <v>2323</v>
      </c>
      <c r="F122" s="4" t="s">
        <v>2324</v>
      </c>
      <c r="G122" s="4" t="s">
        <v>2179</v>
      </c>
      <c r="H122" s="4" t="s">
        <v>464</v>
      </c>
      <c r="I122" s="4">
        <v>0</v>
      </c>
      <c r="J122" s="4">
        <v>576.02</v>
      </c>
      <c r="K122" s="4">
        <f t="shared" si="4"/>
        <v>59.800000000000004</v>
      </c>
      <c r="L122" s="4">
        <f t="shared" si="5"/>
        <v>59.800000000000004</v>
      </c>
      <c r="M122" s="4">
        <f t="shared" si="6"/>
        <v>0</v>
      </c>
      <c r="N122" s="4">
        <v>7.08</v>
      </c>
      <c r="O122" s="4">
        <v>82</v>
      </c>
      <c r="P122" s="4">
        <v>77</v>
      </c>
      <c r="Q122" s="4">
        <v>21.8</v>
      </c>
      <c r="R122" s="4">
        <v>9.26</v>
      </c>
      <c r="S122" s="4">
        <v>18.87</v>
      </c>
      <c r="T122" s="4">
        <v>4</v>
      </c>
      <c r="U122" s="4">
        <v>9.42</v>
      </c>
      <c r="V122" s="4">
        <v>3470.98</v>
      </c>
      <c r="W122" s="4">
        <v>1038.73</v>
      </c>
      <c r="X122" s="4">
        <v>1312.85</v>
      </c>
      <c r="Y122" s="4">
        <v>756.52</v>
      </c>
      <c r="Z122" s="4">
        <v>29.91</v>
      </c>
      <c r="AA122" s="4">
        <v>1.66</v>
      </c>
      <c r="AB122" s="4">
        <v>4.29</v>
      </c>
      <c r="AC122" s="4">
        <v>69.86</v>
      </c>
      <c r="AD122" s="4">
        <v>680</v>
      </c>
      <c r="AE122" s="4">
        <v>5900</v>
      </c>
      <c r="AF122" s="4">
        <v>83.61</v>
      </c>
      <c r="AG122" s="4">
        <v>0.59</v>
      </c>
      <c r="AH122" s="4">
        <v>9.94</v>
      </c>
      <c r="AI122" s="4">
        <v>235.68</v>
      </c>
      <c r="AJ122" s="4">
        <v>60</v>
      </c>
      <c r="AK122" s="4">
        <v>9</v>
      </c>
      <c r="AL122" s="4">
        <v>9</v>
      </c>
      <c r="AM122" s="4">
        <v>0.13</v>
      </c>
      <c r="AN122" s="4">
        <v>408</v>
      </c>
      <c r="AO122" s="4">
        <v>409.2</v>
      </c>
      <c r="AP122" s="4">
        <v>414437.46</v>
      </c>
      <c r="AQ122" s="4">
        <v>414437.46</v>
      </c>
      <c r="AR122" s="4" t="s">
        <v>557</v>
      </c>
      <c r="AS122" s="5">
        <f t="shared" si="0"/>
        <v>0</v>
      </c>
    </row>
    <row r="123" spans="1:45" ht="14.25" customHeight="1" x14ac:dyDescent="0.55000000000000004">
      <c r="A123" s="4">
        <v>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f t="shared" si="4"/>
        <v>0</v>
      </c>
      <c r="L123" s="4">
        <f t="shared" si="5"/>
        <v>0</v>
      </c>
      <c r="M123" s="4">
        <f t="shared" si="6"/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5">
        <f t="shared" si="0"/>
        <v>0</v>
      </c>
    </row>
    <row r="124" spans="1:45" ht="14.25" customHeight="1" x14ac:dyDescent="0.55000000000000004">
      <c r="A124" s="4">
        <v>22.46</v>
      </c>
      <c r="B124" s="4">
        <v>31.35</v>
      </c>
      <c r="C124" s="4">
        <v>5470.5</v>
      </c>
      <c r="D124" s="4">
        <v>7.61</v>
      </c>
      <c r="E124" s="4" t="s">
        <v>2325</v>
      </c>
      <c r="F124" s="4" t="s">
        <v>2326</v>
      </c>
      <c r="G124" s="4" t="s">
        <v>2327</v>
      </c>
      <c r="H124" s="4" t="s">
        <v>464</v>
      </c>
      <c r="I124" s="4">
        <v>0</v>
      </c>
      <c r="J124" s="4">
        <v>631.97</v>
      </c>
      <c r="K124" s="4">
        <f t="shared" si="4"/>
        <v>57.51</v>
      </c>
      <c r="L124" s="4">
        <f t="shared" si="5"/>
        <v>57.51</v>
      </c>
      <c r="M124" s="4">
        <f t="shared" si="6"/>
        <v>0</v>
      </c>
      <c r="N124" s="4">
        <v>7.04</v>
      </c>
      <c r="O124" s="4">
        <v>81.95</v>
      </c>
      <c r="P124" s="4">
        <v>87</v>
      </c>
      <c r="Q124" s="4">
        <v>20</v>
      </c>
      <c r="R124" s="4">
        <v>8.89</v>
      </c>
      <c r="S124" s="4">
        <v>18.399999999999999</v>
      </c>
      <c r="T124" s="4">
        <v>4.0599999999999996</v>
      </c>
      <c r="U124" s="4">
        <v>8.66</v>
      </c>
      <c r="V124" s="4">
        <v>3501.12</v>
      </c>
      <c r="W124" s="4">
        <v>1034.93</v>
      </c>
      <c r="X124" s="4">
        <v>1217.28</v>
      </c>
      <c r="Y124" s="4">
        <v>731.74</v>
      </c>
      <c r="Z124" s="4">
        <v>28.8</v>
      </c>
      <c r="AA124" s="4">
        <v>1.61</v>
      </c>
      <c r="AB124" s="4">
        <v>4.38</v>
      </c>
      <c r="AC124" s="4">
        <v>68.650000000000006</v>
      </c>
      <c r="AD124" s="4">
        <v>680</v>
      </c>
      <c r="AE124" s="4">
        <v>5900</v>
      </c>
      <c r="AF124" s="4">
        <v>80.25</v>
      </c>
      <c r="AG124" s="4">
        <v>0.59</v>
      </c>
      <c r="AH124" s="4">
        <v>10.48</v>
      </c>
      <c r="AI124" s="4">
        <v>235.98</v>
      </c>
      <c r="AJ124" s="4">
        <v>60</v>
      </c>
      <c r="AK124" s="4">
        <v>9</v>
      </c>
      <c r="AL124" s="4">
        <v>9</v>
      </c>
      <c r="AM124" s="4">
        <v>0.13</v>
      </c>
      <c r="AN124" s="4">
        <v>408</v>
      </c>
      <c r="AO124" s="4">
        <v>409.2</v>
      </c>
      <c r="AP124" s="4">
        <v>412807.49</v>
      </c>
      <c r="AQ124" s="4">
        <v>412807.49</v>
      </c>
      <c r="AR124" s="4" t="s">
        <v>567</v>
      </c>
      <c r="AS124" s="5">
        <f t="shared" si="0"/>
        <v>0</v>
      </c>
    </row>
    <row r="125" spans="1:45" ht="14.25" customHeight="1" x14ac:dyDescent="0.55000000000000004">
      <c r="A125" s="4">
        <v>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f t="shared" si="4"/>
        <v>0</v>
      </c>
      <c r="L125" s="4">
        <f t="shared" si="5"/>
        <v>0</v>
      </c>
      <c r="M125" s="4">
        <f t="shared" si="6"/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5">
        <f t="shared" si="0"/>
        <v>0</v>
      </c>
    </row>
    <row r="126" spans="1:45" ht="14.25" customHeight="1" x14ac:dyDescent="0.55000000000000004">
      <c r="A126" s="4">
        <v>21.75</v>
      </c>
      <c r="B126" s="4">
        <v>29.98</v>
      </c>
      <c r="C126" s="4">
        <v>5536.1</v>
      </c>
      <c r="D126" s="4">
        <v>7.59</v>
      </c>
      <c r="E126" s="4" t="s">
        <v>2328</v>
      </c>
      <c r="F126" s="4" t="s">
        <v>2329</v>
      </c>
      <c r="G126" s="4" t="s">
        <v>738</v>
      </c>
      <c r="H126" s="4" t="s">
        <v>2330</v>
      </c>
      <c r="I126" s="4">
        <v>0</v>
      </c>
      <c r="J126" s="4">
        <v>642.99</v>
      </c>
      <c r="K126" s="4">
        <f t="shared" si="4"/>
        <v>54.17</v>
      </c>
      <c r="L126" s="4">
        <f t="shared" si="5"/>
        <v>54.17</v>
      </c>
      <c r="M126" s="4">
        <f t="shared" si="6"/>
        <v>0</v>
      </c>
      <c r="N126" s="4">
        <v>6.97</v>
      </c>
      <c r="O126" s="4">
        <v>82</v>
      </c>
      <c r="P126" s="4">
        <v>94</v>
      </c>
      <c r="Q126" s="4">
        <v>18.7</v>
      </c>
      <c r="R126" s="4">
        <v>8.24</v>
      </c>
      <c r="S126" s="4">
        <v>17.97</v>
      </c>
      <c r="T126" s="4">
        <v>3.77</v>
      </c>
      <c r="U126" s="4">
        <v>8.61</v>
      </c>
      <c r="V126" s="4">
        <v>3543.1</v>
      </c>
      <c r="W126" s="4">
        <v>1039.04</v>
      </c>
      <c r="X126" s="4">
        <v>1169.07</v>
      </c>
      <c r="Y126" s="4">
        <v>720.91</v>
      </c>
      <c r="Z126" s="4">
        <v>15.77</v>
      </c>
      <c r="AA126" s="4">
        <v>1.57</v>
      </c>
      <c r="AB126" s="4">
        <v>4.45</v>
      </c>
      <c r="AC126" s="4">
        <v>68.58</v>
      </c>
      <c r="AD126" s="4">
        <v>680</v>
      </c>
      <c r="AE126" s="4">
        <v>5900</v>
      </c>
      <c r="AF126" s="4">
        <v>74.349999999999994</v>
      </c>
      <c r="AG126" s="4">
        <v>0.59</v>
      </c>
      <c r="AH126" s="4">
        <v>9.77</v>
      </c>
      <c r="AI126" s="4">
        <v>137.15</v>
      </c>
      <c r="AJ126" s="4">
        <v>60</v>
      </c>
      <c r="AK126" s="4">
        <v>9</v>
      </c>
      <c r="AL126" s="4">
        <v>9</v>
      </c>
      <c r="AM126" s="4">
        <v>0.23</v>
      </c>
      <c r="AN126" s="4">
        <v>408</v>
      </c>
      <c r="AO126" s="4">
        <v>410.06</v>
      </c>
      <c r="AP126" s="4">
        <v>426037.18</v>
      </c>
      <c r="AQ126" s="4">
        <v>426037.18</v>
      </c>
      <c r="AR126" s="4" t="s">
        <v>577</v>
      </c>
      <c r="AS126" s="5">
        <f t="shared" si="0"/>
        <v>0</v>
      </c>
    </row>
    <row r="127" spans="1:45" ht="14.25" customHeight="1" x14ac:dyDescent="0.55000000000000004">
      <c r="A127" s="4">
        <v>0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f t="shared" si="4"/>
        <v>0</v>
      </c>
      <c r="L127" s="4">
        <f t="shared" si="5"/>
        <v>0</v>
      </c>
      <c r="M127" s="4">
        <f t="shared" si="6"/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5">
        <f t="shared" si="0"/>
        <v>0</v>
      </c>
    </row>
    <row r="128" spans="1:45" ht="14.25" customHeight="1" x14ac:dyDescent="0.55000000000000004">
      <c r="A128" s="4">
        <v>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f t="shared" si="4"/>
        <v>0</v>
      </c>
      <c r="L128" s="4">
        <f t="shared" si="5"/>
        <v>0</v>
      </c>
      <c r="M128" s="4">
        <f t="shared" si="6"/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5">
        <f t="shared" si="0"/>
        <v>0</v>
      </c>
    </row>
    <row r="129" spans="1:45" ht="14.25" customHeight="1" x14ac:dyDescent="0.55000000000000004">
      <c r="A129" s="4">
        <v>22.66</v>
      </c>
      <c r="B129" s="4">
        <v>31.87</v>
      </c>
      <c r="C129" s="4">
        <v>5447</v>
      </c>
      <c r="D129" s="4">
        <v>7.61</v>
      </c>
      <c r="E129" s="4" t="s">
        <v>2331</v>
      </c>
      <c r="F129" s="4" t="s">
        <v>2324</v>
      </c>
      <c r="G129" s="4" t="s">
        <v>2332</v>
      </c>
      <c r="H129" s="4" t="s">
        <v>464</v>
      </c>
      <c r="I129" s="4">
        <v>0</v>
      </c>
      <c r="J129" s="4">
        <v>523.69000000000005</v>
      </c>
      <c r="K129" s="4">
        <f t="shared" si="4"/>
        <v>56.269999999999996</v>
      </c>
      <c r="L129" s="4">
        <f t="shared" si="5"/>
        <v>56.269999999999996</v>
      </c>
      <c r="M129" s="4">
        <f t="shared" si="6"/>
        <v>0</v>
      </c>
      <c r="N129" s="4">
        <v>7.03</v>
      </c>
      <c r="O129" s="4">
        <v>82.09</v>
      </c>
      <c r="P129" s="4">
        <v>82</v>
      </c>
      <c r="Q129" s="4">
        <v>20.7</v>
      </c>
      <c r="R129" s="4">
        <v>9.2100000000000009</v>
      </c>
      <c r="S129" s="4">
        <v>18.45</v>
      </c>
      <c r="T129" s="4">
        <v>4.21</v>
      </c>
      <c r="U129" s="4">
        <v>10.4</v>
      </c>
      <c r="V129" s="4">
        <v>3486.08</v>
      </c>
      <c r="W129" s="4">
        <v>1045.6099999999999</v>
      </c>
      <c r="X129" s="4">
        <v>1351.21</v>
      </c>
      <c r="Y129" s="4">
        <v>766.98</v>
      </c>
      <c r="Z129" s="4">
        <v>28.12</v>
      </c>
      <c r="AA129" s="4">
        <v>1.67</v>
      </c>
      <c r="AB129" s="4">
        <v>4.2699999999999996</v>
      </c>
      <c r="AC129" s="4">
        <v>68.63</v>
      </c>
      <c r="AD129" s="4">
        <v>680</v>
      </c>
      <c r="AE129" s="4">
        <v>5900</v>
      </c>
      <c r="AF129" s="4">
        <v>83.13</v>
      </c>
      <c r="AG129" s="4">
        <v>0.59</v>
      </c>
      <c r="AH129" s="4">
        <v>8.84</v>
      </c>
      <c r="AI129" s="4">
        <v>235.48</v>
      </c>
      <c r="AJ129" s="4">
        <v>60</v>
      </c>
      <c r="AK129" s="4">
        <v>9</v>
      </c>
      <c r="AL129" s="4">
        <v>9</v>
      </c>
      <c r="AM129" s="4">
        <v>0.13</v>
      </c>
      <c r="AN129" s="4">
        <v>408</v>
      </c>
      <c r="AO129" s="4">
        <v>409.2</v>
      </c>
      <c r="AP129" s="4">
        <v>411357.01</v>
      </c>
      <c r="AQ129" s="4">
        <v>411357.01</v>
      </c>
      <c r="AR129" s="4" t="s">
        <v>585</v>
      </c>
      <c r="AS129" s="5">
        <f t="shared" si="0"/>
        <v>0</v>
      </c>
    </row>
    <row r="130" spans="1:45" ht="14.25" customHeight="1" x14ac:dyDescent="0.55000000000000004">
      <c r="A130" s="4">
        <v>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f t="shared" si="4"/>
        <v>0</v>
      </c>
      <c r="L130" s="4">
        <f t="shared" si="5"/>
        <v>0</v>
      </c>
      <c r="M130" s="4">
        <f t="shared" si="6"/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5">
        <f t="shared" si="0"/>
        <v>0</v>
      </c>
    </row>
    <row r="131" spans="1:45" ht="14.25" customHeight="1" x14ac:dyDescent="0.55000000000000004">
      <c r="A131" s="4">
        <v>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f t="shared" ref="K131:K194" si="7">IF(E131=0,0,
VALUE(MID(E131,2,FIND(",",E131)-2))+
VALUE(MID(F131,2,FIND(",",F131)-2))+
VALUE(MID(G131,2,FIND(",",G131)-2))
)</f>
        <v>0</v>
      </c>
      <c r="L131" s="4">
        <f t="shared" ref="L131:L194" si="8">IF(E131=0,0,
VALUE(MID(E131,FIND(",",E131)+1,FIND("]",E131)-FIND(",",E131)-1))+
VALUE(MID(F131,FIND(",",F131)+1,FIND("]",F131)-FIND(",",F131)-1))+
VALUE(MID(G131,FIND(",",G131)+1,FIND("]",G131)-FIND(",",G131)-1))
)</f>
        <v>0</v>
      </c>
      <c r="M131" s="4">
        <f t="shared" ref="M131:M194" si="9">(K131-L131)</f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5">
        <f t="shared" si="0"/>
        <v>0</v>
      </c>
    </row>
    <row r="132" spans="1:45" ht="14.25" customHeight="1" x14ac:dyDescent="0.55000000000000004">
      <c r="A132" s="4">
        <v>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f t="shared" si="7"/>
        <v>0</v>
      </c>
      <c r="L132" s="4">
        <f t="shared" si="8"/>
        <v>0</v>
      </c>
      <c r="M132" s="4">
        <f t="shared" si="9"/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5">
        <f t="shared" si="0"/>
        <v>0</v>
      </c>
    </row>
    <row r="133" spans="1:45" ht="14.25" customHeight="1" x14ac:dyDescent="0.55000000000000004">
      <c r="A133" s="4">
        <v>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f t="shared" si="7"/>
        <v>0</v>
      </c>
      <c r="L133" s="4">
        <f t="shared" si="8"/>
        <v>0</v>
      </c>
      <c r="M133" s="4">
        <f t="shared" si="9"/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5">
        <f t="shared" si="0"/>
        <v>0</v>
      </c>
    </row>
    <row r="134" spans="1:45" ht="14.25" customHeight="1" x14ac:dyDescent="0.55000000000000004">
      <c r="A134" s="4">
        <v>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f t="shared" si="7"/>
        <v>0</v>
      </c>
      <c r="L134" s="4">
        <f t="shared" si="8"/>
        <v>0</v>
      </c>
      <c r="M134" s="4">
        <f t="shared" si="9"/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5">
        <f t="shared" si="0"/>
        <v>0</v>
      </c>
    </row>
    <row r="135" spans="1:45" ht="14.25" customHeight="1" x14ac:dyDescent="0.55000000000000004">
      <c r="A135" s="4">
        <v>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f t="shared" si="7"/>
        <v>0</v>
      </c>
      <c r="L135" s="4">
        <f t="shared" si="8"/>
        <v>0</v>
      </c>
      <c r="M135" s="4">
        <f t="shared" si="9"/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5">
        <f t="shared" si="0"/>
        <v>0</v>
      </c>
    </row>
    <row r="136" spans="1:45" ht="14.25" customHeight="1" x14ac:dyDescent="0.55000000000000004">
      <c r="A136" s="4">
        <v>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f t="shared" si="7"/>
        <v>0</v>
      </c>
      <c r="L136" s="4">
        <f t="shared" si="8"/>
        <v>0</v>
      </c>
      <c r="M136" s="4">
        <f t="shared" si="9"/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5">
        <f t="shared" si="0"/>
        <v>0</v>
      </c>
    </row>
    <row r="137" spans="1:45" ht="14.25" customHeight="1" x14ac:dyDescent="0.55000000000000004">
      <c r="A137" s="4">
        <v>0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f t="shared" si="7"/>
        <v>0</v>
      </c>
      <c r="L137" s="4">
        <f t="shared" si="8"/>
        <v>0</v>
      </c>
      <c r="M137" s="4">
        <f t="shared" si="9"/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5">
        <f t="shared" si="0"/>
        <v>0</v>
      </c>
    </row>
    <row r="138" spans="1:45" ht="14.25" customHeight="1" x14ac:dyDescent="0.55000000000000004">
      <c r="A138" s="4">
        <v>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f t="shared" si="7"/>
        <v>0</v>
      </c>
      <c r="L138" s="4">
        <f t="shared" si="8"/>
        <v>0</v>
      </c>
      <c r="M138" s="4">
        <f t="shared" si="9"/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5">
        <f t="shared" si="0"/>
        <v>0</v>
      </c>
    </row>
    <row r="139" spans="1:45" ht="14.25" customHeight="1" x14ac:dyDescent="0.55000000000000004">
      <c r="A139" s="4">
        <v>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f t="shared" si="7"/>
        <v>0</v>
      </c>
      <c r="L139" s="4">
        <f t="shared" si="8"/>
        <v>0</v>
      </c>
      <c r="M139" s="4">
        <f t="shared" si="9"/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5">
        <f t="shared" si="0"/>
        <v>0</v>
      </c>
    </row>
    <row r="140" spans="1:45" ht="14.25" customHeight="1" x14ac:dyDescent="0.55000000000000004">
      <c r="A140" s="4">
        <v>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f t="shared" si="7"/>
        <v>0</v>
      </c>
      <c r="L140" s="4">
        <f t="shared" si="8"/>
        <v>0</v>
      </c>
      <c r="M140" s="4">
        <f t="shared" si="9"/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5">
        <f t="shared" si="0"/>
        <v>0</v>
      </c>
    </row>
    <row r="141" spans="1:45" ht="14.25" customHeight="1" x14ac:dyDescent="0.55000000000000004">
      <c r="A141" s="4">
        <v>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f t="shared" si="7"/>
        <v>0</v>
      </c>
      <c r="L141" s="4">
        <f t="shared" si="8"/>
        <v>0</v>
      </c>
      <c r="M141" s="4">
        <f t="shared" si="9"/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5">
        <f t="shared" si="0"/>
        <v>0</v>
      </c>
    </row>
    <row r="142" spans="1:45" ht="14.25" customHeight="1" x14ac:dyDescent="0.55000000000000004">
      <c r="A142" s="4">
        <v>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f t="shared" si="7"/>
        <v>0</v>
      </c>
      <c r="L142" s="4">
        <f t="shared" si="8"/>
        <v>0</v>
      </c>
      <c r="M142" s="4">
        <f t="shared" si="9"/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5">
        <f t="shared" si="0"/>
        <v>0</v>
      </c>
    </row>
    <row r="143" spans="1:45" ht="14.25" customHeight="1" x14ac:dyDescent="0.55000000000000004">
      <c r="A143" s="4">
        <v>0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f t="shared" si="7"/>
        <v>0</v>
      </c>
      <c r="L143" s="4">
        <f t="shared" si="8"/>
        <v>0</v>
      </c>
      <c r="M143" s="4">
        <f t="shared" si="9"/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5">
        <f t="shared" si="0"/>
        <v>0</v>
      </c>
    </row>
    <row r="144" spans="1:45" ht="14.25" customHeight="1" x14ac:dyDescent="0.55000000000000004">
      <c r="A144" s="4">
        <v>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f t="shared" si="7"/>
        <v>0</v>
      </c>
      <c r="L144" s="4">
        <f t="shared" si="8"/>
        <v>0</v>
      </c>
      <c r="M144" s="4">
        <f t="shared" si="9"/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5">
        <f t="shared" si="0"/>
        <v>0</v>
      </c>
    </row>
    <row r="145" spans="1:45" ht="14.25" customHeight="1" x14ac:dyDescent="0.55000000000000004">
      <c r="A145" s="4">
        <v>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f t="shared" si="7"/>
        <v>0</v>
      </c>
      <c r="L145" s="4">
        <f t="shared" si="8"/>
        <v>0</v>
      </c>
      <c r="M145" s="4">
        <f t="shared" si="9"/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5">
        <f t="shared" si="0"/>
        <v>0</v>
      </c>
    </row>
    <row r="146" spans="1:45" ht="14.25" customHeight="1" x14ac:dyDescent="0.55000000000000004">
      <c r="A146" s="4">
        <v>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f t="shared" si="7"/>
        <v>0</v>
      </c>
      <c r="L146" s="4">
        <f t="shared" si="8"/>
        <v>0</v>
      </c>
      <c r="M146" s="4">
        <f t="shared" si="9"/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5">
        <f t="shared" si="0"/>
        <v>0</v>
      </c>
    </row>
    <row r="147" spans="1:45" ht="14.25" customHeight="1" x14ac:dyDescent="0.55000000000000004">
      <c r="A147" s="4">
        <v>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f t="shared" si="7"/>
        <v>0</v>
      </c>
      <c r="L147" s="4">
        <f t="shared" si="8"/>
        <v>0</v>
      </c>
      <c r="M147" s="4">
        <f t="shared" si="9"/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5">
        <f t="shared" si="0"/>
        <v>0</v>
      </c>
    </row>
    <row r="148" spans="1:45" ht="14.25" customHeight="1" x14ac:dyDescent="0.55000000000000004">
      <c r="A148" s="4">
        <v>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f t="shared" si="7"/>
        <v>0</v>
      </c>
      <c r="L148" s="4">
        <f t="shared" si="8"/>
        <v>0</v>
      </c>
      <c r="M148" s="4">
        <f t="shared" si="9"/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5">
        <f t="shared" si="0"/>
        <v>0</v>
      </c>
    </row>
    <row r="149" spans="1:45" ht="14.25" customHeight="1" x14ac:dyDescent="0.55000000000000004">
      <c r="A149" s="4">
        <v>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f t="shared" si="7"/>
        <v>0</v>
      </c>
      <c r="L149" s="4">
        <f t="shared" si="8"/>
        <v>0</v>
      </c>
      <c r="M149" s="4">
        <f t="shared" si="9"/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5">
        <f t="shared" si="0"/>
        <v>0</v>
      </c>
    </row>
    <row r="150" spans="1:45" ht="14.25" customHeight="1" x14ac:dyDescent="0.55000000000000004">
      <c r="A150" s="4">
        <v>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f t="shared" si="7"/>
        <v>0</v>
      </c>
      <c r="L150" s="4">
        <f t="shared" si="8"/>
        <v>0</v>
      </c>
      <c r="M150" s="4">
        <f t="shared" si="9"/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5">
        <f t="shared" si="0"/>
        <v>0</v>
      </c>
    </row>
    <row r="151" spans="1:45" ht="14.25" customHeight="1" x14ac:dyDescent="0.55000000000000004">
      <c r="A151" s="4">
        <v>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f t="shared" si="7"/>
        <v>0</v>
      </c>
      <c r="L151" s="4">
        <f t="shared" si="8"/>
        <v>0</v>
      </c>
      <c r="M151" s="4">
        <f t="shared" si="9"/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5">
        <f t="shared" si="0"/>
        <v>0</v>
      </c>
    </row>
    <row r="152" spans="1:45" ht="14.25" customHeight="1" x14ac:dyDescent="0.55000000000000004">
      <c r="A152" s="4">
        <v>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f t="shared" si="7"/>
        <v>0</v>
      </c>
      <c r="L152" s="4">
        <f t="shared" si="8"/>
        <v>0</v>
      </c>
      <c r="M152" s="4">
        <f t="shared" si="9"/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5">
        <f t="shared" si="0"/>
        <v>0</v>
      </c>
    </row>
    <row r="153" spans="1:45" ht="14.25" customHeight="1" x14ac:dyDescent="0.55000000000000004">
      <c r="A153" s="4">
        <v>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f t="shared" si="7"/>
        <v>0</v>
      </c>
      <c r="L153" s="4">
        <f t="shared" si="8"/>
        <v>0</v>
      </c>
      <c r="M153" s="4">
        <f t="shared" si="9"/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5">
        <f t="shared" si="0"/>
        <v>0</v>
      </c>
    </row>
    <row r="154" spans="1:45" ht="14.25" customHeight="1" x14ac:dyDescent="0.55000000000000004">
      <c r="A154" s="4">
        <v>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f t="shared" si="7"/>
        <v>0</v>
      </c>
      <c r="L154" s="4">
        <f t="shared" si="8"/>
        <v>0</v>
      </c>
      <c r="M154" s="4">
        <f t="shared" si="9"/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5">
        <f t="shared" si="0"/>
        <v>0</v>
      </c>
    </row>
    <row r="155" spans="1:45" ht="14.25" customHeight="1" x14ac:dyDescent="0.55000000000000004">
      <c r="A155" s="4">
        <v>0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f t="shared" si="7"/>
        <v>0</v>
      </c>
      <c r="L155" s="4">
        <f t="shared" si="8"/>
        <v>0</v>
      </c>
      <c r="M155" s="4">
        <f t="shared" si="9"/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5">
        <f t="shared" si="0"/>
        <v>0</v>
      </c>
    </row>
    <row r="156" spans="1:45" ht="14.25" customHeight="1" x14ac:dyDescent="0.55000000000000004">
      <c r="A156" s="4">
        <v>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f t="shared" si="7"/>
        <v>0</v>
      </c>
      <c r="L156" s="4">
        <f t="shared" si="8"/>
        <v>0</v>
      </c>
      <c r="M156" s="4">
        <f t="shared" si="9"/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5">
        <f t="shared" si="0"/>
        <v>0</v>
      </c>
    </row>
    <row r="157" spans="1:45" ht="14.25" customHeight="1" x14ac:dyDescent="0.55000000000000004">
      <c r="A157" s="4">
        <v>0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f t="shared" si="7"/>
        <v>0</v>
      </c>
      <c r="L157" s="4">
        <f t="shared" si="8"/>
        <v>0</v>
      </c>
      <c r="M157" s="4">
        <f t="shared" si="9"/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5">
        <f t="shared" si="0"/>
        <v>0</v>
      </c>
    </row>
    <row r="158" spans="1:45" ht="14.25" customHeight="1" x14ac:dyDescent="0.55000000000000004">
      <c r="A158" s="4">
        <v>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f t="shared" si="7"/>
        <v>0</v>
      </c>
      <c r="L158" s="4">
        <f t="shared" si="8"/>
        <v>0</v>
      </c>
      <c r="M158" s="4">
        <f t="shared" si="9"/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5">
        <f t="shared" si="0"/>
        <v>0</v>
      </c>
    </row>
    <row r="159" spans="1:45" ht="14.25" customHeight="1" x14ac:dyDescent="0.55000000000000004">
      <c r="A159" s="4">
        <v>0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f t="shared" si="7"/>
        <v>0</v>
      </c>
      <c r="L159" s="4">
        <f t="shared" si="8"/>
        <v>0</v>
      </c>
      <c r="M159" s="4">
        <f t="shared" si="9"/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5">
        <f t="shared" si="0"/>
        <v>0</v>
      </c>
    </row>
    <row r="160" spans="1:45" ht="14.25" customHeight="1" x14ac:dyDescent="0.55000000000000004">
      <c r="A160" s="4">
        <v>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f t="shared" si="7"/>
        <v>0</v>
      </c>
      <c r="L160" s="4">
        <f t="shared" si="8"/>
        <v>0</v>
      </c>
      <c r="M160" s="4">
        <f t="shared" si="9"/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5">
        <f t="shared" si="0"/>
        <v>0</v>
      </c>
    </row>
    <row r="161" spans="1:45" ht="14.25" customHeight="1" x14ac:dyDescent="0.55000000000000004">
      <c r="A161" s="4">
        <v>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f t="shared" si="7"/>
        <v>0</v>
      </c>
      <c r="L161" s="4">
        <f t="shared" si="8"/>
        <v>0</v>
      </c>
      <c r="M161" s="4">
        <f t="shared" si="9"/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5">
        <f t="shared" si="0"/>
        <v>0</v>
      </c>
    </row>
    <row r="162" spans="1:45" ht="14.25" customHeight="1" x14ac:dyDescent="0.55000000000000004">
      <c r="A162" s="4">
        <v>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f t="shared" si="7"/>
        <v>0</v>
      </c>
      <c r="L162" s="4">
        <f t="shared" si="8"/>
        <v>0</v>
      </c>
      <c r="M162" s="4">
        <f t="shared" si="9"/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5">
        <f t="shared" si="0"/>
        <v>0</v>
      </c>
    </row>
    <row r="163" spans="1:45" ht="14.25" customHeight="1" x14ac:dyDescent="0.55000000000000004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f t="shared" si="7"/>
        <v>0</v>
      </c>
      <c r="L163" s="4">
        <f t="shared" si="8"/>
        <v>0</v>
      </c>
      <c r="M163" s="4">
        <f t="shared" si="9"/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5">
        <f t="shared" si="0"/>
        <v>0</v>
      </c>
    </row>
    <row r="164" spans="1:45" ht="14.25" customHeight="1" x14ac:dyDescent="0.55000000000000004">
      <c r="A164" s="4">
        <v>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f t="shared" si="7"/>
        <v>0</v>
      </c>
      <c r="L164" s="4">
        <f t="shared" si="8"/>
        <v>0</v>
      </c>
      <c r="M164" s="4">
        <f t="shared" si="9"/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5">
        <f t="shared" si="0"/>
        <v>0</v>
      </c>
    </row>
    <row r="165" spans="1:45" ht="14.25" customHeight="1" x14ac:dyDescent="0.55000000000000004">
      <c r="A165" s="4">
        <v>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f t="shared" si="7"/>
        <v>0</v>
      </c>
      <c r="L165" s="4">
        <f t="shared" si="8"/>
        <v>0</v>
      </c>
      <c r="M165" s="4">
        <f t="shared" si="9"/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5">
        <f t="shared" si="0"/>
        <v>0</v>
      </c>
    </row>
    <row r="166" spans="1:45" ht="14.25" customHeight="1" x14ac:dyDescent="0.55000000000000004">
      <c r="A166" s="4">
        <v>0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f t="shared" si="7"/>
        <v>0</v>
      </c>
      <c r="L166" s="4">
        <f t="shared" si="8"/>
        <v>0</v>
      </c>
      <c r="M166" s="4">
        <f t="shared" si="9"/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5">
        <f t="shared" si="0"/>
        <v>0</v>
      </c>
    </row>
    <row r="167" spans="1:45" ht="14.25" customHeight="1" x14ac:dyDescent="0.55000000000000004">
      <c r="A167" s="4">
        <v>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f t="shared" si="7"/>
        <v>0</v>
      </c>
      <c r="L167" s="4">
        <f t="shared" si="8"/>
        <v>0</v>
      </c>
      <c r="M167" s="4">
        <f t="shared" si="9"/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5">
        <f t="shared" si="0"/>
        <v>0</v>
      </c>
    </row>
    <row r="168" spans="1:45" ht="14.25" customHeight="1" x14ac:dyDescent="0.55000000000000004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f t="shared" si="7"/>
        <v>0</v>
      </c>
      <c r="L168" s="4">
        <f t="shared" si="8"/>
        <v>0</v>
      </c>
      <c r="M168" s="4">
        <f t="shared" si="9"/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5">
        <f t="shared" si="0"/>
        <v>0</v>
      </c>
    </row>
    <row r="169" spans="1:45" ht="14.25" customHeight="1" x14ac:dyDescent="0.55000000000000004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f t="shared" si="7"/>
        <v>0</v>
      </c>
      <c r="L169" s="4">
        <f t="shared" si="8"/>
        <v>0</v>
      </c>
      <c r="M169" s="4">
        <f t="shared" si="9"/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5">
        <f t="shared" si="0"/>
        <v>0</v>
      </c>
    </row>
    <row r="170" spans="1:45" ht="14.25" customHeight="1" x14ac:dyDescent="0.55000000000000004">
      <c r="A170" s="4">
        <v>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f t="shared" si="7"/>
        <v>0</v>
      </c>
      <c r="L170" s="4">
        <f t="shared" si="8"/>
        <v>0</v>
      </c>
      <c r="M170" s="4">
        <f t="shared" si="9"/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5">
        <f t="shared" si="0"/>
        <v>0</v>
      </c>
    </row>
    <row r="171" spans="1:45" ht="14.25" customHeight="1" x14ac:dyDescent="0.55000000000000004">
      <c r="A171" s="4">
        <v>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f t="shared" si="7"/>
        <v>0</v>
      </c>
      <c r="L171" s="4">
        <f t="shared" si="8"/>
        <v>0</v>
      </c>
      <c r="M171" s="4">
        <f t="shared" si="9"/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5">
        <f t="shared" si="0"/>
        <v>0</v>
      </c>
    </row>
    <row r="172" spans="1:45" ht="14.25" customHeight="1" x14ac:dyDescent="0.55000000000000004">
      <c r="A172" s="4">
        <v>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f t="shared" si="7"/>
        <v>0</v>
      </c>
      <c r="L172" s="4">
        <f t="shared" si="8"/>
        <v>0</v>
      </c>
      <c r="M172" s="4">
        <f t="shared" si="9"/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5">
        <f t="shared" si="0"/>
        <v>0</v>
      </c>
    </row>
    <row r="173" spans="1:45" ht="14.25" customHeight="1" x14ac:dyDescent="0.55000000000000004">
      <c r="A173" s="4">
        <v>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f t="shared" si="7"/>
        <v>0</v>
      </c>
      <c r="L173" s="4">
        <f t="shared" si="8"/>
        <v>0</v>
      </c>
      <c r="M173" s="4">
        <f t="shared" si="9"/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5">
        <f t="shared" si="0"/>
        <v>0</v>
      </c>
    </row>
    <row r="174" spans="1:45" ht="14.25" customHeight="1" x14ac:dyDescent="0.55000000000000004">
      <c r="A174" s="4">
        <v>0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f t="shared" si="7"/>
        <v>0</v>
      </c>
      <c r="L174" s="4">
        <f t="shared" si="8"/>
        <v>0</v>
      </c>
      <c r="M174" s="4">
        <f t="shared" si="9"/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5">
        <f t="shared" si="0"/>
        <v>0</v>
      </c>
    </row>
    <row r="175" spans="1:45" ht="14.25" customHeight="1" x14ac:dyDescent="0.55000000000000004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f t="shared" si="7"/>
        <v>0</v>
      </c>
      <c r="L175" s="4">
        <f t="shared" si="8"/>
        <v>0</v>
      </c>
      <c r="M175" s="4">
        <f t="shared" si="9"/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5">
        <f t="shared" si="0"/>
        <v>0</v>
      </c>
    </row>
    <row r="176" spans="1:45" ht="14.25" customHeight="1" x14ac:dyDescent="0.55000000000000004">
      <c r="A176" s="4">
        <v>0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f t="shared" si="7"/>
        <v>0</v>
      </c>
      <c r="L176" s="4">
        <f t="shared" si="8"/>
        <v>0</v>
      </c>
      <c r="M176" s="4">
        <f t="shared" si="9"/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5">
        <f t="shared" si="0"/>
        <v>0</v>
      </c>
    </row>
    <row r="177" spans="1:45" ht="14.25" customHeight="1" x14ac:dyDescent="0.55000000000000004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f t="shared" si="7"/>
        <v>0</v>
      </c>
      <c r="L177" s="4">
        <f t="shared" si="8"/>
        <v>0</v>
      </c>
      <c r="M177" s="4">
        <f t="shared" si="9"/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5">
        <f t="shared" si="0"/>
        <v>0</v>
      </c>
    </row>
    <row r="178" spans="1:45" ht="14.25" customHeight="1" x14ac:dyDescent="0.55000000000000004">
      <c r="A178" s="4">
        <v>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f t="shared" si="7"/>
        <v>0</v>
      </c>
      <c r="L178" s="4">
        <f t="shared" si="8"/>
        <v>0</v>
      </c>
      <c r="M178" s="4">
        <f t="shared" si="9"/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5">
        <f t="shared" si="0"/>
        <v>0</v>
      </c>
    </row>
    <row r="179" spans="1:45" ht="14.25" customHeight="1" x14ac:dyDescent="0.55000000000000004">
      <c r="A179" s="4">
        <v>0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f t="shared" si="7"/>
        <v>0</v>
      </c>
      <c r="L179" s="4">
        <f t="shared" si="8"/>
        <v>0</v>
      </c>
      <c r="M179" s="4">
        <f t="shared" si="9"/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5">
        <f t="shared" si="0"/>
        <v>0</v>
      </c>
    </row>
    <row r="180" spans="1:45" ht="14.25" customHeight="1" x14ac:dyDescent="0.55000000000000004">
      <c r="A180" s="4">
        <v>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f t="shared" si="7"/>
        <v>0</v>
      </c>
      <c r="L180" s="4">
        <f t="shared" si="8"/>
        <v>0</v>
      </c>
      <c r="M180" s="4">
        <f t="shared" si="9"/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5">
        <f t="shared" si="0"/>
        <v>0</v>
      </c>
    </row>
    <row r="181" spans="1:45" ht="14.25" customHeight="1" x14ac:dyDescent="0.55000000000000004">
      <c r="A181" s="4">
        <v>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f t="shared" si="7"/>
        <v>0</v>
      </c>
      <c r="L181" s="4">
        <f t="shared" si="8"/>
        <v>0</v>
      </c>
      <c r="M181" s="4">
        <f t="shared" si="9"/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5">
        <f t="shared" si="0"/>
        <v>0</v>
      </c>
    </row>
    <row r="182" spans="1:45" ht="14.25" customHeight="1" x14ac:dyDescent="0.55000000000000004">
      <c r="A182" s="4">
        <v>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f t="shared" si="7"/>
        <v>0</v>
      </c>
      <c r="L182" s="4">
        <f t="shared" si="8"/>
        <v>0</v>
      </c>
      <c r="M182" s="4">
        <f t="shared" si="9"/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5">
        <f t="shared" si="0"/>
        <v>0</v>
      </c>
    </row>
    <row r="183" spans="1:45" ht="14.25" customHeight="1" x14ac:dyDescent="0.55000000000000004">
      <c r="A183" s="4">
        <v>0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f t="shared" si="7"/>
        <v>0</v>
      </c>
      <c r="L183" s="4">
        <f t="shared" si="8"/>
        <v>0</v>
      </c>
      <c r="M183" s="4">
        <f t="shared" si="9"/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5">
        <f t="shared" si="0"/>
        <v>0</v>
      </c>
    </row>
    <row r="184" spans="1:45" ht="14.25" customHeight="1" x14ac:dyDescent="0.55000000000000004">
      <c r="A184" s="4">
        <v>0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f t="shared" si="7"/>
        <v>0</v>
      </c>
      <c r="L184" s="4">
        <f t="shared" si="8"/>
        <v>0</v>
      </c>
      <c r="M184" s="4">
        <f t="shared" si="9"/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5">
        <f t="shared" si="0"/>
        <v>0</v>
      </c>
    </row>
    <row r="185" spans="1:45" ht="14.25" customHeight="1" x14ac:dyDescent="0.55000000000000004">
      <c r="A185" s="4">
        <v>0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f t="shared" si="7"/>
        <v>0</v>
      </c>
      <c r="L185" s="4">
        <f t="shared" si="8"/>
        <v>0</v>
      </c>
      <c r="M185" s="4">
        <f t="shared" si="9"/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5">
        <f t="shared" si="0"/>
        <v>0</v>
      </c>
    </row>
    <row r="186" spans="1:45" ht="14.25" customHeight="1" x14ac:dyDescent="0.55000000000000004">
      <c r="A186" s="4">
        <v>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f t="shared" si="7"/>
        <v>0</v>
      </c>
      <c r="L186" s="4">
        <f t="shared" si="8"/>
        <v>0</v>
      </c>
      <c r="M186" s="4">
        <f t="shared" si="9"/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5">
        <f t="shared" si="0"/>
        <v>0</v>
      </c>
    </row>
    <row r="187" spans="1:45" ht="14.25" customHeight="1" x14ac:dyDescent="0.55000000000000004">
      <c r="A187" s="4">
        <v>0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f t="shared" si="7"/>
        <v>0</v>
      </c>
      <c r="L187" s="4">
        <f t="shared" si="8"/>
        <v>0</v>
      </c>
      <c r="M187" s="4">
        <f t="shared" si="9"/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5">
        <f t="shared" si="0"/>
        <v>0</v>
      </c>
    </row>
    <row r="188" spans="1:45" ht="14.25" customHeight="1" x14ac:dyDescent="0.55000000000000004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f t="shared" si="7"/>
        <v>0</v>
      </c>
      <c r="L188" s="4">
        <f t="shared" si="8"/>
        <v>0</v>
      </c>
      <c r="M188" s="4">
        <f t="shared" si="9"/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5">
        <f t="shared" si="0"/>
        <v>0</v>
      </c>
    </row>
    <row r="189" spans="1:45" ht="14.25" customHeight="1" x14ac:dyDescent="0.55000000000000004">
      <c r="A189" s="4">
        <v>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f t="shared" si="7"/>
        <v>0</v>
      </c>
      <c r="L189" s="4">
        <f t="shared" si="8"/>
        <v>0</v>
      </c>
      <c r="M189" s="4">
        <f t="shared" si="9"/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5">
        <f t="shared" si="0"/>
        <v>0</v>
      </c>
    </row>
    <row r="190" spans="1:45" ht="14.25" customHeight="1" x14ac:dyDescent="0.55000000000000004">
      <c r="A190" s="4">
        <v>0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f t="shared" si="7"/>
        <v>0</v>
      </c>
      <c r="L190" s="4">
        <f t="shared" si="8"/>
        <v>0</v>
      </c>
      <c r="M190" s="4">
        <f t="shared" si="9"/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5">
        <f t="shared" si="0"/>
        <v>0</v>
      </c>
    </row>
    <row r="191" spans="1:45" ht="14.25" customHeight="1" x14ac:dyDescent="0.55000000000000004">
      <c r="A191" s="4">
        <v>0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f t="shared" si="7"/>
        <v>0</v>
      </c>
      <c r="L191" s="4">
        <f t="shared" si="8"/>
        <v>0</v>
      </c>
      <c r="M191" s="4">
        <f t="shared" si="9"/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5">
        <f t="shared" si="0"/>
        <v>0</v>
      </c>
    </row>
    <row r="192" spans="1:45" ht="14.25" customHeight="1" x14ac:dyDescent="0.55000000000000004">
      <c r="A192" s="4">
        <v>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f t="shared" si="7"/>
        <v>0</v>
      </c>
      <c r="L192" s="4">
        <f t="shared" si="8"/>
        <v>0</v>
      </c>
      <c r="M192" s="4">
        <f t="shared" si="9"/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5">
        <f t="shared" si="0"/>
        <v>0</v>
      </c>
    </row>
    <row r="193" spans="1:45" ht="14.25" customHeight="1" x14ac:dyDescent="0.55000000000000004">
      <c r="A193" s="4">
        <v>0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f t="shared" si="7"/>
        <v>0</v>
      </c>
      <c r="L193" s="4">
        <f t="shared" si="8"/>
        <v>0</v>
      </c>
      <c r="M193" s="4">
        <f t="shared" si="9"/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5">
        <f t="shared" si="0"/>
        <v>0</v>
      </c>
    </row>
    <row r="194" spans="1:45" ht="14.25" customHeight="1" x14ac:dyDescent="0.55000000000000004">
      <c r="A194" s="4">
        <v>0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f t="shared" si="7"/>
        <v>0</v>
      </c>
      <c r="L194" s="4">
        <f t="shared" si="8"/>
        <v>0</v>
      </c>
      <c r="M194" s="4">
        <f t="shared" si="9"/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5">
        <f t="shared" si="0"/>
        <v>0</v>
      </c>
    </row>
    <row r="195" spans="1:45" ht="14.25" customHeight="1" x14ac:dyDescent="0.55000000000000004">
      <c r="A195" s="4">
        <v>0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f t="shared" ref="K195:K251" si="10">IF(E195=0,0,
VALUE(MID(E195,2,FIND(",",E195)-2))+
VALUE(MID(F195,2,FIND(",",F195)-2))+
VALUE(MID(G195,2,FIND(",",G195)-2))
)</f>
        <v>0</v>
      </c>
      <c r="L195" s="4">
        <f t="shared" ref="L195:L251" si="11">IF(E195=0,0,
VALUE(MID(E195,FIND(",",E195)+1,FIND("]",E195)-FIND(",",E195)-1))+
VALUE(MID(F195,FIND(",",F195)+1,FIND("]",F195)-FIND(",",F195)-1))+
VALUE(MID(G195,FIND(",",G195)+1,FIND("]",G195)-FIND(",",G195)-1))
)</f>
        <v>0</v>
      </c>
      <c r="M195" s="4">
        <f t="shared" ref="M195:M251" si="12">(K195-L195)</f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5">
        <f t="shared" si="0"/>
        <v>0</v>
      </c>
    </row>
    <row r="196" spans="1:45" ht="14.25" customHeight="1" x14ac:dyDescent="0.55000000000000004">
      <c r="A196" s="4">
        <v>0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f t="shared" si="10"/>
        <v>0</v>
      </c>
      <c r="L196" s="4">
        <f t="shared" si="11"/>
        <v>0</v>
      </c>
      <c r="M196" s="4">
        <f t="shared" si="12"/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5">
        <f t="shared" si="0"/>
        <v>0</v>
      </c>
    </row>
    <row r="197" spans="1:45" ht="14.25" customHeight="1" x14ac:dyDescent="0.55000000000000004">
      <c r="A197" s="4">
        <v>0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f t="shared" si="10"/>
        <v>0</v>
      </c>
      <c r="L197" s="4">
        <f t="shared" si="11"/>
        <v>0</v>
      </c>
      <c r="M197" s="4">
        <f t="shared" si="12"/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5">
        <f t="shared" si="0"/>
        <v>0</v>
      </c>
    </row>
    <row r="198" spans="1:45" ht="14.25" customHeight="1" x14ac:dyDescent="0.55000000000000004">
      <c r="A198" s="4">
        <v>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f t="shared" si="10"/>
        <v>0</v>
      </c>
      <c r="L198" s="4">
        <f t="shared" si="11"/>
        <v>0</v>
      </c>
      <c r="M198" s="4">
        <f t="shared" si="12"/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5">
        <f t="shared" si="0"/>
        <v>0</v>
      </c>
    </row>
    <row r="199" spans="1:45" ht="14.25" customHeight="1" x14ac:dyDescent="0.55000000000000004">
      <c r="A199" s="4">
        <v>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f t="shared" si="10"/>
        <v>0</v>
      </c>
      <c r="L199" s="4">
        <f t="shared" si="11"/>
        <v>0</v>
      </c>
      <c r="M199" s="4">
        <f t="shared" si="12"/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5">
        <f t="shared" si="0"/>
        <v>0</v>
      </c>
    </row>
    <row r="200" spans="1:45" ht="14.25" customHeight="1" x14ac:dyDescent="0.55000000000000004">
      <c r="A200" s="4">
        <v>0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f t="shared" si="10"/>
        <v>0</v>
      </c>
      <c r="L200" s="4">
        <f t="shared" si="11"/>
        <v>0</v>
      </c>
      <c r="M200" s="4">
        <f t="shared" si="12"/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5">
        <f t="shared" si="0"/>
        <v>0</v>
      </c>
    </row>
    <row r="201" spans="1:45" ht="14.25" customHeight="1" x14ac:dyDescent="0.55000000000000004">
      <c r="A201" s="4">
        <v>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f t="shared" si="10"/>
        <v>0</v>
      </c>
      <c r="L201" s="4">
        <f t="shared" si="11"/>
        <v>0</v>
      </c>
      <c r="M201" s="4">
        <f t="shared" si="12"/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5">
        <f t="shared" si="0"/>
        <v>0</v>
      </c>
    </row>
    <row r="202" spans="1:45" ht="14.25" customHeight="1" x14ac:dyDescent="0.55000000000000004">
      <c r="A202" s="4">
        <v>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f t="shared" si="10"/>
        <v>0</v>
      </c>
      <c r="L202" s="4">
        <f t="shared" si="11"/>
        <v>0</v>
      </c>
      <c r="M202" s="4">
        <f t="shared" si="12"/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5">
        <f t="shared" si="0"/>
        <v>0</v>
      </c>
    </row>
    <row r="203" spans="1:45" ht="14.25" customHeight="1" x14ac:dyDescent="0.55000000000000004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f t="shared" si="10"/>
        <v>0</v>
      </c>
      <c r="L203" s="4">
        <f t="shared" si="11"/>
        <v>0</v>
      </c>
      <c r="M203" s="4">
        <f t="shared" si="12"/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5">
        <f t="shared" si="0"/>
        <v>0</v>
      </c>
    </row>
    <row r="204" spans="1:45" ht="14.25" customHeight="1" x14ac:dyDescent="0.55000000000000004">
      <c r="A204" s="4">
        <v>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f t="shared" si="10"/>
        <v>0</v>
      </c>
      <c r="L204" s="4">
        <f t="shared" si="11"/>
        <v>0</v>
      </c>
      <c r="M204" s="4">
        <f t="shared" si="12"/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5">
        <f t="shared" si="0"/>
        <v>0</v>
      </c>
    </row>
    <row r="205" spans="1:45" ht="14.25" customHeight="1" x14ac:dyDescent="0.55000000000000004">
      <c r="A205" s="4">
        <v>0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f t="shared" si="10"/>
        <v>0</v>
      </c>
      <c r="L205" s="4">
        <f t="shared" si="11"/>
        <v>0</v>
      </c>
      <c r="M205" s="4">
        <f t="shared" si="12"/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5">
        <f t="shared" si="0"/>
        <v>0</v>
      </c>
    </row>
    <row r="206" spans="1:45" ht="14.25" customHeight="1" x14ac:dyDescent="0.55000000000000004">
      <c r="A206" s="4">
        <v>0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f t="shared" si="10"/>
        <v>0</v>
      </c>
      <c r="L206" s="4">
        <f t="shared" si="11"/>
        <v>0</v>
      </c>
      <c r="M206" s="4">
        <f t="shared" si="12"/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5">
        <f t="shared" si="0"/>
        <v>0</v>
      </c>
    </row>
    <row r="207" spans="1:45" ht="14.25" customHeight="1" x14ac:dyDescent="0.55000000000000004">
      <c r="A207" s="4">
        <v>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f t="shared" si="10"/>
        <v>0</v>
      </c>
      <c r="L207" s="4">
        <f t="shared" si="11"/>
        <v>0</v>
      </c>
      <c r="M207" s="4">
        <f t="shared" si="12"/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5">
        <f t="shared" si="0"/>
        <v>0</v>
      </c>
    </row>
    <row r="208" spans="1:45" ht="14.25" customHeight="1" x14ac:dyDescent="0.55000000000000004">
      <c r="A208" s="4">
        <v>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f t="shared" si="10"/>
        <v>0</v>
      </c>
      <c r="L208" s="4">
        <f t="shared" si="11"/>
        <v>0</v>
      </c>
      <c r="M208" s="4">
        <f t="shared" si="12"/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5">
        <f t="shared" si="0"/>
        <v>0</v>
      </c>
    </row>
    <row r="209" spans="1:45" ht="14.25" customHeight="1" x14ac:dyDescent="0.55000000000000004">
      <c r="A209" s="4">
        <v>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f t="shared" si="10"/>
        <v>0</v>
      </c>
      <c r="L209" s="4">
        <f t="shared" si="11"/>
        <v>0</v>
      </c>
      <c r="M209" s="4">
        <f t="shared" si="12"/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5">
        <f t="shared" si="0"/>
        <v>0</v>
      </c>
    </row>
    <row r="210" spans="1:45" ht="14.25" customHeight="1" x14ac:dyDescent="0.55000000000000004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f t="shared" si="10"/>
        <v>0</v>
      </c>
      <c r="L210" s="4">
        <f t="shared" si="11"/>
        <v>0</v>
      </c>
      <c r="M210" s="4">
        <f t="shared" si="12"/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5">
        <f t="shared" si="0"/>
        <v>0</v>
      </c>
    </row>
    <row r="211" spans="1:45" ht="14.25" customHeight="1" x14ac:dyDescent="0.55000000000000004">
      <c r="A211" s="4">
        <v>0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f t="shared" si="10"/>
        <v>0</v>
      </c>
      <c r="L211" s="4">
        <f t="shared" si="11"/>
        <v>0</v>
      </c>
      <c r="M211" s="4">
        <f t="shared" si="12"/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5">
        <f t="shared" si="0"/>
        <v>0</v>
      </c>
    </row>
    <row r="212" spans="1:45" ht="14.25" customHeight="1" x14ac:dyDescent="0.55000000000000004">
      <c r="A212" s="4">
        <v>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f t="shared" si="10"/>
        <v>0</v>
      </c>
      <c r="L212" s="4">
        <f t="shared" si="11"/>
        <v>0</v>
      </c>
      <c r="M212" s="4">
        <f t="shared" si="12"/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5">
        <f t="shared" si="0"/>
        <v>0</v>
      </c>
    </row>
    <row r="213" spans="1:45" ht="14.25" customHeight="1" x14ac:dyDescent="0.55000000000000004">
      <c r="A213" s="4">
        <v>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f t="shared" si="10"/>
        <v>0</v>
      </c>
      <c r="L213" s="4">
        <f t="shared" si="11"/>
        <v>0</v>
      </c>
      <c r="M213" s="4">
        <f t="shared" si="12"/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5">
        <f t="shared" si="0"/>
        <v>0</v>
      </c>
    </row>
    <row r="214" spans="1:45" ht="14.25" customHeight="1" x14ac:dyDescent="0.55000000000000004">
      <c r="A214" s="4">
        <v>0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f t="shared" si="10"/>
        <v>0</v>
      </c>
      <c r="L214" s="4">
        <f t="shared" si="11"/>
        <v>0</v>
      </c>
      <c r="M214" s="4">
        <f t="shared" si="12"/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5">
        <f t="shared" si="0"/>
        <v>0</v>
      </c>
    </row>
    <row r="215" spans="1:45" ht="14.25" customHeight="1" x14ac:dyDescent="0.55000000000000004">
      <c r="A215" s="4">
        <v>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f t="shared" si="10"/>
        <v>0</v>
      </c>
      <c r="L215" s="4">
        <f t="shared" si="11"/>
        <v>0</v>
      </c>
      <c r="M215" s="4">
        <f t="shared" si="12"/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5">
        <f t="shared" si="0"/>
        <v>0</v>
      </c>
    </row>
    <row r="216" spans="1:45" ht="14.25" customHeight="1" x14ac:dyDescent="0.55000000000000004">
      <c r="A216" s="4">
        <v>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f t="shared" si="10"/>
        <v>0</v>
      </c>
      <c r="L216" s="4">
        <f t="shared" si="11"/>
        <v>0</v>
      </c>
      <c r="M216" s="4">
        <f t="shared" si="12"/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5">
        <f t="shared" si="0"/>
        <v>0</v>
      </c>
    </row>
    <row r="217" spans="1:45" ht="14.25" customHeight="1" x14ac:dyDescent="0.55000000000000004">
      <c r="A217" s="4">
        <v>0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f t="shared" si="10"/>
        <v>0</v>
      </c>
      <c r="L217" s="4">
        <f t="shared" si="11"/>
        <v>0</v>
      </c>
      <c r="M217" s="4">
        <f t="shared" si="12"/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5">
        <f t="shared" si="0"/>
        <v>0</v>
      </c>
    </row>
    <row r="218" spans="1:45" ht="14.25" customHeight="1" x14ac:dyDescent="0.55000000000000004">
      <c r="A218" s="4">
        <v>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f t="shared" si="10"/>
        <v>0</v>
      </c>
      <c r="L218" s="4">
        <f t="shared" si="11"/>
        <v>0</v>
      </c>
      <c r="M218" s="4">
        <f t="shared" si="12"/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5">
        <f t="shared" si="0"/>
        <v>0</v>
      </c>
    </row>
    <row r="219" spans="1:45" ht="14.25" customHeight="1" x14ac:dyDescent="0.55000000000000004">
      <c r="A219" s="4">
        <v>0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f t="shared" si="10"/>
        <v>0</v>
      </c>
      <c r="L219" s="4">
        <f t="shared" si="11"/>
        <v>0</v>
      </c>
      <c r="M219" s="4">
        <f t="shared" si="12"/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5">
        <f t="shared" si="0"/>
        <v>0</v>
      </c>
    </row>
    <row r="220" spans="1:45" ht="14.25" customHeight="1" x14ac:dyDescent="0.55000000000000004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f t="shared" si="10"/>
        <v>0</v>
      </c>
      <c r="L220" s="4">
        <f t="shared" si="11"/>
        <v>0</v>
      </c>
      <c r="M220" s="4">
        <f t="shared" si="12"/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5">
        <f t="shared" si="0"/>
        <v>0</v>
      </c>
    </row>
    <row r="221" spans="1:45" ht="14.25" customHeight="1" x14ac:dyDescent="0.55000000000000004">
      <c r="A221" s="4">
        <v>0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f t="shared" si="10"/>
        <v>0</v>
      </c>
      <c r="L221" s="4">
        <f t="shared" si="11"/>
        <v>0</v>
      </c>
      <c r="M221" s="4">
        <f t="shared" si="12"/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5">
        <f t="shared" si="0"/>
        <v>0</v>
      </c>
    </row>
    <row r="222" spans="1:45" ht="14.25" customHeight="1" x14ac:dyDescent="0.55000000000000004">
      <c r="A222" s="4">
        <v>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f t="shared" si="10"/>
        <v>0</v>
      </c>
      <c r="L222" s="4">
        <f t="shared" si="11"/>
        <v>0</v>
      </c>
      <c r="M222" s="4">
        <f t="shared" si="12"/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5">
        <f t="shared" si="0"/>
        <v>0</v>
      </c>
    </row>
    <row r="223" spans="1:45" ht="14.25" customHeight="1" x14ac:dyDescent="0.55000000000000004">
      <c r="A223" s="4">
        <v>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f t="shared" si="10"/>
        <v>0</v>
      </c>
      <c r="L223" s="4">
        <f t="shared" si="11"/>
        <v>0</v>
      </c>
      <c r="M223" s="4">
        <f t="shared" si="12"/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5">
        <f t="shared" si="0"/>
        <v>0</v>
      </c>
    </row>
    <row r="224" spans="1:45" ht="14.25" customHeight="1" x14ac:dyDescent="0.55000000000000004">
      <c r="A224" s="4">
        <v>0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f t="shared" si="10"/>
        <v>0</v>
      </c>
      <c r="L224" s="4">
        <f t="shared" si="11"/>
        <v>0</v>
      </c>
      <c r="M224" s="4">
        <f t="shared" si="12"/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5">
        <f t="shared" si="0"/>
        <v>0</v>
      </c>
    </row>
    <row r="225" spans="1:45" ht="14.25" customHeight="1" x14ac:dyDescent="0.55000000000000004">
      <c r="A225" s="4">
        <v>0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f t="shared" si="10"/>
        <v>0</v>
      </c>
      <c r="L225" s="4">
        <f t="shared" si="11"/>
        <v>0</v>
      </c>
      <c r="M225" s="4">
        <f t="shared" si="12"/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5">
        <f t="shared" si="0"/>
        <v>0</v>
      </c>
    </row>
    <row r="226" spans="1:45" ht="14.25" customHeight="1" x14ac:dyDescent="0.55000000000000004">
      <c r="A226" s="4">
        <v>0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f t="shared" si="10"/>
        <v>0</v>
      </c>
      <c r="L226" s="4">
        <f t="shared" si="11"/>
        <v>0</v>
      </c>
      <c r="M226" s="4">
        <f t="shared" si="12"/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5">
        <f t="shared" si="0"/>
        <v>0</v>
      </c>
    </row>
    <row r="227" spans="1:45" ht="14.25" customHeight="1" x14ac:dyDescent="0.55000000000000004">
      <c r="A227" s="4">
        <v>0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f t="shared" si="10"/>
        <v>0</v>
      </c>
      <c r="L227" s="4">
        <f t="shared" si="11"/>
        <v>0</v>
      </c>
      <c r="M227" s="4">
        <f t="shared" si="12"/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5">
        <f t="shared" si="0"/>
        <v>0</v>
      </c>
    </row>
    <row r="228" spans="1:45" ht="14.25" customHeight="1" x14ac:dyDescent="0.55000000000000004">
      <c r="A228" s="4">
        <v>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f t="shared" si="10"/>
        <v>0</v>
      </c>
      <c r="L228" s="4">
        <f t="shared" si="11"/>
        <v>0</v>
      </c>
      <c r="M228" s="4">
        <f t="shared" si="12"/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5">
        <f t="shared" si="0"/>
        <v>0</v>
      </c>
    </row>
    <row r="229" spans="1:45" ht="14.25" customHeight="1" x14ac:dyDescent="0.55000000000000004">
      <c r="A229" s="4">
        <v>0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f t="shared" si="10"/>
        <v>0</v>
      </c>
      <c r="L229" s="4">
        <f t="shared" si="11"/>
        <v>0</v>
      </c>
      <c r="M229" s="4">
        <f t="shared" si="12"/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5">
        <f t="shared" si="0"/>
        <v>0</v>
      </c>
    </row>
    <row r="230" spans="1:45" ht="14.25" customHeight="1" x14ac:dyDescent="0.55000000000000004">
      <c r="A230" s="4">
        <v>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f t="shared" si="10"/>
        <v>0</v>
      </c>
      <c r="L230" s="4">
        <f t="shared" si="11"/>
        <v>0</v>
      </c>
      <c r="M230" s="4">
        <f t="shared" si="12"/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5">
        <f t="shared" si="0"/>
        <v>0</v>
      </c>
    </row>
    <row r="231" spans="1:45" ht="14.25" customHeight="1" x14ac:dyDescent="0.55000000000000004">
      <c r="A231" s="4">
        <v>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f t="shared" si="10"/>
        <v>0</v>
      </c>
      <c r="L231" s="4">
        <f t="shared" si="11"/>
        <v>0</v>
      </c>
      <c r="M231" s="4">
        <f t="shared" si="12"/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5">
        <f t="shared" si="0"/>
        <v>0</v>
      </c>
    </row>
    <row r="232" spans="1:45" ht="14.25" customHeight="1" x14ac:dyDescent="0.55000000000000004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f t="shared" si="10"/>
        <v>0</v>
      </c>
      <c r="L232" s="4">
        <f t="shared" si="11"/>
        <v>0</v>
      </c>
      <c r="M232" s="4">
        <f t="shared" si="12"/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5">
        <f t="shared" si="0"/>
        <v>0</v>
      </c>
    </row>
    <row r="233" spans="1:45" ht="14.25" customHeight="1" x14ac:dyDescent="0.55000000000000004">
      <c r="A233" s="4">
        <v>0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f t="shared" si="10"/>
        <v>0</v>
      </c>
      <c r="L233" s="4">
        <f t="shared" si="11"/>
        <v>0</v>
      </c>
      <c r="M233" s="4">
        <f t="shared" si="12"/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5">
        <f t="shared" si="0"/>
        <v>0</v>
      </c>
    </row>
    <row r="234" spans="1:45" ht="14.25" customHeight="1" x14ac:dyDescent="0.55000000000000004">
      <c r="A234" s="4">
        <v>0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f t="shared" si="10"/>
        <v>0</v>
      </c>
      <c r="L234" s="4">
        <f t="shared" si="11"/>
        <v>0</v>
      </c>
      <c r="M234" s="4">
        <f t="shared" si="12"/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5">
        <f t="shared" si="0"/>
        <v>0</v>
      </c>
    </row>
    <row r="235" spans="1:45" ht="14.25" customHeight="1" x14ac:dyDescent="0.55000000000000004">
      <c r="A235" s="4">
        <v>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f t="shared" si="10"/>
        <v>0</v>
      </c>
      <c r="L235" s="4">
        <f t="shared" si="11"/>
        <v>0</v>
      </c>
      <c r="M235" s="4">
        <f t="shared" si="12"/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5">
        <f t="shared" si="0"/>
        <v>0</v>
      </c>
    </row>
    <row r="236" spans="1:45" ht="14.25" customHeight="1" x14ac:dyDescent="0.55000000000000004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f t="shared" si="10"/>
        <v>0</v>
      </c>
      <c r="L236" s="4">
        <f t="shared" si="11"/>
        <v>0</v>
      </c>
      <c r="M236" s="4">
        <f t="shared" si="12"/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5">
        <f t="shared" si="0"/>
        <v>0</v>
      </c>
    </row>
    <row r="237" spans="1:45" ht="14.25" customHeight="1" x14ac:dyDescent="0.55000000000000004">
      <c r="A237" s="4">
        <v>0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f t="shared" si="10"/>
        <v>0</v>
      </c>
      <c r="L237" s="4">
        <f t="shared" si="11"/>
        <v>0</v>
      </c>
      <c r="M237" s="4">
        <f t="shared" si="12"/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5">
        <f t="shared" si="0"/>
        <v>0</v>
      </c>
    </row>
    <row r="238" spans="1:45" ht="14.25" customHeight="1" x14ac:dyDescent="0.55000000000000004">
      <c r="A238" s="4">
        <v>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f t="shared" si="10"/>
        <v>0</v>
      </c>
      <c r="L238" s="4">
        <f t="shared" si="11"/>
        <v>0</v>
      </c>
      <c r="M238" s="4">
        <f t="shared" si="12"/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5">
        <f t="shared" si="0"/>
        <v>0</v>
      </c>
    </row>
    <row r="239" spans="1:45" ht="14.25" customHeight="1" x14ac:dyDescent="0.55000000000000004">
      <c r="A239" s="4">
        <v>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f t="shared" si="10"/>
        <v>0</v>
      </c>
      <c r="L239" s="4">
        <f t="shared" si="11"/>
        <v>0</v>
      </c>
      <c r="M239" s="4">
        <f t="shared" si="12"/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5">
        <f t="shared" si="0"/>
        <v>0</v>
      </c>
    </row>
    <row r="240" spans="1:45" ht="14.25" customHeight="1" x14ac:dyDescent="0.55000000000000004">
      <c r="A240" s="4">
        <v>0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f t="shared" si="10"/>
        <v>0</v>
      </c>
      <c r="L240" s="4">
        <f t="shared" si="11"/>
        <v>0</v>
      </c>
      <c r="M240" s="4">
        <f t="shared" si="12"/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5">
        <f t="shared" si="0"/>
        <v>0</v>
      </c>
    </row>
    <row r="241" spans="1:45" ht="14.25" customHeight="1" x14ac:dyDescent="0.55000000000000004">
      <c r="A241" s="4">
        <v>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f t="shared" si="10"/>
        <v>0</v>
      </c>
      <c r="L241" s="4">
        <f t="shared" si="11"/>
        <v>0</v>
      </c>
      <c r="M241" s="4">
        <f t="shared" si="12"/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5">
        <f t="shared" si="0"/>
        <v>0</v>
      </c>
    </row>
    <row r="242" spans="1:45" ht="14.25" customHeight="1" x14ac:dyDescent="0.55000000000000004">
      <c r="A242" s="4">
        <v>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f t="shared" si="10"/>
        <v>0</v>
      </c>
      <c r="L242" s="4">
        <f t="shared" si="11"/>
        <v>0</v>
      </c>
      <c r="M242" s="4">
        <f t="shared" si="12"/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5">
        <f t="shared" si="0"/>
        <v>0</v>
      </c>
    </row>
    <row r="243" spans="1:45" ht="14.25" customHeight="1" x14ac:dyDescent="0.55000000000000004">
      <c r="A243" s="4">
        <v>0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f t="shared" si="10"/>
        <v>0</v>
      </c>
      <c r="L243" s="4">
        <f t="shared" si="11"/>
        <v>0</v>
      </c>
      <c r="M243" s="4">
        <f t="shared" si="12"/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5">
        <f t="shared" si="0"/>
        <v>0</v>
      </c>
    </row>
    <row r="244" spans="1:45" ht="14.25" customHeight="1" x14ac:dyDescent="0.55000000000000004">
      <c r="A244" s="4">
        <v>0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f t="shared" si="10"/>
        <v>0</v>
      </c>
      <c r="L244" s="4">
        <f t="shared" si="11"/>
        <v>0</v>
      </c>
      <c r="M244" s="4">
        <f t="shared" si="12"/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5">
        <f t="shared" si="0"/>
        <v>0</v>
      </c>
    </row>
    <row r="245" spans="1:45" ht="14.25" customHeight="1" x14ac:dyDescent="0.55000000000000004">
      <c r="A245" s="4">
        <v>0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f t="shared" si="10"/>
        <v>0</v>
      </c>
      <c r="L245" s="4">
        <f t="shared" si="11"/>
        <v>0</v>
      </c>
      <c r="M245" s="4">
        <f t="shared" si="12"/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5">
        <f t="shared" si="0"/>
        <v>0</v>
      </c>
    </row>
    <row r="246" spans="1:45" ht="14.25" customHeight="1" x14ac:dyDescent="0.55000000000000004">
      <c r="A246" s="4">
        <v>0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f t="shared" si="10"/>
        <v>0</v>
      </c>
      <c r="L246" s="4">
        <f t="shared" si="11"/>
        <v>0</v>
      </c>
      <c r="M246" s="4">
        <f t="shared" si="12"/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5">
        <f t="shared" si="0"/>
        <v>0</v>
      </c>
    </row>
    <row r="247" spans="1:45" ht="14.25" customHeight="1" x14ac:dyDescent="0.55000000000000004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f t="shared" si="10"/>
        <v>0</v>
      </c>
      <c r="L247" s="4">
        <f t="shared" si="11"/>
        <v>0</v>
      </c>
      <c r="M247" s="4">
        <f t="shared" si="12"/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5">
        <f t="shared" si="0"/>
        <v>0</v>
      </c>
    </row>
    <row r="248" spans="1:45" ht="14.25" customHeight="1" x14ac:dyDescent="0.55000000000000004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f t="shared" si="10"/>
        <v>0</v>
      </c>
      <c r="L248" s="4">
        <f t="shared" si="11"/>
        <v>0</v>
      </c>
      <c r="M248" s="4">
        <f t="shared" si="12"/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5">
        <f t="shared" si="0"/>
        <v>0</v>
      </c>
    </row>
    <row r="249" spans="1:45" ht="14.25" customHeight="1" x14ac:dyDescent="0.55000000000000004">
      <c r="A249" s="4">
        <v>0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f t="shared" si="10"/>
        <v>0</v>
      </c>
      <c r="L249" s="4">
        <f t="shared" si="11"/>
        <v>0</v>
      </c>
      <c r="M249" s="4">
        <f t="shared" si="12"/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5">
        <f t="shared" si="0"/>
        <v>0</v>
      </c>
    </row>
    <row r="250" spans="1:45" ht="14.25" customHeight="1" x14ac:dyDescent="0.55000000000000004">
      <c r="A250" s="4">
        <v>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f t="shared" si="10"/>
        <v>0</v>
      </c>
      <c r="L250" s="4">
        <f t="shared" si="11"/>
        <v>0</v>
      </c>
      <c r="M250" s="4">
        <f t="shared" si="12"/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5">
        <f t="shared" si="0"/>
        <v>0</v>
      </c>
    </row>
    <row r="251" spans="1:45" ht="14.25" customHeight="1" x14ac:dyDescent="0.55000000000000004">
      <c r="A251" s="4">
        <v>0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f t="shared" si="10"/>
        <v>0</v>
      </c>
      <c r="L251" s="4">
        <f t="shared" si="11"/>
        <v>0</v>
      </c>
      <c r="M251" s="4">
        <f t="shared" si="12"/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5">
        <f t="shared" si="0"/>
        <v>0</v>
      </c>
    </row>
    <row r="252" spans="1:45" ht="14.25" customHeight="1" x14ac:dyDescent="0.55000000000000004"/>
    <row r="253" spans="1:45" ht="14.25" customHeight="1" x14ac:dyDescent="0.55000000000000004"/>
    <row r="254" spans="1:45" ht="14.25" customHeight="1" x14ac:dyDescent="0.55000000000000004"/>
    <row r="255" spans="1:45" ht="14.25" customHeight="1" x14ac:dyDescent="0.55000000000000004"/>
    <row r="256" spans="1:45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000"/>
  <sheetViews>
    <sheetView topLeftCell="C196" workbookViewId="0">
      <selection activeCell="M2" sqref="M2:M251"/>
    </sheetView>
  </sheetViews>
  <sheetFormatPr defaultColWidth="14.41796875" defaultRowHeight="15" customHeight="1" x14ac:dyDescent="0.55000000000000004"/>
  <cols>
    <col min="1" max="1" width="11.3125" bestFit="1" customWidth="1"/>
    <col min="2" max="2" width="11.1015625" bestFit="1" customWidth="1"/>
    <col min="3" max="3" width="13.15625" bestFit="1" customWidth="1"/>
    <col min="4" max="4" width="8.68359375" customWidth="1"/>
    <col min="5" max="5" width="10.68359375" bestFit="1" customWidth="1"/>
    <col min="6" max="6" width="11.68359375" bestFit="1" customWidth="1"/>
    <col min="7" max="7" width="15.3671875" bestFit="1" customWidth="1"/>
    <col min="8" max="8" width="10.68359375" bestFit="1" customWidth="1"/>
    <col min="9" max="10" width="8.68359375" customWidth="1"/>
    <col min="11" max="11" width="11.3671875" bestFit="1" customWidth="1"/>
    <col min="12" max="12" width="11.05078125" bestFit="1" customWidth="1"/>
    <col min="13" max="13" width="15.62890625" bestFit="1" customWidth="1"/>
    <col min="14" max="43" width="8.68359375" customWidth="1"/>
    <col min="44" max="44" width="52.68359375" customWidth="1"/>
    <col min="45" max="45" width="10.26171875" customWidth="1"/>
  </cols>
  <sheetData>
    <row r="1" spans="1:4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6" t="s">
        <v>3083</v>
      </c>
      <c r="F1" s="6" t="s">
        <v>3084</v>
      </c>
      <c r="G1" s="6" t="s">
        <v>3087</v>
      </c>
      <c r="H1" s="6" t="s">
        <v>3086</v>
      </c>
      <c r="I1" s="1" t="s">
        <v>4</v>
      </c>
      <c r="J1" s="1" t="s">
        <v>5</v>
      </c>
      <c r="K1" s="1" t="s">
        <v>3088</v>
      </c>
      <c r="L1" s="1" t="s">
        <v>3094</v>
      </c>
      <c r="M1" s="1" t="s">
        <v>3095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2">
        <f>SUM(AS2:AS251)</f>
        <v>609.3023607305937</v>
      </c>
    </row>
    <row r="2" spans="1:45" ht="14.25" customHeight="1" x14ac:dyDescent="0.55000000000000004">
      <c r="A2" s="4">
        <v>0</v>
      </c>
      <c r="B2" s="4">
        <v>6</v>
      </c>
      <c r="C2" s="4">
        <v>80.89</v>
      </c>
      <c r="D2" s="4">
        <v>7.8</v>
      </c>
      <c r="E2" s="4" t="s">
        <v>2333</v>
      </c>
      <c r="F2" s="4" t="s">
        <v>2334</v>
      </c>
      <c r="G2" s="4" t="s">
        <v>2333</v>
      </c>
      <c r="H2" s="4" t="s">
        <v>2335</v>
      </c>
      <c r="I2" s="4">
        <v>0</v>
      </c>
      <c r="J2" s="4">
        <v>35</v>
      </c>
      <c r="K2" s="4">
        <f>IF(E2=0,0,
VALUE(MID(E2,2,FIND(",",E2)-2))+
VALUE(MID(F2,2,FIND(",",F2)-2))+
VALUE(MID(G2,2,FIND(",",G2)-2))
)</f>
        <v>17.16</v>
      </c>
      <c r="L2" s="4">
        <f>IF(E2=0,0,
VALUE(MID(E2,FIND(",",E2)+1,FIND("]",E2)-FIND(",",E2)-1))+
VALUE(MID(F2,FIND(",",F2)+1,FIND("]",F2)-FIND(",",F2)-1))+
VALUE(MID(G2,FIND(",",G2)+1,FIND("]",G2)-FIND(",",G2)-1))
)</f>
        <v>17.16</v>
      </c>
      <c r="M2" s="4">
        <f>(K2-L2)</f>
        <v>0</v>
      </c>
      <c r="N2" s="4">
        <v>6.3</v>
      </c>
      <c r="O2" s="4">
        <v>0</v>
      </c>
      <c r="P2" s="4">
        <v>44</v>
      </c>
      <c r="Q2" s="4">
        <v>22.5</v>
      </c>
      <c r="R2" s="4">
        <v>6</v>
      </c>
      <c r="S2" s="4">
        <v>14.96</v>
      </c>
      <c r="T2" s="4">
        <v>-14.96</v>
      </c>
      <c r="U2" s="4">
        <v>2.31</v>
      </c>
      <c r="V2" s="4">
        <v>51.77</v>
      </c>
      <c r="W2" s="4">
        <v>11.79</v>
      </c>
      <c r="X2" s="4">
        <v>28.19</v>
      </c>
      <c r="Y2" s="4">
        <v>6.47</v>
      </c>
      <c r="Z2" s="4">
        <v>4.75</v>
      </c>
      <c r="AA2" s="4">
        <v>-2.04</v>
      </c>
      <c r="AB2" s="4">
        <v>11.87</v>
      </c>
      <c r="AC2" s="4">
        <v>-66.930000000000007</v>
      </c>
      <c r="AD2" s="4">
        <v>160</v>
      </c>
      <c r="AE2" s="4">
        <v>1460</v>
      </c>
      <c r="AF2" s="4">
        <v>13.4</v>
      </c>
      <c r="AG2" s="4">
        <v>0.15</v>
      </c>
      <c r="AH2" s="4">
        <v>10.220000000000001</v>
      </c>
      <c r="AI2" s="4">
        <v>30.73</v>
      </c>
      <c r="AJ2" s="4">
        <v>60</v>
      </c>
      <c r="AK2" s="4">
        <v>9</v>
      </c>
      <c r="AL2" s="4">
        <v>9</v>
      </c>
      <c r="AM2" s="4">
        <v>0.24</v>
      </c>
      <c r="AN2" s="4">
        <v>96</v>
      </c>
      <c r="AO2" s="4">
        <v>98.17</v>
      </c>
      <c r="AP2" s="4">
        <v>247082.33</v>
      </c>
      <c r="AQ2" s="4">
        <v>247082.33</v>
      </c>
      <c r="AR2" s="4" t="s">
        <v>42</v>
      </c>
      <c r="AS2" s="5">
        <f t="shared" ref="AS2:AS251" si="0">(AP2-AQ2)/(365*24*2)</f>
        <v>0</v>
      </c>
    </row>
    <row r="3" spans="1:45" ht="14.25" customHeight="1" x14ac:dyDescent="0.55000000000000004">
      <c r="A3" s="4">
        <v>0</v>
      </c>
      <c r="B3" s="4">
        <v>6</v>
      </c>
      <c r="C3" s="4">
        <v>100.04</v>
      </c>
      <c r="D3" s="4">
        <v>7.8</v>
      </c>
      <c r="E3" s="4" t="s">
        <v>2333</v>
      </c>
      <c r="F3" s="4" t="s">
        <v>2336</v>
      </c>
      <c r="G3" s="4" t="s">
        <v>2333</v>
      </c>
      <c r="H3" s="4" t="s">
        <v>2337</v>
      </c>
      <c r="I3" s="4">
        <v>0</v>
      </c>
      <c r="J3" s="4">
        <v>35</v>
      </c>
      <c r="K3" s="4">
        <f t="shared" ref="K3:K66" si="1">IF(E3=0,0,
VALUE(MID(E3,2,FIND(",",E3)-2))+
VALUE(MID(F3,2,FIND(",",F3)-2))+
VALUE(MID(G3,2,FIND(",",G3)-2))
)</f>
        <v>16.12</v>
      </c>
      <c r="L3" s="4">
        <f t="shared" ref="L3:L66" si="2">IF(E3=0,0,
VALUE(MID(E3,FIND(",",E3)+1,FIND("]",E3)-FIND(",",E3)-1))+
VALUE(MID(F3,FIND(",",F3)+1,FIND("]",F3)-FIND(",",F3)-1))+
VALUE(MID(G3,FIND(",",G3)+1,FIND("]",G3)-FIND(",",G3)-1))
)</f>
        <v>16.12</v>
      </c>
      <c r="M3" s="4">
        <f t="shared" ref="M3:M66" si="3">(K3-L3)</f>
        <v>0</v>
      </c>
      <c r="N3" s="4">
        <v>6.3</v>
      </c>
      <c r="O3" s="4">
        <v>0</v>
      </c>
      <c r="P3" s="4">
        <v>46</v>
      </c>
      <c r="Q3" s="4">
        <v>21.7</v>
      </c>
      <c r="R3" s="4">
        <v>6</v>
      </c>
      <c r="S3" s="4">
        <v>14.59</v>
      </c>
      <c r="T3" s="4">
        <v>-14.59</v>
      </c>
      <c r="U3" s="4">
        <v>2.86</v>
      </c>
      <c r="V3" s="4">
        <v>64.02</v>
      </c>
      <c r="W3" s="4">
        <v>14.58</v>
      </c>
      <c r="X3" s="4">
        <v>34.869999999999997</v>
      </c>
      <c r="Y3" s="4">
        <v>8</v>
      </c>
      <c r="Z3" s="4">
        <v>6.26</v>
      </c>
      <c r="AA3" s="4">
        <v>-1.86</v>
      </c>
      <c r="AB3" s="4">
        <v>11.52</v>
      </c>
      <c r="AC3" s="4">
        <v>-69.849999999999994</v>
      </c>
      <c r="AD3" s="4">
        <v>160</v>
      </c>
      <c r="AE3" s="4">
        <v>1460</v>
      </c>
      <c r="AF3" s="4">
        <v>13.4</v>
      </c>
      <c r="AG3" s="4">
        <v>0.15</v>
      </c>
      <c r="AH3" s="4">
        <v>7.21</v>
      </c>
      <c r="AI3" s="4">
        <v>43.05</v>
      </c>
      <c r="AJ3" s="4">
        <v>60</v>
      </c>
      <c r="AK3" s="4">
        <v>9</v>
      </c>
      <c r="AL3" s="4">
        <v>9</v>
      </c>
      <c r="AM3" s="4">
        <v>0.17</v>
      </c>
      <c r="AN3" s="4">
        <v>96</v>
      </c>
      <c r="AO3" s="4">
        <v>97.55</v>
      </c>
      <c r="AP3" s="4">
        <v>223917.86</v>
      </c>
      <c r="AQ3" s="4">
        <v>223917.86</v>
      </c>
      <c r="AR3" s="4" t="s">
        <v>47</v>
      </c>
      <c r="AS3" s="5">
        <f t="shared" si="0"/>
        <v>0</v>
      </c>
    </row>
    <row r="4" spans="1:45" ht="14.25" customHeight="1" x14ac:dyDescent="0.55000000000000004">
      <c r="A4" s="4">
        <v>0</v>
      </c>
      <c r="B4" s="4">
        <v>6</v>
      </c>
      <c r="C4" s="4">
        <v>73.44</v>
      </c>
      <c r="D4" s="4">
        <v>7.8</v>
      </c>
      <c r="E4" s="4" t="s">
        <v>2338</v>
      </c>
      <c r="F4" s="4" t="s">
        <v>2339</v>
      </c>
      <c r="G4" s="4" t="s">
        <v>2333</v>
      </c>
      <c r="H4" s="4" t="s">
        <v>2340</v>
      </c>
      <c r="I4" s="4">
        <v>0</v>
      </c>
      <c r="J4" s="4">
        <v>35</v>
      </c>
      <c r="K4" s="4">
        <f t="shared" si="1"/>
        <v>17.850000000000001</v>
      </c>
      <c r="L4" s="4">
        <f t="shared" si="2"/>
        <v>14.28</v>
      </c>
      <c r="M4" s="4">
        <f t="shared" si="3"/>
        <v>3.5700000000000021</v>
      </c>
      <c r="N4" s="4">
        <v>6.3</v>
      </c>
      <c r="O4" s="4">
        <v>0</v>
      </c>
      <c r="P4" s="4">
        <v>63</v>
      </c>
      <c r="Q4" s="4">
        <v>19.899999999999999</v>
      </c>
      <c r="R4" s="4">
        <v>6</v>
      </c>
      <c r="S4" s="4">
        <v>15.3</v>
      </c>
      <c r="T4" s="4">
        <v>-15.3</v>
      </c>
      <c r="U4" s="4">
        <v>2.1</v>
      </c>
      <c r="V4" s="4">
        <v>47</v>
      </c>
      <c r="W4" s="4">
        <v>10.7</v>
      </c>
      <c r="X4" s="4">
        <v>25.6</v>
      </c>
      <c r="Y4" s="4">
        <v>5.88</v>
      </c>
      <c r="Z4" s="4">
        <v>24.38</v>
      </c>
      <c r="AA4" s="4">
        <v>-2.12</v>
      </c>
      <c r="AB4" s="4">
        <v>12.03</v>
      </c>
      <c r="AC4" s="4">
        <v>-64.489999999999995</v>
      </c>
      <c r="AD4" s="4">
        <v>160</v>
      </c>
      <c r="AE4" s="4">
        <v>1460</v>
      </c>
      <c r="AF4" s="4">
        <v>13.4</v>
      </c>
      <c r="AG4" s="4">
        <v>0.15</v>
      </c>
      <c r="AH4" s="4">
        <v>12.2</v>
      </c>
      <c r="AI4" s="4">
        <v>151.4</v>
      </c>
      <c r="AJ4" s="4">
        <v>60</v>
      </c>
      <c r="AK4" s="4">
        <v>9</v>
      </c>
      <c r="AL4" s="4">
        <v>9</v>
      </c>
      <c r="AM4" s="4">
        <v>0.05</v>
      </c>
      <c r="AN4" s="4">
        <v>96</v>
      </c>
      <c r="AO4" s="4">
        <v>96.44</v>
      </c>
      <c r="AP4" s="4">
        <v>262694.34000000003</v>
      </c>
      <c r="AQ4" s="4">
        <v>172101.2</v>
      </c>
      <c r="AR4" s="4" t="s">
        <v>52</v>
      </c>
      <c r="AS4" s="5">
        <f t="shared" si="0"/>
        <v>5.1708413242009144</v>
      </c>
    </row>
    <row r="5" spans="1:45" ht="14.25" customHeight="1" x14ac:dyDescent="0.55000000000000004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f t="shared" si="1"/>
        <v>0</v>
      </c>
      <c r="L5" s="4">
        <f t="shared" si="2"/>
        <v>0</v>
      </c>
      <c r="M5" s="4">
        <f t="shared" si="3"/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5">
        <f t="shared" si="0"/>
        <v>0</v>
      </c>
    </row>
    <row r="6" spans="1:45" ht="14.25" customHeight="1" x14ac:dyDescent="0.55000000000000004">
      <c r="A6" s="4">
        <v>0</v>
      </c>
      <c r="B6" s="4">
        <v>6</v>
      </c>
      <c r="C6" s="4">
        <v>77.39</v>
      </c>
      <c r="D6" s="4">
        <v>7.8</v>
      </c>
      <c r="E6" s="4" t="s">
        <v>2333</v>
      </c>
      <c r="F6" s="4" t="s">
        <v>2341</v>
      </c>
      <c r="G6" s="4" t="s">
        <v>2333</v>
      </c>
      <c r="H6" s="4" t="s">
        <v>2342</v>
      </c>
      <c r="I6" s="4">
        <v>0</v>
      </c>
      <c r="J6" s="4">
        <v>35</v>
      </c>
      <c r="K6" s="4">
        <f t="shared" si="1"/>
        <v>17.45</v>
      </c>
      <c r="L6" s="4">
        <f t="shared" si="2"/>
        <v>17.45</v>
      </c>
      <c r="M6" s="4">
        <f t="shared" si="3"/>
        <v>0</v>
      </c>
      <c r="N6" s="4">
        <v>6.3</v>
      </c>
      <c r="O6" s="4">
        <v>0</v>
      </c>
      <c r="P6" s="4">
        <v>63</v>
      </c>
      <c r="Q6" s="4">
        <v>19.600000000000001</v>
      </c>
      <c r="R6" s="4">
        <v>6</v>
      </c>
      <c r="S6" s="4">
        <v>15.03</v>
      </c>
      <c r="T6" s="4">
        <v>-15.03</v>
      </c>
      <c r="U6" s="4">
        <v>2.21</v>
      </c>
      <c r="V6" s="4">
        <v>49.53</v>
      </c>
      <c r="W6" s="4">
        <v>11.28</v>
      </c>
      <c r="X6" s="4">
        <v>26.98</v>
      </c>
      <c r="Y6" s="4">
        <v>6.19</v>
      </c>
      <c r="Z6" s="4">
        <v>4.47</v>
      </c>
      <c r="AA6" s="4">
        <v>-2.0699999999999998</v>
      </c>
      <c r="AB6" s="4">
        <v>11.95</v>
      </c>
      <c r="AC6" s="4">
        <v>-66.44</v>
      </c>
      <c r="AD6" s="4">
        <v>160</v>
      </c>
      <c r="AE6" s="4">
        <v>1460</v>
      </c>
      <c r="AF6" s="4">
        <v>13.4</v>
      </c>
      <c r="AG6" s="4">
        <v>0.15</v>
      </c>
      <c r="AH6" s="4">
        <v>11.07</v>
      </c>
      <c r="AI6" s="4">
        <v>28.41</v>
      </c>
      <c r="AJ6" s="4">
        <v>60</v>
      </c>
      <c r="AK6" s="4">
        <v>9</v>
      </c>
      <c r="AL6" s="4">
        <v>9</v>
      </c>
      <c r="AM6" s="4">
        <v>0.26</v>
      </c>
      <c r="AN6" s="4">
        <v>96</v>
      </c>
      <c r="AO6" s="4">
        <v>98.34</v>
      </c>
      <c r="AP6" s="4">
        <v>253672.56</v>
      </c>
      <c r="AQ6" s="4">
        <v>253672.56</v>
      </c>
      <c r="AR6" s="4" t="s">
        <v>62</v>
      </c>
      <c r="AS6" s="5">
        <f t="shared" si="0"/>
        <v>0</v>
      </c>
    </row>
    <row r="7" spans="1:45" ht="14.25" customHeight="1" x14ac:dyDescent="0.55000000000000004">
      <c r="A7" s="4">
        <v>0</v>
      </c>
      <c r="B7" s="4">
        <v>6</v>
      </c>
      <c r="C7" s="4">
        <v>198.92</v>
      </c>
      <c r="D7" s="4">
        <v>7.8</v>
      </c>
      <c r="E7" s="4" t="s">
        <v>2338</v>
      </c>
      <c r="F7" s="4" t="s">
        <v>2343</v>
      </c>
      <c r="G7" s="4" t="s">
        <v>2333</v>
      </c>
      <c r="H7" s="4" t="s">
        <v>2344</v>
      </c>
      <c r="I7" s="4">
        <v>0</v>
      </c>
      <c r="J7" s="4">
        <v>35</v>
      </c>
      <c r="K7" s="4">
        <f t="shared" si="1"/>
        <v>14.61</v>
      </c>
      <c r="L7" s="4">
        <f t="shared" si="2"/>
        <v>14.28</v>
      </c>
      <c r="M7" s="4">
        <f t="shared" si="3"/>
        <v>0.33000000000000007</v>
      </c>
      <c r="N7" s="4">
        <v>6.3</v>
      </c>
      <c r="O7" s="4">
        <v>0</v>
      </c>
      <c r="P7" s="4">
        <v>68</v>
      </c>
      <c r="Q7" s="4">
        <v>17.8</v>
      </c>
      <c r="R7" s="4">
        <v>6</v>
      </c>
      <c r="S7" s="4">
        <v>13.99</v>
      </c>
      <c r="T7" s="4">
        <v>-13.99</v>
      </c>
      <c r="U7" s="4">
        <v>5.68</v>
      </c>
      <c r="V7" s="4">
        <v>127.31</v>
      </c>
      <c r="W7" s="4">
        <v>28.99</v>
      </c>
      <c r="X7" s="4">
        <v>69.34</v>
      </c>
      <c r="Y7" s="4">
        <v>15.91</v>
      </c>
      <c r="Z7" s="4">
        <v>19.95</v>
      </c>
      <c r="AA7" s="4">
        <v>-1.29</v>
      </c>
      <c r="AB7" s="4">
        <v>10.39</v>
      </c>
      <c r="AC7" s="4">
        <v>-75.069999999999993</v>
      </c>
      <c r="AD7" s="4">
        <v>160</v>
      </c>
      <c r="AE7" s="4">
        <v>1460</v>
      </c>
      <c r="AF7" s="4">
        <v>13.4</v>
      </c>
      <c r="AG7" s="4">
        <v>0.15</v>
      </c>
      <c r="AH7" s="4">
        <v>2.86</v>
      </c>
      <c r="AI7" s="4">
        <v>151.4</v>
      </c>
      <c r="AJ7" s="4">
        <v>60</v>
      </c>
      <c r="AK7" s="4">
        <v>9</v>
      </c>
      <c r="AL7" s="4">
        <v>9</v>
      </c>
      <c r="AM7" s="4">
        <v>0.05</v>
      </c>
      <c r="AN7" s="4">
        <v>96</v>
      </c>
      <c r="AO7" s="4">
        <v>96.44</v>
      </c>
      <c r="AP7" s="4">
        <v>189989.69</v>
      </c>
      <c r="AQ7" s="4">
        <v>172101.2</v>
      </c>
      <c r="AR7" s="4" t="s">
        <v>67</v>
      </c>
      <c r="AS7" s="5">
        <f t="shared" si="0"/>
        <v>1.0210325342465749</v>
      </c>
    </row>
    <row r="8" spans="1:45" ht="14.25" customHeight="1" x14ac:dyDescent="0.55000000000000004">
      <c r="A8" s="4">
        <v>0</v>
      </c>
      <c r="B8" s="4">
        <v>6</v>
      </c>
      <c r="C8" s="4">
        <v>68.319999999999993</v>
      </c>
      <c r="D8" s="4">
        <v>7.8</v>
      </c>
      <c r="E8" s="4" t="s">
        <v>2333</v>
      </c>
      <c r="F8" s="4" t="s">
        <v>2345</v>
      </c>
      <c r="G8" s="4" t="s">
        <v>2333</v>
      </c>
      <c r="H8" s="4" t="s">
        <v>2346</v>
      </c>
      <c r="I8" s="4">
        <v>0</v>
      </c>
      <c r="J8" s="4">
        <v>35</v>
      </c>
      <c r="K8" s="4">
        <f t="shared" si="1"/>
        <v>18.54</v>
      </c>
      <c r="L8" s="4">
        <f t="shared" si="2"/>
        <v>18.54</v>
      </c>
      <c r="M8" s="4">
        <f t="shared" si="3"/>
        <v>0</v>
      </c>
      <c r="N8" s="4">
        <v>6.3</v>
      </c>
      <c r="O8" s="4">
        <v>0</v>
      </c>
      <c r="P8" s="4">
        <v>56</v>
      </c>
      <c r="Q8" s="4">
        <v>20.9</v>
      </c>
      <c r="R8" s="4">
        <v>6</v>
      </c>
      <c r="S8" s="4">
        <v>15.29</v>
      </c>
      <c r="T8" s="4">
        <v>-15.29</v>
      </c>
      <c r="U8" s="4">
        <v>1.95</v>
      </c>
      <c r="V8" s="4">
        <v>43.72</v>
      </c>
      <c r="W8" s="4">
        <v>9.9499999999999993</v>
      </c>
      <c r="X8" s="4">
        <v>23.81</v>
      </c>
      <c r="Y8" s="4">
        <v>5.47</v>
      </c>
      <c r="Z8" s="4">
        <v>3.71</v>
      </c>
      <c r="AA8" s="4">
        <v>-2.1800000000000002</v>
      </c>
      <c r="AB8" s="4">
        <v>12.15</v>
      </c>
      <c r="AC8" s="4">
        <v>-64.599999999999994</v>
      </c>
      <c r="AD8" s="4">
        <v>160</v>
      </c>
      <c r="AE8" s="4">
        <v>1460</v>
      </c>
      <c r="AF8" s="4">
        <v>13.4</v>
      </c>
      <c r="AG8" s="4">
        <v>0.15</v>
      </c>
      <c r="AH8" s="4">
        <v>14.08</v>
      </c>
      <c r="AI8" s="4">
        <v>22.21</v>
      </c>
      <c r="AJ8" s="4">
        <v>60</v>
      </c>
      <c r="AK8" s="4">
        <v>9</v>
      </c>
      <c r="AL8" s="4">
        <v>9</v>
      </c>
      <c r="AM8" s="4">
        <v>0.33</v>
      </c>
      <c r="AN8" s="4">
        <v>96</v>
      </c>
      <c r="AO8" s="4">
        <v>99</v>
      </c>
      <c r="AP8" s="4">
        <v>278120.96000000002</v>
      </c>
      <c r="AQ8" s="4">
        <v>278120.96000000002</v>
      </c>
      <c r="AR8" s="4" t="s">
        <v>72</v>
      </c>
      <c r="AS8" s="5">
        <f t="shared" si="0"/>
        <v>0</v>
      </c>
    </row>
    <row r="9" spans="1:45" ht="14.25" customHeight="1" x14ac:dyDescent="0.55000000000000004">
      <c r="A9" s="4">
        <v>0</v>
      </c>
      <c r="B9" s="4">
        <v>6</v>
      </c>
      <c r="C9" s="4">
        <v>67.5</v>
      </c>
      <c r="D9" s="4">
        <v>7.8</v>
      </c>
      <c r="E9" s="4" t="s">
        <v>2338</v>
      </c>
      <c r="F9" s="4" t="s">
        <v>2347</v>
      </c>
      <c r="G9" s="4" t="s">
        <v>2333</v>
      </c>
      <c r="H9" s="4" t="s">
        <v>2348</v>
      </c>
      <c r="I9" s="4">
        <v>0</v>
      </c>
      <c r="J9" s="4">
        <v>35</v>
      </c>
      <c r="K9" s="4">
        <f t="shared" si="1"/>
        <v>18.68</v>
      </c>
      <c r="L9" s="4">
        <f t="shared" si="2"/>
        <v>14.28</v>
      </c>
      <c r="M9" s="4">
        <f t="shared" si="3"/>
        <v>4.4000000000000004</v>
      </c>
      <c r="N9" s="4">
        <v>6.3</v>
      </c>
      <c r="O9" s="4">
        <v>0</v>
      </c>
      <c r="P9" s="4">
        <v>50</v>
      </c>
      <c r="Q9" s="4">
        <v>21.9</v>
      </c>
      <c r="R9" s="4">
        <v>6</v>
      </c>
      <c r="S9" s="4">
        <v>15.33</v>
      </c>
      <c r="T9" s="4">
        <v>-15.33</v>
      </c>
      <c r="U9" s="4">
        <v>1.93</v>
      </c>
      <c r="V9" s="4">
        <v>43.2</v>
      </c>
      <c r="W9" s="4">
        <v>9.84</v>
      </c>
      <c r="X9" s="4">
        <v>23.53</v>
      </c>
      <c r="Y9" s="4">
        <v>5.4</v>
      </c>
      <c r="Z9" s="4">
        <v>25.5</v>
      </c>
      <c r="AA9" s="4">
        <v>-2.19</v>
      </c>
      <c r="AB9" s="4">
        <v>12.17</v>
      </c>
      <c r="AC9" s="4">
        <v>-64.290000000000006</v>
      </c>
      <c r="AD9" s="4">
        <v>160</v>
      </c>
      <c r="AE9" s="4">
        <v>1460</v>
      </c>
      <c r="AF9" s="4">
        <v>13.4</v>
      </c>
      <c r="AG9" s="4">
        <v>0.15</v>
      </c>
      <c r="AH9" s="4">
        <v>14.44</v>
      </c>
      <c r="AI9" s="4">
        <v>151.4</v>
      </c>
      <c r="AJ9" s="4">
        <v>60</v>
      </c>
      <c r="AK9" s="4">
        <v>9</v>
      </c>
      <c r="AL9" s="4">
        <v>9</v>
      </c>
      <c r="AM9" s="4">
        <v>0.05</v>
      </c>
      <c r="AN9" s="4">
        <v>96</v>
      </c>
      <c r="AO9" s="4">
        <v>96.44</v>
      </c>
      <c r="AP9" s="4">
        <v>281141.71000000002</v>
      </c>
      <c r="AQ9" s="4">
        <v>172101.2</v>
      </c>
      <c r="AR9" s="4" t="s">
        <v>77</v>
      </c>
      <c r="AS9" s="5">
        <f t="shared" si="0"/>
        <v>6.2237734018264845</v>
      </c>
    </row>
    <row r="10" spans="1:45" ht="14.25" customHeight="1" x14ac:dyDescent="0.55000000000000004">
      <c r="A10" s="4">
        <v>0</v>
      </c>
      <c r="B10" s="4">
        <v>6</v>
      </c>
      <c r="C10" s="4">
        <v>121.92</v>
      </c>
      <c r="D10" s="4">
        <v>7.8</v>
      </c>
      <c r="E10" s="4" t="s">
        <v>2333</v>
      </c>
      <c r="F10" s="4" t="s">
        <v>2349</v>
      </c>
      <c r="G10" s="4" t="s">
        <v>2333</v>
      </c>
      <c r="H10" s="4" t="s">
        <v>2350</v>
      </c>
      <c r="I10" s="4">
        <v>0</v>
      </c>
      <c r="J10" s="4">
        <v>35</v>
      </c>
      <c r="K10" s="4">
        <f t="shared" si="1"/>
        <v>15.5</v>
      </c>
      <c r="L10" s="4">
        <f t="shared" si="2"/>
        <v>15.5</v>
      </c>
      <c r="M10" s="4">
        <f t="shared" si="3"/>
        <v>0</v>
      </c>
      <c r="N10" s="4">
        <v>6.3</v>
      </c>
      <c r="O10" s="4">
        <v>0</v>
      </c>
      <c r="P10" s="4">
        <v>49</v>
      </c>
      <c r="Q10" s="4">
        <v>20.8</v>
      </c>
      <c r="R10" s="4">
        <v>6</v>
      </c>
      <c r="S10" s="4">
        <v>14.25</v>
      </c>
      <c r="T10" s="4">
        <v>-14.25</v>
      </c>
      <c r="U10" s="4">
        <v>3.48</v>
      </c>
      <c r="V10" s="4">
        <v>78.03</v>
      </c>
      <c r="W10" s="4">
        <v>17.77</v>
      </c>
      <c r="X10" s="4">
        <v>42.5</v>
      </c>
      <c r="Y10" s="4">
        <v>9.75</v>
      </c>
      <c r="Z10" s="4">
        <v>7.94</v>
      </c>
      <c r="AA10" s="4">
        <v>-1.7</v>
      </c>
      <c r="AB10" s="4">
        <v>11.2</v>
      </c>
      <c r="AC10" s="4">
        <v>-72.73</v>
      </c>
      <c r="AD10" s="4">
        <v>160</v>
      </c>
      <c r="AE10" s="4">
        <v>1460</v>
      </c>
      <c r="AF10" s="4">
        <v>13.4</v>
      </c>
      <c r="AG10" s="4">
        <v>0.15</v>
      </c>
      <c r="AH10" s="4">
        <v>5.4</v>
      </c>
      <c r="AI10" s="4">
        <v>56.79</v>
      </c>
      <c r="AJ10" s="4">
        <v>60</v>
      </c>
      <c r="AK10" s="4">
        <v>9</v>
      </c>
      <c r="AL10" s="4">
        <v>9</v>
      </c>
      <c r="AM10" s="4">
        <v>0.13</v>
      </c>
      <c r="AN10" s="4">
        <v>96</v>
      </c>
      <c r="AO10" s="4">
        <v>97.17</v>
      </c>
      <c r="AP10" s="4">
        <v>209944.53</v>
      </c>
      <c r="AQ10" s="4">
        <v>209944.53</v>
      </c>
      <c r="AR10" s="4" t="s">
        <v>82</v>
      </c>
      <c r="AS10" s="5">
        <f t="shared" si="0"/>
        <v>0</v>
      </c>
    </row>
    <row r="11" spans="1:45" ht="14.25" customHeight="1" x14ac:dyDescent="0.55000000000000004">
      <c r="A11" s="4">
        <v>0</v>
      </c>
      <c r="B11" s="4">
        <v>6</v>
      </c>
      <c r="C11" s="4">
        <v>69.430000000000007</v>
      </c>
      <c r="D11" s="4">
        <v>7.8</v>
      </c>
      <c r="E11" s="4" t="s">
        <v>2338</v>
      </c>
      <c r="F11" s="4" t="s">
        <v>2351</v>
      </c>
      <c r="G11" s="4" t="s">
        <v>2333</v>
      </c>
      <c r="H11" s="4" t="s">
        <v>2352</v>
      </c>
      <c r="I11" s="4">
        <v>0</v>
      </c>
      <c r="J11" s="4">
        <v>35</v>
      </c>
      <c r="K11" s="4">
        <f t="shared" si="1"/>
        <v>18.37</v>
      </c>
      <c r="L11" s="4">
        <f t="shared" si="2"/>
        <v>14.28</v>
      </c>
      <c r="M11" s="4">
        <f t="shared" si="3"/>
        <v>4.0900000000000016</v>
      </c>
      <c r="N11" s="4">
        <v>6.3</v>
      </c>
      <c r="O11" s="4">
        <v>0</v>
      </c>
      <c r="P11" s="4">
        <v>47</v>
      </c>
      <c r="Q11" s="4">
        <v>22.2</v>
      </c>
      <c r="R11" s="4">
        <v>6</v>
      </c>
      <c r="S11" s="4">
        <v>15.16</v>
      </c>
      <c r="T11" s="4">
        <v>-15.16</v>
      </c>
      <c r="U11" s="4">
        <v>1.98</v>
      </c>
      <c r="V11" s="4">
        <v>44.44</v>
      </c>
      <c r="W11" s="4">
        <v>10.119999999999999</v>
      </c>
      <c r="X11" s="4">
        <v>24.2</v>
      </c>
      <c r="Y11" s="4">
        <v>5.55</v>
      </c>
      <c r="Z11" s="4">
        <v>25.08</v>
      </c>
      <c r="AA11" s="4">
        <v>-2.16</v>
      </c>
      <c r="AB11" s="4">
        <v>12.13</v>
      </c>
      <c r="AC11" s="4">
        <v>-65.52</v>
      </c>
      <c r="AD11" s="4">
        <v>160</v>
      </c>
      <c r="AE11" s="4">
        <v>1460</v>
      </c>
      <c r="AF11" s="4">
        <v>13.4</v>
      </c>
      <c r="AG11" s="4">
        <v>0.15</v>
      </c>
      <c r="AH11" s="4">
        <v>13.62</v>
      </c>
      <c r="AI11" s="4">
        <v>151.4</v>
      </c>
      <c r="AJ11" s="4">
        <v>60</v>
      </c>
      <c r="AK11" s="4">
        <v>9</v>
      </c>
      <c r="AL11" s="4">
        <v>9</v>
      </c>
      <c r="AM11" s="4">
        <v>0.05</v>
      </c>
      <c r="AN11" s="4">
        <v>96</v>
      </c>
      <c r="AO11" s="4">
        <v>96.44</v>
      </c>
      <c r="AP11" s="4">
        <v>274307.88</v>
      </c>
      <c r="AQ11" s="4">
        <v>172101.2</v>
      </c>
      <c r="AR11" s="4" t="s">
        <v>1166</v>
      </c>
      <c r="AS11" s="5">
        <f t="shared" si="0"/>
        <v>5.8337146118721455</v>
      </c>
    </row>
    <row r="12" spans="1:45" ht="14.25" customHeight="1" x14ac:dyDescent="0.55000000000000004">
      <c r="A12" s="4">
        <v>0</v>
      </c>
      <c r="B12" s="4">
        <v>6</v>
      </c>
      <c r="C12" s="4">
        <v>109.25</v>
      </c>
      <c r="D12" s="4">
        <v>7.8</v>
      </c>
      <c r="E12" s="4" t="s">
        <v>2338</v>
      </c>
      <c r="F12" s="4" t="s">
        <v>2353</v>
      </c>
      <c r="G12" s="4" t="s">
        <v>2333</v>
      </c>
      <c r="H12" s="4" t="s">
        <v>2354</v>
      </c>
      <c r="I12" s="4">
        <v>0</v>
      </c>
      <c r="J12" s="4">
        <v>35</v>
      </c>
      <c r="K12" s="4">
        <f t="shared" si="1"/>
        <v>15.82</v>
      </c>
      <c r="L12" s="4">
        <f t="shared" si="2"/>
        <v>14.28</v>
      </c>
      <c r="M12" s="4">
        <f t="shared" si="3"/>
        <v>1.5400000000000009</v>
      </c>
      <c r="N12" s="4">
        <v>6.3</v>
      </c>
      <c r="O12" s="4">
        <v>0</v>
      </c>
      <c r="P12" s="4">
        <v>65</v>
      </c>
      <c r="Q12" s="4">
        <v>18.399999999999999</v>
      </c>
      <c r="R12" s="4">
        <v>6</v>
      </c>
      <c r="S12" s="4">
        <v>14.18</v>
      </c>
      <c r="T12" s="4">
        <v>-14.18</v>
      </c>
      <c r="U12" s="4">
        <v>3.12</v>
      </c>
      <c r="V12" s="4">
        <v>69.92</v>
      </c>
      <c r="W12" s="4">
        <v>15.92</v>
      </c>
      <c r="X12" s="4">
        <v>38.08</v>
      </c>
      <c r="Y12" s="4">
        <v>8.74</v>
      </c>
      <c r="Z12" s="4">
        <v>21.6</v>
      </c>
      <c r="AA12" s="4">
        <v>-1.79</v>
      </c>
      <c r="AB12" s="4">
        <v>11.38</v>
      </c>
      <c r="AC12" s="4">
        <v>-73.319999999999993</v>
      </c>
      <c r="AD12" s="4">
        <v>160</v>
      </c>
      <c r="AE12" s="4">
        <v>1460</v>
      </c>
      <c r="AF12" s="4">
        <v>13.4</v>
      </c>
      <c r="AG12" s="4">
        <v>0.15</v>
      </c>
      <c r="AH12" s="4">
        <v>6.32</v>
      </c>
      <c r="AI12" s="4">
        <v>151.4</v>
      </c>
      <c r="AJ12" s="4">
        <v>60</v>
      </c>
      <c r="AK12" s="4">
        <v>9</v>
      </c>
      <c r="AL12" s="4">
        <v>9</v>
      </c>
      <c r="AM12" s="4">
        <v>0.05</v>
      </c>
      <c r="AN12" s="4">
        <v>96</v>
      </c>
      <c r="AO12" s="4">
        <v>96.44</v>
      </c>
      <c r="AP12" s="4">
        <v>217048.81</v>
      </c>
      <c r="AQ12" s="4">
        <v>172101.2</v>
      </c>
      <c r="AR12" s="4" t="s">
        <v>87</v>
      </c>
      <c r="AS12" s="5">
        <f t="shared" si="0"/>
        <v>2.5655028538812776</v>
      </c>
    </row>
    <row r="13" spans="1:45" ht="14.25" customHeight="1" x14ac:dyDescent="0.55000000000000004">
      <c r="A13" s="4">
        <v>0</v>
      </c>
      <c r="B13" s="4">
        <v>6</v>
      </c>
      <c r="C13" s="4">
        <v>69.209999999999994</v>
      </c>
      <c r="D13" s="4">
        <v>7.8</v>
      </c>
      <c r="E13" s="4" t="s">
        <v>2333</v>
      </c>
      <c r="F13" s="4" t="s">
        <v>2355</v>
      </c>
      <c r="G13" s="4" t="s">
        <v>2333</v>
      </c>
      <c r="H13" s="4" t="s">
        <v>2356</v>
      </c>
      <c r="I13" s="4">
        <v>0</v>
      </c>
      <c r="J13" s="4">
        <v>35</v>
      </c>
      <c r="K13" s="4">
        <f t="shared" si="1"/>
        <v>18.399999999999999</v>
      </c>
      <c r="L13" s="4">
        <f t="shared" si="2"/>
        <v>18.399999999999999</v>
      </c>
      <c r="M13" s="4">
        <f t="shared" si="3"/>
        <v>0</v>
      </c>
      <c r="N13" s="4">
        <v>6.3</v>
      </c>
      <c r="O13" s="4">
        <v>0</v>
      </c>
      <c r="P13" s="4">
        <v>62</v>
      </c>
      <c r="Q13" s="4">
        <v>20.3</v>
      </c>
      <c r="R13" s="4">
        <v>6</v>
      </c>
      <c r="S13" s="4">
        <v>15.54</v>
      </c>
      <c r="T13" s="4">
        <v>-15.54</v>
      </c>
      <c r="U13" s="4">
        <v>1.98</v>
      </c>
      <c r="V13" s="4">
        <v>44.29</v>
      </c>
      <c r="W13" s="4">
        <v>10.08</v>
      </c>
      <c r="X13" s="4">
        <v>24.12</v>
      </c>
      <c r="Y13" s="4">
        <v>5.54</v>
      </c>
      <c r="Z13" s="4">
        <v>3.79</v>
      </c>
      <c r="AA13" s="4">
        <v>-2.17</v>
      </c>
      <c r="AB13" s="4">
        <v>12.13</v>
      </c>
      <c r="AC13" s="4">
        <v>-62.91</v>
      </c>
      <c r="AD13" s="4">
        <v>160</v>
      </c>
      <c r="AE13" s="4">
        <v>1460</v>
      </c>
      <c r="AF13" s="4">
        <v>13.4</v>
      </c>
      <c r="AG13" s="4">
        <v>0.15</v>
      </c>
      <c r="AH13" s="4">
        <v>13.71</v>
      </c>
      <c r="AI13" s="4">
        <v>22.84</v>
      </c>
      <c r="AJ13" s="4">
        <v>60</v>
      </c>
      <c r="AK13" s="4">
        <v>9</v>
      </c>
      <c r="AL13" s="4">
        <v>9</v>
      </c>
      <c r="AM13" s="4">
        <v>0.32</v>
      </c>
      <c r="AN13" s="4">
        <v>96</v>
      </c>
      <c r="AO13" s="4">
        <v>98.91</v>
      </c>
      <c r="AP13" s="4">
        <v>275038.58</v>
      </c>
      <c r="AQ13" s="4">
        <v>275038.58</v>
      </c>
      <c r="AR13" s="4" t="s">
        <v>91</v>
      </c>
      <c r="AS13" s="5">
        <f t="shared" si="0"/>
        <v>0</v>
      </c>
    </row>
    <row r="14" spans="1:45" ht="14.25" customHeight="1" x14ac:dyDescent="0.55000000000000004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f t="shared" si="1"/>
        <v>0</v>
      </c>
      <c r="L14" s="4">
        <f t="shared" si="2"/>
        <v>0</v>
      </c>
      <c r="M14" s="4">
        <f t="shared" si="3"/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5">
        <f t="shared" si="0"/>
        <v>0</v>
      </c>
    </row>
    <row r="15" spans="1:45" ht="14.25" customHeight="1" x14ac:dyDescent="0.55000000000000004">
      <c r="A15" s="4">
        <v>0</v>
      </c>
      <c r="B15" s="4">
        <v>6</v>
      </c>
      <c r="C15" s="4">
        <v>93.64</v>
      </c>
      <c r="D15" s="4">
        <v>7.8</v>
      </c>
      <c r="E15" s="4" t="s">
        <v>2338</v>
      </c>
      <c r="F15" s="4" t="s">
        <v>2357</v>
      </c>
      <c r="G15" s="4" t="s">
        <v>2333</v>
      </c>
      <c r="H15" s="4" t="s">
        <v>2358</v>
      </c>
      <c r="I15" s="4">
        <v>0</v>
      </c>
      <c r="J15" s="4">
        <v>35</v>
      </c>
      <c r="K15" s="4">
        <f t="shared" si="1"/>
        <v>16.39</v>
      </c>
      <c r="L15" s="4">
        <f t="shared" si="2"/>
        <v>14.28</v>
      </c>
      <c r="M15" s="4">
        <f t="shared" si="3"/>
        <v>2.1100000000000012</v>
      </c>
      <c r="N15" s="4">
        <v>6.3</v>
      </c>
      <c r="O15" s="4">
        <v>0</v>
      </c>
      <c r="P15" s="4">
        <v>64</v>
      </c>
      <c r="Q15" s="4">
        <v>18.8</v>
      </c>
      <c r="R15" s="4">
        <v>6</v>
      </c>
      <c r="S15" s="4">
        <v>14.43</v>
      </c>
      <c r="T15" s="4">
        <v>-14.43</v>
      </c>
      <c r="U15" s="4">
        <v>2.68</v>
      </c>
      <c r="V15" s="4">
        <v>59.93</v>
      </c>
      <c r="W15" s="4">
        <v>13.64</v>
      </c>
      <c r="X15" s="4">
        <v>32.64</v>
      </c>
      <c r="Y15" s="4">
        <v>7.49</v>
      </c>
      <c r="Z15" s="4">
        <v>22.38</v>
      </c>
      <c r="AA15" s="4">
        <v>-1.92</v>
      </c>
      <c r="AB15" s="4">
        <v>11.63</v>
      </c>
      <c r="AC15" s="4">
        <v>-71.2</v>
      </c>
      <c r="AD15" s="4">
        <v>160</v>
      </c>
      <c r="AE15" s="4">
        <v>1460</v>
      </c>
      <c r="AF15" s="4">
        <v>13.4</v>
      </c>
      <c r="AG15" s="4">
        <v>0.15</v>
      </c>
      <c r="AH15" s="4">
        <v>8</v>
      </c>
      <c r="AI15" s="4">
        <v>151.4</v>
      </c>
      <c r="AJ15" s="4">
        <v>60</v>
      </c>
      <c r="AK15" s="4">
        <v>9</v>
      </c>
      <c r="AL15" s="4">
        <v>9</v>
      </c>
      <c r="AM15" s="4">
        <v>0.05</v>
      </c>
      <c r="AN15" s="4">
        <v>96</v>
      </c>
      <c r="AO15" s="4">
        <v>96.44</v>
      </c>
      <c r="AP15" s="4">
        <v>229950.88</v>
      </c>
      <c r="AQ15" s="4">
        <v>172101.2</v>
      </c>
      <c r="AR15" s="4" t="s">
        <v>101</v>
      </c>
      <c r="AS15" s="5">
        <f t="shared" si="0"/>
        <v>3.3019223744292234</v>
      </c>
    </row>
    <row r="16" spans="1:45" ht="14.25" customHeight="1" x14ac:dyDescent="0.55000000000000004">
      <c r="A16" s="4">
        <v>0</v>
      </c>
      <c r="B16" s="4">
        <v>6</v>
      </c>
      <c r="C16" s="4">
        <v>68.63</v>
      </c>
      <c r="D16" s="4">
        <v>7.8</v>
      </c>
      <c r="E16" s="4" t="s">
        <v>2338</v>
      </c>
      <c r="F16" s="4" t="s">
        <v>2359</v>
      </c>
      <c r="G16" s="4" t="s">
        <v>2333</v>
      </c>
      <c r="H16" s="4" t="s">
        <v>2360</v>
      </c>
      <c r="I16" s="4">
        <v>0</v>
      </c>
      <c r="J16" s="4">
        <v>35</v>
      </c>
      <c r="K16" s="4">
        <f t="shared" si="1"/>
        <v>18.489999999999998</v>
      </c>
      <c r="L16" s="4">
        <f t="shared" si="2"/>
        <v>14.28</v>
      </c>
      <c r="M16" s="4">
        <f t="shared" si="3"/>
        <v>4.2099999999999991</v>
      </c>
      <c r="N16" s="4">
        <v>6.3</v>
      </c>
      <c r="O16" s="4">
        <v>0</v>
      </c>
      <c r="P16" s="4">
        <v>53</v>
      </c>
      <c r="Q16" s="4">
        <v>21.4</v>
      </c>
      <c r="R16" s="4">
        <v>6</v>
      </c>
      <c r="S16" s="4">
        <v>15.32</v>
      </c>
      <c r="T16" s="4">
        <v>-15.32</v>
      </c>
      <c r="U16" s="4">
        <v>1.96</v>
      </c>
      <c r="V16" s="4">
        <v>43.92</v>
      </c>
      <c r="W16" s="4">
        <v>10</v>
      </c>
      <c r="X16" s="4">
        <v>23.92</v>
      </c>
      <c r="Y16" s="4">
        <v>5.49</v>
      </c>
      <c r="Z16" s="4">
        <v>25.25</v>
      </c>
      <c r="AA16" s="4">
        <v>-2.17</v>
      </c>
      <c r="AB16" s="4">
        <v>12.15</v>
      </c>
      <c r="AC16" s="4">
        <v>-64.38</v>
      </c>
      <c r="AD16" s="4">
        <v>160</v>
      </c>
      <c r="AE16" s="4">
        <v>1460</v>
      </c>
      <c r="AF16" s="4">
        <v>13.4</v>
      </c>
      <c r="AG16" s="4">
        <v>0.15</v>
      </c>
      <c r="AH16" s="4">
        <v>13.95</v>
      </c>
      <c r="AI16" s="4">
        <v>151.4</v>
      </c>
      <c r="AJ16" s="4">
        <v>60</v>
      </c>
      <c r="AK16" s="4">
        <v>9</v>
      </c>
      <c r="AL16" s="4">
        <v>9</v>
      </c>
      <c r="AM16" s="4">
        <v>0.05</v>
      </c>
      <c r="AN16" s="4">
        <v>96</v>
      </c>
      <c r="AO16" s="4">
        <v>96.44</v>
      </c>
      <c r="AP16" s="4">
        <v>277026.99</v>
      </c>
      <c r="AQ16" s="4">
        <v>172101.2</v>
      </c>
      <c r="AR16" s="4" t="s">
        <v>106</v>
      </c>
      <c r="AS16" s="5">
        <f t="shared" si="0"/>
        <v>5.9889149543378988</v>
      </c>
    </row>
    <row r="17" spans="1:45" ht="14.25" customHeight="1" x14ac:dyDescent="0.55000000000000004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f t="shared" si="1"/>
        <v>0</v>
      </c>
      <c r="L17" s="4">
        <f t="shared" si="2"/>
        <v>0</v>
      </c>
      <c r="M17" s="4">
        <f t="shared" si="3"/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5">
        <f t="shared" si="0"/>
        <v>0</v>
      </c>
    </row>
    <row r="18" spans="1:45" ht="14.25" customHeight="1" x14ac:dyDescent="0.55000000000000004">
      <c r="A18" s="4">
        <v>0</v>
      </c>
      <c r="B18" s="4">
        <v>6</v>
      </c>
      <c r="C18" s="4">
        <v>77.42</v>
      </c>
      <c r="D18" s="4">
        <v>7.8</v>
      </c>
      <c r="E18" s="4" t="s">
        <v>2338</v>
      </c>
      <c r="F18" s="4" t="s">
        <v>2361</v>
      </c>
      <c r="G18" s="4" t="s">
        <v>2333</v>
      </c>
      <c r="H18" s="4" t="s">
        <v>2362</v>
      </c>
      <c r="I18" s="4">
        <v>0</v>
      </c>
      <c r="J18" s="4">
        <v>35</v>
      </c>
      <c r="K18" s="4">
        <f t="shared" si="1"/>
        <v>17.45</v>
      </c>
      <c r="L18" s="4">
        <f t="shared" si="2"/>
        <v>14.28</v>
      </c>
      <c r="M18" s="4">
        <f t="shared" si="3"/>
        <v>3.17</v>
      </c>
      <c r="N18" s="4">
        <v>6.3</v>
      </c>
      <c r="O18" s="4">
        <v>0</v>
      </c>
      <c r="P18" s="4">
        <v>44</v>
      </c>
      <c r="Q18" s="4">
        <v>22.6</v>
      </c>
      <c r="R18" s="4">
        <v>6</v>
      </c>
      <c r="S18" s="4">
        <v>15.05</v>
      </c>
      <c r="T18" s="4">
        <v>-15.05</v>
      </c>
      <c r="U18" s="4">
        <v>2.21</v>
      </c>
      <c r="V18" s="4">
        <v>49.55</v>
      </c>
      <c r="W18" s="4">
        <v>11.28</v>
      </c>
      <c r="X18" s="4">
        <v>26.98</v>
      </c>
      <c r="Y18" s="4">
        <v>6.19</v>
      </c>
      <c r="Z18" s="4">
        <v>23.82</v>
      </c>
      <c r="AA18" s="4">
        <v>-2.0699999999999998</v>
      </c>
      <c r="AB18" s="4">
        <v>11.95</v>
      </c>
      <c r="AC18" s="4">
        <v>-66.319999999999993</v>
      </c>
      <c r="AD18" s="4">
        <v>160</v>
      </c>
      <c r="AE18" s="4">
        <v>1460</v>
      </c>
      <c r="AF18" s="4">
        <v>13.4</v>
      </c>
      <c r="AG18" s="4">
        <v>0.15</v>
      </c>
      <c r="AH18" s="4">
        <v>11.06</v>
      </c>
      <c r="AI18" s="4">
        <v>151.4</v>
      </c>
      <c r="AJ18" s="4">
        <v>60</v>
      </c>
      <c r="AK18" s="4">
        <v>9</v>
      </c>
      <c r="AL18" s="4">
        <v>9</v>
      </c>
      <c r="AM18" s="4">
        <v>0.05</v>
      </c>
      <c r="AN18" s="4">
        <v>96</v>
      </c>
      <c r="AO18" s="4">
        <v>96.44</v>
      </c>
      <c r="AP18" s="4">
        <v>253618.2</v>
      </c>
      <c r="AQ18" s="4">
        <v>172101.2</v>
      </c>
      <c r="AR18" s="4" t="s">
        <v>116</v>
      </c>
      <c r="AS18" s="5">
        <f t="shared" si="0"/>
        <v>4.6527968036529677</v>
      </c>
    </row>
    <row r="19" spans="1:45" ht="14.25" customHeight="1" x14ac:dyDescent="0.55000000000000004">
      <c r="A19" s="4">
        <v>0</v>
      </c>
      <c r="B19" s="4">
        <v>6</v>
      </c>
      <c r="C19" s="4">
        <v>110.61</v>
      </c>
      <c r="D19" s="4">
        <v>7.8</v>
      </c>
      <c r="E19" s="4" t="s">
        <v>2338</v>
      </c>
      <c r="F19" s="4" t="s">
        <v>2363</v>
      </c>
      <c r="G19" s="4" t="s">
        <v>2333</v>
      </c>
      <c r="H19" s="4" t="s">
        <v>2364</v>
      </c>
      <c r="I19" s="4">
        <v>0</v>
      </c>
      <c r="J19" s="4">
        <v>35</v>
      </c>
      <c r="K19" s="4">
        <f t="shared" si="1"/>
        <v>15.78</v>
      </c>
      <c r="L19" s="4">
        <f t="shared" si="2"/>
        <v>14.28</v>
      </c>
      <c r="M19" s="4">
        <f t="shared" si="3"/>
        <v>1.5</v>
      </c>
      <c r="N19" s="4">
        <v>6.3</v>
      </c>
      <c r="O19" s="4">
        <v>0</v>
      </c>
      <c r="P19" s="4">
        <v>48</v>
      </c>
      <c r="Q19" s="4">
        <v>21</v>
      </c>
      <c r="R19" s="4">
        <v>6</v>
      </c>
      <c r="S19" s="4">
        <v>14.28</v>
      </c>
      <c r="T19" s="4">
        <v>-14.28</v>
      </c>
      <c r="U19" s="4">
        <v>3.16</v>
      </c>
      <c r="V19" s="4">
        <v>70.790000000000006</v>
      </c>
      <c r="W19" s="4">
        <v>16.12</v>
      </c>
      <c r="X19" s="4">
        <v>38.56</v>
      </c>
      <c r="Y19" s="4">
        <v>8.85</v>
      </c>
      <c r="Z19" s="4">
        <v>21.54</v>
      </c>
      <c r="AA19" s="4">
        <v>-1.78</v>
      </c>
      <c r="AB19" s="4">
        <v>11.36</v>
      </c>
      <c r="AC19" s="4">
        <v>-72.45</v>
      </c>
      <c r="AD19" s="4">
        <v>160</v>
      </c>
      <c r="AE19" s="4">
        <v>1460</v>
      </c>
      <c r="AF19" s="4">
        <v>13.4</v>
      </c>
      <c r="AG19" s="4">
        <v>0.15</v>
      </c>
      <c r="AH19" s="4">
        <v>6.2</v>
      </c>
      <c r="AI19" s="4">
        <v>151.4</v>
      </c>
      <c r="AJ19" s="4">
        <v>60</v>
      </c>
      <c r="AK19" s="4">
        <v>9</v>
      </c>
      <c r="AL19" s="4">
        <v>9</v>
      </c>
      <c r="AM19" s="4">
        <v>0.05</v>
      </c>
      <c r="AN19" s="4">
        <v>96</v>
      </c>
      <c r="AO19" s="4">
        <v>96.44</v>
      </c>
      <c r="AP19" s="4">
        <v>216170.52</v>
      </c>
      <c r="AQ19" s="4">
        <v>172101.2</v>
      </c>
      <c r="AR19" s="4" t="s">
        <v>121</v>
      </c>
      <c r="AS19" s="5">
        <f t="shared" si="0"/>
        <v>2.5153721461187204</v>
      </c>
    </row>
    <row r="20" spans="1:45" ht="14.25" customHeight="1" x14ac:dyDescent="0.55000000000000004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f t="shared" si="1"/>
        <v>0</v>
      </c>
      <c r="L20" s="4">
        <f t="shared" si="2"/>
        <v>0</v>
      </c>
      <c r="M20" s="4">
        <f t="shared" si="3"/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5">
        <f t="shared" si="0"/>
        <v>0</v>
      </c>
    </row>
    <row r="21" spans="1:45" ht="14.25" customHeight="1" x14ac:dyDescent="0.55000000000000004">
      <c r="A21" s="4">
        <v>0</v>
      </c>
      <c r="B21" s="4">
        <v>6</v>
      </c>
      <c r="C21" s="4">
        <v>87.26</v>
      </c>
      <c r="D21" s="4">
        <v>7.8</v>
      </c>
      <c r="E21" s="4" t="s">
        <v>2338</v>
      </c>
      <c r="F21" s="4" t="s">
        <v>2365</v>
      </c>
      <c r="G21" s="4" t="s">
        <v>2333</v>
      </c>
      <c r="H21" s="4" t="s">
        <v>2366</v>
      </c>
      <c r="I21" s="4">
        <v>0</v>
      </c>
      <c r="J21" s="4">
        <v>35</v>
      </c>
      <c r="K21" s="4">
        <f t="shared" si="1"/>
        <v>16.73</v>
      </c>
      <c r="L21" s="4">
        <f t="shared" si="2"/>
        <v>14.28</v>
      </c>
      <c r="M21" s="4">
        <f t="shared" si="3"/>
        <v>2.4500000000000011</v>
      </c>
      <c r="N21" s="4">
        <v>6.3</v>
      </c>
      <c r="O21" s="4">
        <v>0</v>
      </c>
      <c r="P21" s="4">
        <v>45</v>
      </c>
      <c r="Q21" s="4">
        <v>22.2</v>
      </c>
      <c r="R21" s="4">
        <v>6</v>
      </c>
      <c r="S21" s="4">
        <v>14.86</v>
      </c>
      <c r="T21" s="4">
        <v>-14.86</v>
      </c>
      <c r="U21" s="4">
        <v>2.4900000000000002</v>
      </c>
      <c r="V21" s="4">
        <v>55.84</v>
      </c>
      <c r="W21" s="4">
        <v>12.71</v>
      </c>
      <c r="X21" s="4">
        <v>30.42</v>
      </c>
      <c r="Y21" s="4">
        <v>6.98</v>
      </c>
      <c r="Z21" s="4">
        <v>22.84</v>
      </c>
      <c r="AA21" s="4">
        <v>-1.97</v>
      </c>
      <c r="AB21" s="4">
        <v>11.75</v>
      </c>
      <c r="AC21" s="4">
        <v>-67.7</v>
      </c>
      <c r="AD21" s="4">
        <v>160</v>
      </c>
      <c r="AE21" s="4">
        <v>1460</v>
      </c>
      <c r="AF21" s="4">
        <v>13.4</v>
      </c>
      <c r="AG21" s="4">
        <v>0.15</v>
      </c>
      <c r="AH21" s="4">
        <v>8.98</v>
      </c>
      <c r="AI21" s="4">
        <v>151.4</v>
      </c>
      <c r="AJ21" s="4">
        <v>60</v>
      </c>
      <c r="AK21" s="4">
        <v>9</v>
      </c>
      <c r="AL21" s="4">
        <v>9</v>
      </c>
      <c r="AM21" s="4">
        <v>0.05</v>
      </c>
      <c r="AN21" s="4">
        <v>96</v>
      </c>
      <c r="AO21" s="4">
        <v>96.44</v>
      </c>
      <c r="AP21" s="4">
        <v>237448.13</v>
      </c>
      <c r="AQ21" s="4">
        <v>172101.2</v>
      </c>
      <c r="AR21" s="4" t="s">
        <v>131</v>
      </c>
      <c r="AS21" s="5">
        <f t="shared" si="0"/>
        <v>3.7298476027397256</v>
      </c>
    </row>
    <row r="22" spans="1:45" ht="14.25" customHeight="1" x14ac:dyDescent="0.55000000000000004">
      <c r="A22" s="4">
        <v>0</v>
      </c>
      <c r="B22" s="4">
        <v>6</v>
      </c>
      <c r="C22" s="4">
        <v>139.49</v>
      </c>
      <c r="D22" s="4">
        <v>7.8</v>
      </c>
      <c r="E22" s="4" t="s">
        <v>2338</v>
      </c>
      <c r="F22" s="4" t="s">
        <v>2367</v>
      </c>
      <c r="G22" s="4" t="s">
        <v>2333</v>
      </c>
      <c r="H22" s="4" t="s">
        <v>2368</v>
      </c>
      <c r="I22" s="4">
        <v>0</v>
      </c>
      <c r="J22" s="4">
        <v>35</v>
      </c>
      <c r="K22" s="4">
        <f t="shared" si="1"/>
        <v>15.19</v>
      </c>
      <c r="L22" s="4">
        <f t="shared" si="2"/>
        <v>14.28</v>
      </c>
      <c r="M22" s="4">
        <f t="shared" si="3"/>
        <v>0.91000000000000014</v>
      </c>
      <c r="N22" s="4">
        <v>6.3</v>
      </c>
      <c r="O22" s="4">
        <v>0</v>
      </c>
      <c r="P22" s="4">
        <v>66</v>
      </c>
      <c r="Q22" s="4">
        <v>18.100000000000001</v>
      </c>
      <c r="R22" s="4">
        <v>6</v>
      </c>
      <c r="S22" s="4">
        <v>14.03</v>
      </c>
      <c r="T22" s="4">
        <v>-14.03</v>
      </c>
      <c r="U22" s="4">
        <v>3.99</v>
      </c>
      <c r="V22" s="4">
        <v>89.27</v>
      </c>
      <c r="W22" s="4">
        <v>20.329999999999998</v>
      </c>
      <c r="X22" s="4">
        <v>48.62</v>
      </c>
      <c r="Y22" s="4">
        <v>11.16</v>
      </c>
      <c r="Z22" s="4">
        <v>20.74</v>
      </c>
      <c r="AA22" s="4">
        <v>-1.59</v>
      </c>
      <c r="AB22" s="4">
        <v>10.98</v>
      </c>
      <c r="AC22" s="4">
        <v>-74.73</v>
      </c>
      <c r="AD22" s="4">
        <v>160</v>
      </c>
      <c r="AE22" s="4">
        <v>1460</v>
      </c>
      <c r="AF22" s="4">
        <v>13.4</v>
      </c>
      <c r="AG22" s="4">
        <v>0.15</v>
      </c>
      <c r="AH22" s="4">
        <v>4.49</v>
      </c>
      <c r="AI22" s="4">
        <v>151.4</v>
      </c>
      <c r="AJ22" s="4">
        <v>60</v>
      </c>
      <c r="AK22" s="4">
        <v>9</v>
      </c>
      <c r="AL22" s="4">
        <v>9</v>
      </c>
      <c r="AM22" s="4">
        <v>0.05</v>
      </c>
      <c r="AN22" s="4">
        <v>96</v>
      </c>
      <c r="AO22" s="4">
        <v>96.44</v>
      </c>
      <c r="AP22" s="4">
        <v>202884.15</v>
      </c>
      <c r="AQ22" s="4">
        <v>172101.2</v>
      </c>
      <c r="AR22" s="4" t="s">
        <v>135</v>
      </c>
      <c r="AS22" s="5">
        <f t="shared" si="0"/>
        <v>1.7570176940639259</v>
      </c>
    </row>
    <row r="23" spans="1:45" ht="14.25" customHeight="1" x14ac:dyDescent="0.55000000000000004">
      <c r="A23" s="4">
        <v>0</v>
      </c>
      <c r="B23" s="4">
        <v>6</v>
      </c>
      <c r="C23" s="4">
        <v>71.98</v>
      </c>
      <c r="D23" s="4">
        <v>7.8</v>
      </c>
      <c r="E23" s="4" t="s">
        <v>2333</v>
      </c>
      <c r="F23" s="4" t="s">
        <v>2369</v>
      </c>
      <c r="G23" s="4" t="s">
        <v>2333</v>
      </c>
      <c r="H23" s="4" t="s">
        <v>2370</v>
      </c>
      <c r="I23" s="4">
        <v>0</v>
      </c>
      <c r="J23" s="4">
        <v>35</v>
      </c>
      <c r="K23" s="4">
        <f t="shared" si="1"/>
        <v>18.03</v>
      </c>
      <c r="L23" s="4">
        <f t="shared" si="2"/>
        <v>18.03</v>
      </c>
      <c r="M23" s="4">
        <f t="shared" si="3"/>
        <v>0</v>
      </c>
      <c r="N23" s="4">
        <v>6.3</v>
      </c>
      <c r="O23" s="4">
        <v>0</v>
      </c>
      <c r="P23" s="4">
        <v>44</v>
      </c>
      <c r="Q23" s="4">
        <v>22.9</v>
      </c>
      <c r="R23" s="4">
        <v>6</v>
      </c>
      <c r="S23" s="4">
        <v>15.3</v>
      </c>
      <c r="T23" s="4">
        <v>-15.3</v>
      </c>
      <c r="U23" s="4">
        <v>2.06</v>
      </c>
      <c r="V23" s="4">
        <v>46.07</v>
      </c>
      <c r="W23" s="4">
        <v>10.49</v>
      </c>
      <c r="X23" s="4">
        <v>25.09</v>
      </c>
      <c r="Y23" s="4">
        <v>5.76</v>
      </c>
      <c r="Z23" s="4">
        <v>4.03</v>
      </c>
      <c r="AA23" s="4">
        <v>-2.13</v>
      </c>
      <c r="AB23" s="4">
        <v>12.07</v>
      </c>
      <c r="AC23" s="4">
        <v>-64.53</v>
      </c>
      <c r="AD23" s="4">
        <v>160</v>
      </c>
      <c r="AE23" s="4">
        <v>1460</v>
      </c>
      <c r="AF23" s="4">
        <v>13.4</v>
      </c>
      <c r="AG23" s="4">
        <v>0.15</v>
      </c>
      <c r="AH23" s="4">
        <v>12.68</v>
      </c>
      <c r="AI23" s="4">
        <v>24.76</v>
      </c>
      <c r="AJ23" s="4">
        <v>60</v>
      </c>
      <c r="AK23" s="4">
        <v>9</v>
      </c>
      <c r="AL23" s="4">
        <v>9</v>
      </c>
      <c r="AM23" s="4">
        <v>0.3</v>
      </c>
      <c r="AN23" s="4">
        <v>96</v>
      </c>
      <c r="AO23" s="4">
        <v>98.69</v>
      </c>
      <c r="AP23" s="4">
        <v>266584.84000000003</v>
      </c>
      <c r="AQ23" s="4">
        <v>266584.84000000003</v>
      </c>
      <c r="AR23" s="4" t="s">
        <v>140</v>
      </c>
      <c r="AS23" s="5">
        <f t="shared" si="0"/>
        <v>0</v>
      </c>
    </row>
    <row r="24" spans="1:45" ht="14.25" customHeight="1" x14ac:dyDescent="0.55000000000000004">
      <c r="A24" s="4">
        <v>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f t="shared" si="1"/>
        <v>0</v>
      </c>
      <c r="L24" s="4">
        <f t="shared" si="2"/>
        <v>0</v>
      </c>
      <c r="M24" s="4">
        <f t="shared" si="3"/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5">
        <f t="shared" si="0"/>
        <v>0</v>
      </c>
    </row>
    <row r="25" spans="1:45" ht="14.25" customHeight="1" x14ac:dyDescent="0.55000000000000004">
      <c r="A25" s="4">
        <v>0</v>
      </c>
      <c r="B25" s="4">
        <v>6</v>
      </c>
      <c r="C25" s="4">
        <v>71.03</v>
      </c>
      <c r="D25" s="4">
        <v>7.8</v>
      </c>
      <c r="E25" s="4" t="s">
        <v>2333</v>
      </c>
      <c r="F25" s="4" t="s">
        <v>2371</v>
      </c>
      <c r="G25" s="4" t="s">
        <v>2333</v>
      </c>
      <c r="H25" s="4" t="s">
        <v>2372</v>
      </c>
      <c r="I25" s="4">
        <v>0</v>
      </c>
      <c r="J25" s="4">
        <v>35</v>
      </c>
      <c r="K25" s="4">
        <f t="shared" si="1"/>
        <v>18.149999999999999</v>
      </c>
      <c r="L25" s="4">
        <f t="shared" si="2"/>
        <v>18.149999999999999</v>
      </c>
      <c r="M25" s="4">
        <f t="shared" si="3"/>
        <v>0</v>
      </c>
      <c r="N25" s="4">
        <v>6.3</v>
      </c>
      <c r="O25" s="4">
        <v>0</v>
      </c>
      <c r="P25" s="4">
        <v>46</v>
      </c>
      <c r="Q25" s="4">
        <v>22.2</v>
      </c>
      <c r="R25" s="4">
        <v>6</v>
      </c>
      <c r="S25" s="4">
        <v>15.01</v>
      </c>
      <c r="T25" s="4">
        <v>-15.01</v>
      </c>
      <c r="U25" s="4">
        <v>2.0299999999999998</v>
      </c>
      <c r="V25" s="4">
        <v>45.46</v>
      </c>
      <c r="W25" s="4">
        <v>10.35</v>
      </c>
      <c r="X25" s="4">
        <v>24.76</v>
      </c>
      <c r="Y25" s="4">
        <v>5.68</v>
      </c>
      <c r="Z25" s="4">
        <v>3.95</v>
      </c>
      <c r="AA25" s="4">
        <v>-2.14</v>
      </c>
      <c r="AB25" s="4">
        <v>12.09</v>
      </c>
      <c r="AC25" s="4">
        <v>-66.59</v>
      </c>
      <c r="AD25" s="4">
        <v>160</v>
      </c>
      <c r="AE25" s="4">
        <v>1460</v>
      </c>
      <c r="AF25" s="4">
        <v>13.4</v>
      </c>
      <c r="AG25" s="4">
        <v>0.15</v>
      </c>
      <c r="AH25" s="4">
        <v>13.02</v>
      </c>
      <c r="AI25" s="4">
        <v>24.1</v>
      </c>
      <c r="AJ25" s="4">
        <v>60</v>
      </c>
      <c r="AK25" s="4">
        <v>9</v>
      </c>
      <c r="AL25" s="4">
        <v>9</v>
      </c>
      <c r="AM25" s="4">
        <v>0.31</v>
      </c>
      <c r="AN25" s="4">
        <v>96</v>
      </c>
      <c r="AO25" s="4">
        <v>98.76</v>
      </c>
      <c r="AP25" s="4">
        <v>269324.09000000003</v>
      </c>
      <c r="AQ25" s="4">
        <v>269324.09000000003</v>
      </c>
      <c r="AR25" s="4" t="s">
        <v>149</v>
      </c>
      <c r="AS25" s="5">
        <f t="shared" si="0"/>
        <v>0</v>
      </c>
    </row>
    <row r="26" spans="1:45" ht="14.25" customHeight="1" x14ac:dyDescent="0.55000000000000004">
      <c r="A26" s="4">
        <v>0</v>
      </c>
      <c r="B26" s="4">
        <v>6</v>
      </c>
      <c r="C26" s="4">
        <v>371.04</v>
      </c>
      <c r="D26" s="4">
        <v>7.8</v>
      </c>
      <c r="E26" s="4" t="s">
        <v>2338</v>
      </c>
      <c r="F26" s="4" t="s">
        <v>2373</v>
      </c>
      <c r="G26" s="4" t="s">
        <v>2333</v>
      </c>
      <c r="H26" s="4" t="s">
        <v>2374</v>
      </c>
      <c r="I26" s="4">
        <v>0</v>
      </c>
      <c r="J26" s="4">
        <v>35</v>
      </c>
      <c r="K26" s="4">
        <f t="shared" si="1"/>
        <v>14.08</v>
      </c>
      <c r="L26" s="4">
        <f t="shared" si="2"/>
        <v>14.28</v>
      </c>
      <c r="M26" s="4">
        <f t="shared" si="3"/>
        <v>-0.19999999999999929</v>
      </c>
      <c r="N26" s="4">
        <v>6.3</v>
      </c>
      <c r="O26" s="4">
        <v>0</v>
      </c>
      <c r="P26" s="4">
        <v>68</v>
      </c>
      <c r="Q26" s="4">
        <v>17.8</v>
      </c>
      <c r="R26" s="4">
        <v>6</v>
      </c>
      <c r="S26" s="4">
        <v>13.99</v>
      </c>
      <c r="T26" s="4">
        <v>-13.99</v>
      </c>
      <c r="U26" s="4">
        <v>10.6</v>
      </c>
      <c r="V26" s="4">
        <v>237.47</v>
      </c>
      <c r="W26" s="4">
        <v>54.07</v>
      </c>
      <c r="X26" s="4">
        <v>129.34</v>
      </c>
      <c r="Y26" s="4">
        <v>29.68</v>
      </c>
      <c r="Z26" s="4">
        <v>19.22</v>
      </c>
      <c r="AA26" s="4">
        <v>-0.78</v>
      </c>
      <c r="AB26" s="4">
        <v>9.36</v>
      </c>
      <c r="AC26" s="4">
        <v>-75.069999999999993</v>
      </c>
      <c r="AD26" s="4">
        <v>160</v>
      </c>
      <c r="AE26" s="4">
        <v>1460</v>
      </c>
      <c r="AF26" s="4">
        <v>13.4</v>
      </c>
      <c r="AG26" s="4">
        <v>0.15</v>
      </c>
      <c r="AH26" s="4">
        <v>1.4</v>
      </c>
      <c r="AI26" s="4">
        <v>151.4</v>
      </c>
      <c r="AJ26" s="4">
        <v>60</v>
      </c>
      <c r="AK26" s="4">
        <v>9</v>
      </c>
      <c r="AL26" s="4">
        <v>9</v>
      </c>
      <c r="AM26" s="4">
        <v>0.05</v>
      </c>
      <c r="AN26" s="4">
        <v>96</v>
      </c>
      <c r="AO26" s="4">
        <v>96.44</v>
      </c>
      <c r="AP26" s="4">
        <v>178015.63</v>
      </c>
      <c r="AQ26" s="4">
        <v>172101.2</v>
      </c>
      <c r="AR26" s="4" t="s">
        <v>154</v>
      </c>
      <c r="AS26" s="5">
        <f t="shared" si="0"/>
        <v>0.33758162100456579</v>
      </c>
    </row>
    <row r="27" spans="1:45" ht="14.25" customHeight="1" x14ac:dyDescent="0.55000000000000004">
      <c r="A27" s="4">
        <v>0</v>
      </c>
      <c r="B27" s="4">
        <v>6</v>
      </c>
      <c r="C27" s="4">
        <v>82.68</v>
      </c>
      <c r="D27" s="4">
        <v>7.8</v>
      </c>
      <c r="E27" s="4" t="s">
        <v>2333</v>
      </c>
      <c r="F27" s="4" t="s">
        <v>2375</v>
      </c>
      <c r="G27" s="4" t="s">
        <v>2333</v>
      </c>
      <c r="H27" s="4" t="s">
        <v>2376</v>
      </c>
      <c r="I27" s="4">
        <v>0</v>
      </c>
      <c r="J27" s="4">
        <v>35</v>
      </c>
      <c r="K27" s="4">
        <f t="shared" si="1"/>
        <v>17.02</v>
      </c>
      <c r="L27" s="4">
        <f t="shared" si="2"/>
        <v>17.02</v>
      </c>
      <c r="M27" s="4">
        <f t="shared" si="3"/>
        <v>0</v>
      </c>
      <c r="N27" s="4">
        <v>6.3</v>
      </c>
      <c r="O27" s="4">
        <v>0</v>
      </c>
      <c r="P27" s="4">
        <v>63</v>
      </c>
      <c r="Q27" s="4">
        <v>19.3</v>
      </c>
      <c r="R27" s="4">
        <v>6</v>
      </c>
      <c r="S27" s="4">
        <v>14.76</v>
      </c>
      <c r="T27" s="4">
        <v>-14.76</v>
      </c>
      <c r="U27" s="4">
        <v>2.36</v>
      </c>
      <c r="V27" s="4">
        <v>52.92</v>
      </c>
      <c r="W27" s="4">
        <v>12.05</v>
      </c>
      <c r="X27" s="4">
        <v>28.82</v>
      </c>
      <c r="Y27" s="4">
        <v>6.61</v>
      </c>
      <c r="Z27" s="4">
        <v>4.9000000000000004</v>
      </c>
      <c r="AA27" s="4">
        <v>-2.02</v>
      </c>
      <c r="AB27" s="4">
        <v>11.84</v>
      </c>
      <c r="AC27" s="4">
        <v>-68.510000000000005</v>
      </c>
      <c r="AD27" s="4">
        <v>160</v>
      </c>
      <c r="AE27" s="4">
        <v>1460</v>
      </c>
      <c r="AF27" s="4">
        <v>13.4</v>
      </c>
      <c r="AG27" s="4">
        <v>0.15</v>
      </c>
      <c r="AH27" s="4">
        <v>9.84</v>
      </c>
      <c r="AI27" s="4">
        <v>31.91</v>
      </c>
      <c r="AJ27" s="4">
        <v>60</v>
      </c>
      <c r="AK27" s="4">
        <v>9</v>
      </c>
      <c r="AL27" s="4">
        <v>9</v>
      </c>
      <c r="AM27" s="4">
        <v>0.23</v>
      </c>
      <c r="AN27" s="4">
        <v>96</v>
      </c>
      <c r="AO27" s="4">
        <v>98.09</v>
      </c>
      <c r="AP27" s="4">
        <v>244095.97</v>
      </c>
      <c r="AQ27" s="4">
        <v>244095.97</v>
      </c>
      <c r="AR27" s="4" t="s">
        <v>158</v>
      </c>
      <c r="AS27" s="5">
        <f t="shared" si="0"/>
        <v>0</v>
      </c>
    </row>
    <row r="28" spans="1:45" ht="14.25" customHeight="1" x14ac:dyDescent="0.55000000000000004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f t="shared" si="1"/>
        <v>0</v>
      </c>
      <c r="L28" s="4">
        <f t="shared" si="2"/>
        <v>0</v>
      </c>
      <c r="M28" s="4">
        <f t="shared" si="3"/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5">
        <f t="shared" si="0"/>
        <v>0</v>
      </c>
    </row>
    <row r="29" spans="1:45" ht="14.25" customHeight="1" x14ac:dyDescent="0.55000000000000004">
      <c r="A29" s="4">
        <v>0</v>
      </c>
      <c r="B29" s="4">
        <v>6</v>
      </c>
      <c r="C29" s="4">
        <v>163.24</v>
      </c>
      <c r="D29" s="4">
        <v>7.8</v>
      </c>
      <c r="E29" s="4" t="s">
        <v>2338</v>
      </c>
      <c r="F29" s="4" t="s">
        <v>2377</v>
      </c>
      <c r="G29" s="4" t="s">
        <v>2333</v>
      </c>
      <c r="H29" s="4" t="s">
        <v>2378</v>
      </c>
      <c r="I29" s="4">
        <v>0</v>
      </c>
      <c r="J29" s="4">
        <v>35</v>
      </c>
      <c r="K29" s="4">
        <f t="shared" si="1"/>
        <v>14.89</v>
      </c>
      <c r="L29" s="4">
        <f t="shared" si="2"/>
        <v>14.28</v>
      </c>
      <c r="M29" s="4">
        <f t="shared" si="3"/>
        <v>0.61000000000000121</v>
      </c>
      <c r="N29" s="4">
        <v>6.3</v>
      </c>
      <c r="O29" s="4">
        <v>0</v>
      </c>
      <c r="P29" s="4">
        <v>70</v>
      </c>
      <c r="Q29" s="4">
        <v>22.6</v>
      </c>
      <c r="R29" s="4">
        <v>6</v>
      </c>
      <c r="S29" s="4">
        <v>18.7</v>
      </c>
      <c r="T29" s="4">
        <v>-18.7</v>
      </c>
      <c r="U29" s="4">
        <v>4.66</v>
      </c>
      <c r="V29" s="4">
        <v>104.47</v>
      </c>
      <c r="W29" s="4">
        <v>23.79</v>
      </c>
      <c r="X29" s="4">
        <v>56.9</v>
      </c>
      <c r="Y29" s="4">
        <v>13.06</v>
      </c>
      <c r="Z29" s="4">
        <v>20.34</v>
      </c>
      <c r="AA29" s="4">
        <v>-1.46</v>
      </c>
      <c r="AB29" s="4">
        <v>10.72</v>
      </c>
      <c r="AC29" s="4">
        <v>-47.24</v>
      </c>
      <c r="AD29" s="4">
        <v>160</v>
      </c>
      <c r="AE29" s="4">
        <v>1460</v>
      </c>
      <c r="AF29" s="4">
        <v>13.4</v>
      </c>
      <c r="AG29" s="4">
        <v>0.15</v>
      </c>
      <c r="AH29" s="4">
        <v>3.66</v>
      </c>
      <c r="AI29" s="4">
        <v>151.4</v>
      </c>
      <c r="AJ29" s="4">
        <v>60</v>
      </c>
      <c r="AK29" s="4">
        <v>9</v>
      </c>
      <c r="AL29" s="4">
        <v>9</v>
      </c>
      <c r="AM29" s="4">
        <v>0.05</v>
      </c>
      <c r="AN29" s="4">
        <v>96</v>
      </c>
      <c r="AO29" s="4">
        <v>96.44</v>
      </c>
      <c r="AP29" s="4">
        <v>196340.67</v>
      </c>
      <c r="AQ29" s="4">
        <v>172101.2</v>
      </c>
      <c r="AR29" s="4" t="s">
        <v>168</v>
      </c>
      <c r="AS29" s="5">
        <f t="shared" si="0"/>
        <v>1.383531392694064</v>
      </c>
    </row>
    <row r="30" spans="1:45" ht="14.25" customHeight="1" x14ac:dyDescent="0.55000000000000004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f t="shared" si="1"/>
        <v>0</v>
      </c>
      <c r="L30" s="4">
        <f t="shared" si="2"/>
        <v>0</v>
      </c>
      <c r="M30" s="4">
        <f t="shared" si="3"/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5">
        <f t="shared" si="0"/>
        <v>0</v>
      </c>
    </row>
    <row r="31" spans="1:45" ht="14.25" customHeight="1" x14ac:dyDescent="0.55000000000000004">
      <c r="A31" s="4">
        <v>0</v>
      </c>
      <c r="B31" s="4">
        <v>6</v>
      </c>
      <c r="C31" s="4">
        <v>181.32</v>
      </c>
      <c r="D31" s="4">
        <v>7.8</v>
      </c>
      <c r="E31" s="4" t="s">
        <v>2333</v>
      </c>
      <c r="F31" s="4" t="s">
        <v>2379</v>
      </c>
      <c r="G31" s="4" t="s">
        <v>2333</v>
      </c>
      <c r="H31" s="4" t="s">
        <v>2380</v>
      </c>
      <c r="I31" s="4">
        <v>0</v>
      </c>
      <c r="J31" s="4">
        <v>35</v>
      </c>
      <c r="K31" s="4">
        <f t="shared" si="1"/>
        <v>14.73</v>
      </c>
      <c r="L31" s="4">
        <f t="shared" si="2"/>
        <v>14.73</v>
      </c>
      <c r="M31" s="4">
        <f t="shared" si="3"/>
        <v>0</v>
      </c>
      <c r="N31" s="4">
        <v>6.3</v>
      </c>
      <c r="O31" s="4">
        <v>0</v>
      </c>
      <c r="P31" s="4">
        <v>81</v>
      </c>
      <c r="Q31" s="4">
        <v>17.8</v>
      </c>
      <c r="R31" s="4">
        <v>6</v>
      </c>
      <c r="S31" s="4">
        <v>15.54</v>
      </c>
      <c r="T31" s="4">
        <v>-15.54</v>
      </c>
      <c r="U31" s="4">
        <v>5.18</v>
      </c>
      <c r="V31" s="4">
        <v>116.05</v>
      </c>
      <c r="W31" s="4">
        <v>26.42</v>
      </c>
      <c r="X31" s="4">
        <v>63.2</v>
      </c>
      <c r="Y31" s="4">
        <v>14.51</v>
      </c>
      <c r="Z31" s="4">
        <v>12.43</v>
      </c>
      <c r="AA31" s="4">
        <v>-1.37</v>
      </c>
      <c r="AB31" s="4">
        <v>10.54</v>
      </c>
      <c r="AC31" s="4">
        <v>-62.92</v>
      </c>
      <c r="AD31" s="4">
        <v>160</v>
      </c>
      <c r="AE31" s="4">
        <v>1460</v>
      </c>
      <c r="AF31" s="4">
        <v>13.4</v>
      </c>
      <c r="AG31" s="4">
        <v>0.15</v>
      </c>
      <c r="AH31" s="4">
        <v>3.21</v>
      </c>
      <c r="AI31" s="4">
        <v>93.54</v>
      </c>
      <c r="AJ31" s="4">
        <v>60</v>
      </c>
      <c r="AK31" s="4">
        <v>9</v>
      </c>
      <c r="AL31" s="4">
        <v>9</v>
      </c>
      <c r="AM31" s="4">
        <v>0.08</v>
      </c>
      <c r="AN31" s="4">
        <v>96</v>
      </c>
      <c r="AO31" s="4">
        <v>96.71</v>
      </c>
      <c r="AP31" s="4">
        <v>192746.63</v>
      </c>
      <c r="AQ31" s="4">
        <v>192746.63</v>
      </c>
      <c r="AR31" s="4" t="s">
        <v>178</v>
      </c>
      <c r="AS31" s="5">
        <f t="shared" si="0"/>
        <v>0</v>
      </c>
    </row>
    <row r="32" spans="1:45" ht="14.25" customHeight="1" x14ac:dyDescent="0.55000000000000004">
      <c r="A32" s="4">
        <v>0</v>
      </c>
      <c r="B32" s="4">
        <v>6</v>
      </c>
      <c r="C32" s="4">
        <v>160.37</v>
      </c>
      <c r="D32" s="4">
        <v>7.8</v>
      </c>
      <c r="E32" s="4" t="s">
        <v>2338</v>
      </c>
      <c r="F32" s="4" t="s">
        <v>2381</v>
      </c>
      <c r="G32" s="4" t="s">
        <v>2333</v>
      </c>
      <c r="H32" s="4" t="s">
        <v>2382</v>
      </c>
      <c r="I32" s="4">
        <v>0</v>
      </c>
      <c r="J32" s="4">
        <v>35</v>
      </c>
      <c r="K32" s="4">
        <f t="shared" si="1"/>
        <v>14.92</v>
      </c>
      <c r="L32" s="4">
        <f t="shared" si="2"/>
        <v>14.28</v>
      </c>
      <c r="M32" s="4">
        <f t="shared" si="3"/>
        <v>0.64000000000000057</v>
      </c>
      <c r="N32" s="4">
        <v>6.3</v>
      </c>
      <c r="O32" s="4">
        <v>0</v>
      </c>
      <c r="P32" s="4">
        <v>76</v>
      </c>
      <c r="Q32" s="4">
        <v>19.899999999999999</v>
      </c>
      <c r="R32" s="4">
        <v>6</v>
      </c>
      <c r="S32" s="4">
        <v>16.940000000000001</v>
      </c>
      <c r="T32" s="4">
        <v>-16.940000000000001</v>
      </c>
      <c r="U32" s="4">
        <v>4.58</v>
      </c>
      <c r="V32" s="4">
        <v>102.64</v>
      </c>
      <c r="W32" s="4">
        <v>23.37</v>
      </c>
      <c r="X32" s="4">
        <v>55.9</v>
      </c>
      <c r="Y32" s="4">
        <v>12.83</v>
      </c>
      <c r="Z32" s="4">
        <v>20.38</v>
      </c>
      <c r="AA32" s="4">
        <v>-1.47</v>
      </c>
      <c r="AB32" s="4">
        <v>10.75</v>
      </c>
      <c r="AC32" s="4">
        <v>-54.86</v>
      </c>
      <c r="AD32" s="4">
        <v>160</v>
      </c>
      <c r="AE32" s="4">
        <v>1460</v>
      </c>
      <c r="AF32" s="4">
        <v>13.4</v>
      </c>
      <c r="AG32" s="4">
        <v>0.15</v>
      </c>
      <c r="AH32" s="4">
        <v>3.74</v>
      </c>
      <c r="AI32" s="4">
        <v>151.4</v>
      </c>
      <c r="AJ32" s="4">
        <v>60</v>
      </c>
      <c r="AK32" s="4">
        <v>9</v>
      </c>
      <c r="AL32" s="4">
        <v>9</v>
      </c>
      <c r="AM32" s="4">
        <v>0.05</v>
      </c>
      <c r="AN32" s="4">
        <v>96</v>
      </c>
      <c r="AO32" s="4">
        <v>96.44</v>
      </c>
      <c r="AP32" s="4">
        <v>197002.85</v>
      </c>
      <c r="AQ32" s="4">
        <v>172101.2</v>
      </c>
      <c r="AR32" s="4" t="s">
        <v>183</v>
      </c>
      <c r="AS32" s="5">
        <f t="shared" si="0"/>
        <v>1.4213270547945203</v>
      </c>
    </row>
    <row r="33" spans="1:45" ht="14.25" customHeight="1" x14ac:dyDescent="0.55000000000000004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f t="shared" si="1"/>
        <v>0</v>
      </c>
      <c r="L33" s="4">
        <f t="shared" si="2"/>
        <v>0</v>
      </c>
      <c r="M33" s="4">
        <f t="shared" si="3"/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5">
        <f t="shared" si="0"/>
        <v>0</v>
      </c>
    </row>
    <row r="34" spans="1:45" ht="14.25" customHeight="1" x14ac:dyDescent="0.55000000000000004">
      <c r="A34" s="4">
        <v>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f t="shared" si="1"/>
        <v>0</v>
      </c>
      <c r="L34" s="4">
        <f t="shared" si="2"/>
        <v>0</v>
      </c>
      <c r="M34" s="4">
        <f t="shared" si="3"/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5">
        <f t="shared" si="0"/>
        <v>0</v>
      </c>
    </row>
    <row r="35" spans="1:45" ht="14.25" customHeight="1" x14ac:dyDescent="0.55000000000000004">
      <c r="A35" s="4">
        <v>0</v>
      </c>
      <c r="B35" s="4">
        <v>6</v>
      </c>
      <c r="C35" s="4">
        <v>133.13</v>
      </c>
      <c r="D35" s="4">
        <v>7.8</v>
      </c>
      <c r="E35" s="4" t="s">
        <v>2338</v>
      </c>
      <c r="F35" s="4" t="s">
        <v>2383</v>
      </c>
      <c r="G35" s="4" t="s">
        <v>2333</v>
      </c>
      <c r="H35" s="4" t="s">
        <v>2384</v>
      </c>
      <c r="I35" s="4">
        <v>0</v>
      </c>
      <c r="J35" s="4">
        <v>35</v>
      </c>
      <c r="K35" s="4">
        <f t="shared" si="1"/>
        <v>15.29</v>
      </c>
      <c r="L35" s="4">
        <f t="shared" si="2"/>
        <v>14.28</v>
      </c>
      <c r="M35" s="4">
        <f t="shared" si="3"/>
        <v>1.0099999999999998</v>
      </c>
      <c r="N35" s="4">
        <v>6.3</v>
      </c>
      <c r="O35" s="4">
        <v>0</v>
      </c>
      <c r="P35" s="4">
        <v>78</v>
      </c>
      <c r="Q35" s="4">
        <v>21.6</v>
      </c>
      <c r="R35" s="4">
        <v>6</v>
      </c>
      <c r="S35" s="4">
        <v>18.809999999999999</v>
      </c>
      <c r="T35" s="4">
        <v>-18.809999999999999</v>
      </c>
      <c r="U35" s="4">
        <v>3.8</v>
      </c>
      <c r="V35" s="4">
        <v>85.21</v>
      </c>
      <c r="W35" s="4">
        <v>19.399999999999999</v>
      </c>
      <c r="X35" s="4">
        <v>46.41</v>
      </c>
      <c r="Y35" s="4">
        <v>10.65</v>
      </c>
      <c r="Z35" s="4">
        <v>20.87</v>
      </c>
      <c r="AA35" s="4">
        <v>-1.63</v>
      </c>
      <c r="AB35" s="4">
        <v>11.05</v>
      </c>
      <c r="AC35" s="4">
        <v>-46.85</v>
      </c>
      <c r="AD35" s="4">
        <v>160</v>
      </c>
      <c r="AE35" s="4">
        <v>1460</v>
      </c>
      <c r="AF35" s="4">
        <v>13.4</v>
      </c>
      <c r="AG35" s="4">
        <v>0.15</v>
      </c>
      <c r="AH35" s="4">
        <v>4.78</v>
      </c>
      <c r="AI35" s="4">
        <v>151.4</v>
      </c>
      <c r="AJ35" s="4">
        <v>60</v>
      </c>
      <c r="AK35" s="4">
        <v>9</v>
      </c>
      <c r="AL35" s="4">
        <v>9</v>
      </c>
      <c r="AM35" s="4">
        <v>0.05</v>
      </c>
      <c r="AN35" s="4">
        <v>96</v>
      </c>
      <c r="AO35" s="4">
        <v>96.44</v>
      </c>
      <c r="AP35" s="4">
        <v>205152.94</v>
      </c>
      <c r="AQ35" s="4">
        <v>172101.2</v>
      </c>
      <c r="AR35" s="4" t="s">
        <v>196</v>
      </c>
      <c r="AS35" s="5">
        <f t="shared" si="0"/>
        <v>1.8865148401826479</v>
      </c>
    </row>
    <row r="36" spans="1:45" ht="14.25" customHeight="1" x14ac:dyDescent="0.55000000000000004">
      <c r="A36" s="4">
        <v>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f t="shared" si="1"/>
        <v>0</v>
      </c>
      <c r="L36" s="4">
        <f t="shared" si="2"/>
        <v>0</v>
      </c>
      <c r="M36" s="4">
        <f t="shared" si="3"/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5">
        <f t="shared" si="0"/>
        <v>0</v>
      </c>
    </row>
    <row r="37" spans="1:45" ht="14.25" customHeight="1" x14ac:dyDescent="0.55000000000000004">
      <c r="A37" s="4">
        <v>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f t="shared" si="1"/>
        <v>0</v>
      </c>
      <c r="L37" s="4">
        <f t="shared" si="2"/>
        <v>0</v>
      </c>
      <c r="M37" s="4">
        <f t="shared" si="3"/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5">
        <f t="shared" si="0"/>
        <v>0</v>
      </c>
    </row>
    <row r="38" spans="1:45" ht="14.25" customHeight="1" x14ac:dyDescent="0.55000000000000004">
      <c r="A38" s="4">
        <v>0</v>
      </c>
      <c r="B38" s="4">
        <v>6</v>
      </c>
      <c r="C38" s="4">
        <v>286.89</v>
      </c>
      <c r="D38" s="4">
        <v>7.8</v>
      </c>
      <c r="E38" s="4" t="s">
        <v>2338</v>
      </c>
      <c r="F38" s="4" t="s">
        <v>2385</v>
      </c>
      <c r="G38" s="4" t="s">
        <v>2333</v>
      </c>
      <c r="H38" s="4" t="s">
        <v>2386</v>
      </c>
      <c r="I38" s="4">
        <v>0</v>
      </c>
      <c r="J38" s="4">
        <v>35</v>
      </c>
      <c r="K38" s="4">
        <f t="shared" si="1"/>
        <v>14.25</v>
      </c>
      <c r="L38" s="4">
        <f t="shared" si="2"/>
        <v>14.28</v>
      </c>
      <c r="M38" s="4">
        <f t="shared" si="3"/>
        <v>-2.9999999999999361E-2</v>
      </c>
      <c r="N38" s="4">
        <v>6.3</v>
      </c>
      <c r="O38" s="4">
        <v>0</v>
      </c>
      <c r="P38" s="4">
        <v>84</v>
      </c>
      <c r="Q38" s="4">
        <v>16.5</v>
      </c>
      <c r="R38" s="4">
        <v>6</v>
      </c>
      <c r="S38" s="4">
        <v>14.63</v>
      </c>
      <c r="T38" s="4">
        <v>-14.63</v>
      </c>
      <c r="U38" s="4">
        <v>8.1999999999999993</v>
      </c>
      <c r="V38" s="4">
        <v>183.61</v>
      </c>
      <c r="W38" s="4">
        <v>41.8</v>
      </c>
      <c r="X38" s="4">
        <v>100</v>
      </c>
      <c r="Y38" s="4">
        <v>22.95</v>
      </c>
      <c r="Z38" s="4">
        <v>19.46</v>
      </c>
      <c r="AA38" s="4">
        <v>-0.99</v>
      </c>
      <c r="AB38" s="4">
        <v>9.7899999999999991</v>
      </c>
      <c r="AC38" s="4">
        <v>-69.53</v>
      </c>
      <c r="AD38" s="4">
        <v>160</v>
      </c>
      <c r="AE38" s="4">
        <v>1460</v>
      </c>
      <c r="AF38" s="4">
        <v>13.4</v>
      </c>
      <c r="AG38" s="4">
        <v>0.15</v>
      </c>
      <c r="AH38" s="4">
        <v>1.86</v>
      </c>
      <c r="AI38" s="4">
        <v>151.4</v>
      </c>
      <c r="AJ38" s="4">
        <v>60</v>
      </c>
      <c r="AK38" s="4">
        <v>9</v>
      </c>
      <c r="AL38" s="4">
        <v>9</v>
      </c>
      <c r="AM38" s="4">
        <v>0.05</v>
      </c>
      <c r="AN38" s="4">
        <v>96</v>
      </c>
      <c r="AO38" s="4">
        <v>96.44</v>
      </c>
      <c r="AP38" s="4">
        <v>181871.25</v>
      </c>
      <c r="AQ38" s="4">
        <v>172101.2</v>
      </c>
      <c r="AR38" s="4" t="s">
        <v>206</v>
      </c>
      <c r="AS38" s="5">
        <f t="shared" si="0"/>
        <v>0.55765125570776186</v>
      </c>
    </row>
    <row r="39" spans="1:45" ht="14.25" customHeight="1" x14ac:dyDescent="0.55000000000000004">
      <c r="A39" s="4">
        <v>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f t="shared" si="1"/>
        <v>0</v>
      </c>
      <c r="L39" s="4">
        <f t="shared" si="2"/>
        <v>0</v>
      </c>
      <c r="M39" s="4">
        <f t="shared" si="3"/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5">
        <f t="shared" si="0"/>
        <v>0</v>
      </c>
    </row>
    <row r="40" spans="1:45" ht="14.25" customHeight="1" x14ac:dyDescent="0.55000000000000004">
      <c r="A40" s="4">
        <v>0</v>
      </c>
      <c r="B40" s="4">
        <v>6</v>
      </c>
      <c r="C40" s="4">
        <v>141.13</v>
      </c>
      <c r="D40" s="4">
        <v>7.8</v>
      </c>
      <c r="E40" s="4" t="s">
        <v>2338</v>
      </c>
      <c r="F40" s="4" t="s">
        <v>2387</v>
      </c>
      <c r="G40" s="4" t="s">
        <v>2333</v>
      </c>
      <c r="H40" s="4" t="s">
        <v>2388</v>
      </c>
      <c r="I40" s="4">
        <v>0</v>
      </c>
      <c r="J40" s="4">
        <v>35</v>
      </c>
      <c r="K40" s="4">
        <f t="shared" si="1"/>
        <v>15.16</v>
      </c>
      <c r="L40" s="4">
        <f t="shared" si="2"/>
        <v>14.28</v>
      </c>
      <c r="M40" s="4">
        <f t="shared" si="3"/>
        <v>0.88000000000000078</v>
      </c>
      <c r="N40" s="4">
        <v>6.3</v>
      </c>
      <c r="O40" s="4">
        <v>0</v>
      </c>
      <c r="P40" s="4">
        <v>74</v>
      </c>
      <c r="Q40" s="4">
        <v>21.5</v>
      </c>
      <c r="R40" s="4">
        <v>6</v>
      </c>
      <c r="S40" s="4">
        <v>18.2</v>
      </c>
      <c r="T40" s="4">
        <v>-18.2</v>
      </c>
      <c r="U40" s="4">
        <v>4.03</v>
      </c>
      <c r="V40" s="4">
        <v>90.32</v>
      </c>
      <c r="W40" s="4">
        <v>20.56</v>
      </c>
      <c r="X40" s="4">
        <v>49.19</v>
      </c>
      <c r="Y40" s="4">
        <v>11.29</v>
      </c>
      <c r="Z40" s="4">
        <v>20.7</v>
      </c>
      <c r="AA40" s="4">
        <v>-1.58</v>
      </c>
      <c r="AB40" s="4">
        <v>10.96</v>
      </c>
      <c r="AC40" s="4">
        <v>-49.19</v>
      </c>
      <c r="AD40" s="4">
        <v>160</v>
      </c>
      <c r="AE40" s="4">
        <v>1460</v>
      </c>
      <c r="AF40" s="4">
        <v>13.4</v>
      </c>
      <c r="AG40" s="4">
        <v>0.15</v>
      </c>
      <c r="AH40" s="4">
        <v>4.42</v>
      </c>
      <c r="AI40" s="4">
        <v>151.4</v>
      </c>
      <c r="AJ40" s="4">
        <v>60</v>
      </c>
      <c r="AK40" s="4">
        <v>9</v>
      </c>
      <c r="AL40" s="4">
        <v>9</v>
      </c>
      <c r="AM40" s="4">
        <v>0.05</v>
      </c>
      <c r="AN40" s="4">
        <v>96</v>
      </c>
      <c r="AO40" s="4">
        <v>96.44</v>
      </c>
      <c r="AP40" s="4">
        <v>202340.8</v>
      </c>
      <c r="AQ40" s="4">
        <v>172101.2</v>
      </c>
      <c r="AR40" s="4" t="s">
        <v>216</v>
      </c>
      <c r="AS40" s="5">
        <f t="shared" si="0"/>
        <v>1.7260045662100443</v>
      </c>
    </row>
    <row r="41" spans="1:45" ht="14.25" customHeight="1" x14ac:dyDescent="0.55000000000000004">
      <c r="A41" s="4">
        <v>0</v>
      </c>
      <c r="B41" s="4">
        <v>6</v>
      </c>
      <c r="C41" s="4">
        <v>133.19999999999999</v>
      </c>
      <c r="D41" s="4">
        <v>7.8</v>
      </c>
      <c r="E41" s="4" t="s">
        <v>2333</v>
      </c>
      <c r="F41" s="4" t="s">
        <v>2389</v>
      </c>
      <c r="G41" s="4" t="s">
        <v>2333</v>
      </c>
      <c r="H41" s="4" t="s">
        <v>2390</v>
      </c>
      <c r="I41" s="4">
        <v>0</v>
      </c>
      <c r="J41" s="4">
        <v>35</v>
      </c>
      <c r="K41" s="4">
        <f t="shared" si="1"/>
        <v>15.29</v>
      </c>
      <c r="L41" s="4">
        <f t="shared" si="2"/>
        <v>15.29</v>
      </c>
      <c r="M41" s="4">
        <f t="shared" si="3"/>
        <v>0</v>
      </c>
      <c r="N41" s="4">
        <v>6.3</v>
      </c>
      <c r="O41" s="4">
        <v>0</v>
      </c>
      <c r="P41" s="4">
        <v>77</v>
      </c>
      <c r="Q41" s="4">
        <v>21.4</v>
      </c>
      <c r="R41" s="4">
        <v>6</v>
      </c>
      <c r="S41" s="4">
        <v>18.489999999999998</v>
      </c>
      <c r="T41" s="4">
        <v>-18.489999999999998</v>
      </c>
      <c r="U41" s="4">
        <v>3.81</v>
      </c>
      <c r="V41" s="4">
        <v>85.25</v>
      </c>
      <c r="W41" s="4">
        <v>19.41</v>
      </c>
      <c r="X41" s="4">
        <v>46.43</v>
      </c>
      <c r="Y41" s="4">
        <v>10.66</v>
      </c>
      <c r="Z41" s="4">
        <v>8.8000000000000007</v>
      </c>
      <c r="AA41" s="4">
        <v>-1.63</v>
      </c>
      <c r="AB41" s="4">
        <v>11.05</v>
      </c>
      <c r="AC41" s="4">
        <v>-48.04</v>
      </c>
      <c r="AD41" s="4">
        <v>160</v>
      </c>
      <c r="AE41" s="4">
        <v>1460</v>
      </c>
      <c r="AF41" s="4">
        <v>13.4</v>
      </c>
      <c r="AG41" s="4">
        <v>0.15</v>
      </c>
      <c r="AH41" s="4">
        <v>4.78</v>
      </c>
      <c r="AI41" s="4">
        <v>63.82</v>
      </c>
      <c r="AJ41" s="4">
        <v>60</v>
      </c>
      <c r="AK41" s="4">
        <v>9</v>
      </c>
      <c r="AL41" s="4">
        <v>9</v>
      </c>
      <c r="AM41" s="4">
        <v>0.12</v>
      </c>
      <c r="AN41" s="4">
        <v>96</v>
      </c>
      <c r="AO41" s="4">
        <v>97.04</v>
      </c>
      <c r="AP41" s="4">
        <v>205127.15</v>
      </c>
      <c r="AQ41" s="4">
        <v>205127.15</v>
      </c>
      <c r="AR41" s="4" t="s">
        <v>221</v>
      </c>
      <c r="AS41" s="5">
        <f t="shared" si="0"/>
        <v>0</v>
      </c>
    </row>
    <row r="42" spans="1:45" ht="14.25" customHeight="1" x14ac:dyDescent="0.55000000000000004">
      <c r="A42" s="4">
        <v>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f t="shared" si="1"/>
        <v>0</v>
      </c>
      <c r="L42" s="4">
        <f t="shared" si="2"/>
        <v>0</v>
      </c>
      <c r="M42" s="4">
        <f t="shared" si="3"/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5">
        <f t="shared" si="0"/>
        <v>0</v>
      </c>
    </row>
    <row r="43" spans="1:45" ht="14.25" customHeight="1" x14ac:dyDescent="0.55000000000000004">
      <c r="A43" s="4">
        <v>0</v>
      </c>
      <c r="B43" s="4">
        <v>6</v>
      </c>
      <c r="C43" s="4">
        <v>109.46</v>
      </c>
      <c r="D43" s="4">
        <v>7.8</v>
      </c>
      <c r="E43" s="4" t="s">
        <v>2338</v>
      </c>
      <c r="F43" s="4" t="s">
        <v>2391</v>
      </c>
      <c r="G43" s="4" t="s">
        <v>2333</v>
      </c>
      <c r="H43" s="4" t="s">
        <v>2392</v>
      </c>
      <c r="I43" s="4">
        <v>0</v>
      </c>
      <c r="J43" s="4">
        <v>35</v>
      </c>
      <c r="K43" s="4">
        <f t="shared" si="1"/>
        <v>15.81</v>
      </c>
      <c r="L43" s="4">
        <f t="shared" si="2"/>
        <v>14.28</v>
      </c>
      <c r="M43" s="4">
        <f t="shared" si="3"/>
        <v>1.5300000000000011</v>
      </c>
      <c r="N43" s="4">
        <v>6.3</v>
      </c>
      <c r="O43" s="4">
        <v>0</v>
      </c>
      <c r="P43" s="4">
        <v>63</v>
      </c>
      <c r="Q43" s="4">
        <v>23.1</v>
      </c>
      <c r="R43" s="4">
        <v>6</v>
      </c>
      <c r="S43" s="4">
        <v>18.21</v>
      </c>
      <c r="T43" s="4">
        <v>-18.21</v>
      </c>
      <c r="U43" s="4">
        <v>3.13</v>
      </c>
      <c r="V43" s="4">
        <v>70.05</v>
      </c>
      <c r="W43" s="4">
        <v>15.95</v>
      </c>
      <c r="X43" s="4">
        <v>38.15</v>
      </c>
      <c r="Y43" s="4">
        <v>8.76</v>
      </c>
      <c r="Z43" s="4">
        <v>21.59</v>
      </c>
      <c r="AA43" s="4">
        <v>-1.79</v>
      </c>
      <c r="AB43" s="4">
        <v>11.38</v>
      </c>
      <c r="AC43" s="4">
        <v>-49.13</v>
      </c>
      <c r="AD43" s="4">
        <v>160</v>
      </c>
      <c r="AE43" s="4">
        <v>1460</v>
      </c>
      <c r="AF43" s="4">
        <v>13.4</v>
      </c>
      <c r="AG43" s="4">
        <v>0.15</v>
      </c>
      <c r="AH43" s="4">
        <v>6.3</v>
      </c>
      <c r="AI43" s="4">
        <v>151.4</v>
      </c>
      <c r="AJ43" s="4">
        <v>60</v>
      </c>
      <c r="AK43" s="4">
        <v>9</v>
      </c>
      <c r="AL43" s="4">
        <v>9</v>
      </c>
      <c r="AM43" s="4">
        <v>0.05</v>
      </c>
      <c r="AN43" s="4">
        <v>96</v>
      </c>
      <c r="AO43" s="4">
        <v>96.44</v>
      </c>
      <c r="AP43" s="4">
        <v>216910.97</v>
      </c>
      <c r="AQ43" s="4">
        <v>172101.2</v>
      </c>
      <c r="AR43" s="4" t="s">
        <v>231</v>
      </c>
      <c r="AS43" s="5">
        <f t="shared" si="0"/>
        <v>2.5576352739726023</v>
      </c>
    </row>
    <row r="44" spans="1:45" ht="14.25" customHeight="1" x14ac:dyDescent="0.55000000000000004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f t="shared" si="1"/>
        <v>0</v>
      </c>
      <c r="L44" s="4">
        <f t="shared" si="2"/>
        <v>0</v>
      </c>
      <c r="M44" s="4">
        <f t="shared" si="3"/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5">
        <f t="shared" si="0"/>
        <v>0</v>
      </c>
    </row>
    <row r="45" spans="1:45" ht="14.25" customHeight="1" x14ac:dyDescent="0.55000000000000004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f t="shared" si="1"/>
        <v>0</v>
      </c>
      <c r="L45" s="4">
        <f t="shared" si="2"/>
        <v>0</v>
      </c>
      <c r="M45" s="4">
        <f t="shared" si="3"/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5">
        <f t="shared" si="0"/>
        <v>0</v>
      </c>
    </row>
    <row r="46" spans="1:45" ht="14.25" customHeight="1" x14ac:dyDescent="0.55000000000000004">
      <c r="A46" s="4">
        <v>0</v>
      </c>
      <c r="B46" s="4">
        <v>6</v>
      </c>
      <c r="C46" s="4">
        <v>290.24</v>
      </c>
      <c r="D46" s="4">
        <v>7.8</v>
      </c>
      <c r="E46" s="4" t="s">
        <v>2338</v>
      </c>
      <c r="F46" s="4" t="s">
        <v>2393</v>
      </c>
      <c r="G46" s="4" t="s">
        <v>2333</v>
      </c>
      <c r="H46" s="4" t="s">
        <v>2394</v>
      </c>
      <c r="I46" s="4">
        <v>0</v>
      </c>
      <c r="J46" s="4">
        <v>35</v>
      </c>
      <c r="K46" s="4">
        <f t="shared" si="1"/>
        <v>14.24</v>
      </c>
      <c r="L46" s="4">
        <f t="shared" si="2"/>
        <v>14.28</v>
      </c>
      <c r="M46" s="4">
        <f t="shared" si="3"/>
        <v>-3.9999999999999147E-2</v>
      </c>
      <c r="N46" s="4">
        <v>6.3</v>
      </c>
      <c r="O46" s="4">
        <v>0</v>
      </c>
      <c r="P46" s="4">
        <v>86</v>
      </c>
      <c r="Q46" s="4">
        <v>16</v>
      </c>
      <c r="R46" s="4">
        <v>6</v>
      </c>
      <c r="S46" s="4">
        <v>14.37</v>
      </c>
      <c r="T46" s="4">
        <v>-14.37</v>
      </c>
      <c r="U46" s="4">
        <v>8.2899999999999991</v>
      </c>
      <c r="V46" s="4">
        <v>185.76</v>
      </c>
      <c r="W46" s="4">
        <v>42.29</v>
      </c>
      <c r="X46" s="4">
        <v>101.17</v>
      </c>
      <c r="Y46" s="4">
        <v>23.22</v>
      </c>
      <c r="Z46" s="4">
        <v>19.440000000000001</v>
      </c>
      <c r="AA46" s="4">
        <v>-0.98</v>
      </c>
      <c r="AB46" s="4">
        <v>9.77</v>
      </c>
      <c r="AC46" s="4">
        <v>-71.66</v>
      </c>
      <c r="AD46" s="4">
        <v>160</v>
      </c>
      <c r="AE46" s="4">
        <v>1460</v>
      </c>
      <c r="AF46" s="4">
        <v>13.4</v>
      </c>
      <c r="AG46" s="4">
        <v>0.15</v>
      </c>
      <c r="AH46" s="4">
        <v>1.84</v>
      </c>
      <c r="AI46" s="4">
        <v>151.4</v>
      </c>
      <c r="AJ46" s="4">
        <v>60</v>
      </c>
      <c r="AK46" s="4">
        <v>9</v>
      </c>
      <c r="AL46" s="4">
        <v>9</v>
      </c>
      <c r="AM46" s="4">
        <v>0.05</v>
      </c>
      <c r="AN46" s="4">
        <v>96</v>
      </c>
      <c r="AO46" s="4">
        <v>96.44</v>
      </c>
      <c r="AP46" s="4">
        <v>181670.15</v>
      </c>
      <c r="AQ46" s="4">
        <v>172101.2</v>
      </c>
      <c r="AR46" s="4" t="s">
        <v>245</v>
      </c>
      <c r="AS46" s="5">
        <f t="shared" si="0"/>
        <v>0.54617294520547843</v>
      </c>
    </row>
    <row r="47" spans="1:45" ht="14.25" customHeight="1" x14ac:dyDescent="0.55000000000000004">
      <c r="A47" s="4">
        <v>0</v>
      </c>
      <c r="B47" s="4">
        <v>6</v>
      </c>
      <c r="C47" s="4">
        <v>126.07</v>
      </c>
      <c r="D47" s="4">
        <v>7.8</v>
      </c>
      <c r="E47" s="4" t="s">
        <v>2338</v>
      </c>
      <c r="F47" s="4" t="s">
        <v>2395</v>
      </c>
      <c r="G47" s="4" t="s">
        <v>2333</v>
      </c>
      <c r="H47" s="4" t="s">
        <v>2396</v>
      </c>
      <c r="I47" s="4">
        <v>0</v>
      </c>
      <c r="J47" s="4">
        <v>35</v>
      </c>
      <c r="K47" s="4">
        <f t="shared" si="1"/>
        <v>15.42</v>
      </c>
      <c r="L47" s="4">
        <f t="shared" si="2"/>
        <v>14.28</v>
      </c>
      <c r="M47" s="4">
        <f t="shared" si="3"/>
        <v>1.1400000000000006</v>
      </c>
      <c r="N47" s="4">
        <v>6.3</v>
      </c>
      <c r="O47" s="4">
        <v>0</v>
      </c>
      <c r="P47" s="4">
        <v>61</v>
      </c>
      <c r="Q47" s="4">
        <v>23</v>
      </c>
      <c r="R47" s="4">
        <v>6</v>
      </c>
      <c r="S47" s="4">
        <v>17.84</v>
      </c>
      <c r="T47" s="4">
        <v>-17.84</v>
      </c>
      <c r="U47" s="4">
        <v>3.6</v>
      </c>
      <c r="V47" s="4">
        <v>80.69</v>
      </c>
      <c r="W47" s="4">
        <v>18.37</v>
      </c>
      <c r="X47" s="4">
        <v>43.95</v>
      </c>
      <c r="Y47" s="4">
        <v>10.09</v>
      </c>
      <c r="Z47" s="4">
        <v>21.05</v>
      </c>
      <c r="AA47" s="4">
        <v>-1.67</v>
      </c>
      <c r="AB47" s="4">
        <v>11.14</v>
      </c>
      <c r="AC47" s="4">
        <v>-50.66</v>
      </c>
      <c r="AD47" s="4">
        <v>160</v>
      </c>
      <c r="AE47" s="4">
        <v>1460</v>
      </c>
      <c r="AF47" s="4">
        <v>13.4</v>
      </c>
      <c r="AG47" s="4">
        <v>0.15</v>
      </c>
      <c r="AH47" s="4">
        <v>5.15</v>
      </c>
      <c r="AI47" s="4">
        <v>151.4</v>
      </c>
      <c r="AJ47" s="4">
        <v>60</v>
      </c>
      <c r="AK47" s="4">
        <v>9</v>
      </c>
      <c r="AL47" s="4">
        <v>9</v>
      </c>
      <c r="AM47" s="4">
        <v>0.05</v>
      </c>
      <c r="AN47" s="4">
        <v>96</v>
      </c>
      <c r="AO47" s="4">
        <v>96.44</v>
      </c>
      <c r="AP47" s="4">
        <v>208035.21</v>
      </c>
      <c r="AQ47" s="4">
        <v>172101.2</v>
      </c>
      <c r="AR47" s="4" t="s">
        <v>250</v>
      </c>
      <c r="AS47" s="5">
        <f t="shared" si="0"/>
        <v>2.0510279680365286</v>
      </c>
    </row>
    <row r="48" spans="1:45" ht="14.25" customHeight="1" x14ac:dyDescent="0.55000000000000004">
      <c r="A48" s="4">
        <v>0</v>
      </c>
      <c r="B48" s="4">
        <v>6</v>
      </c>
      <c r="C48" s="4">
        <v>189.88</v>
      </c>
      <c r="D48" s="4">
        <v>7.8</v>
      </c>
      <c r="E48" s="4" t="s">
        <v>2333</v>
      </c>
      <c r="F48" s="4" t="s">
        <v>2397</v>
      </c>
      <c r="G48" s="4" t="s">
        <v>2333</v>
      </c>
      <c r="H48" s="4" t="s">
        <v>2398</v>
      </c>
      <c r="I48" s="4">
        <v>0</v>
      </c>
      <c r="J48" s="4">
        <v>35</v>
      </c>
      <c r="K48" s="4">
        <f t="shared" si="1"/>
        <v>14.67</v>
      </c>
      <c r="L48" s="4">
        <f t="shared" si="2"/>
        <v>14.67</v>
      </c>
      <c r="M48" s="4">
        <f t="shared" si="3"/>
        <v>0</v>
      </c>
      <c r="N48" s="4">
        <v>6.3</v>
      </c>
      <c r="O48" s="4">
        <v>0</v>
      </c>
      <c r="P48" s="4">
        <v>84</v>
      </c>
      <c r="Q48" s="4">
        <v>16.8</v>
      </c>
      <c r="R48" s="4">
        <v>6</v>
      </c>
      <c r="S48" s="4">
        <v>14.92</v>
      </c>
      <c r="T48" s="4">
        <v>-14.92</v>
      </c>
      <c r="U48" s="4">
        <v>5.43</v>
      </c>
      <c r="V48" s="4">
        <v>121.52</v>
      </c>
      <c r="W48" s="4">
        <v>27.67</v>
      </c>
      <c r="X48" s="4">
        <v>66.19</v>
      </c>
      <c r="Y48" s="4">
        <v>15.19</v>
      </c>
      <c r="Z48" s="4">
        <v>13.07</v>
      </c>
      <c r="AA48" s="4">
        <v>-1.33</v>
      </c>
      <c r="AB48" s="4">
        <v>10.47</v>
      </c>
      <c r="AC48" s="4">
        <v>-67.260000000000005</v>
      </c>
      <c r="AD48" s="4">
        <v>160</v>
      </c>
      <c r="AE48" s="4">
        <v>1460</v>
      </c>
      <c r="AF48" s="4">
        <v>13.4</v>
      </c>
      <c r="AG48" s="4">
        <v>0.15</v>
      </c>
      <c r="AH48" s="4">
        <v>3.03</v>
      </c>
      <c r="AI48" s="4">
        <v>98.8</v>
      </c>
      <c r="AJ48" s="4">
        <v>60</v>
      </c>
      <c r="AK48" s="4">
        <v>9</v>
      </c>
      <c r="AL48" s="4">
        <v>9</v>
      </c>
      <c r="AM48" s="4">
        <v>7.0000000000000007E-2</v>
      </c>
      <c r="AN48" s="4">
        <v>96</v>
      </c>
      <c r="AO48" s="4">
        <v>96.67</v>
      </c>
      <c r="AP48" s="4">
        <v>191330.11</v>
      </c>
      <c r="AQ48" s="4">
        <v>191330.11</v>
      </c>
      <c r="AR48" s="4" t="s">
        <v>255</v>
      </c>
      <c r="AS48" s="5">
        <f t="shared" si="0"/>
        <v>0</v>
      </c>
    </row>
    <row r="49" spans="1:45" ht="14.25" customHeight="1" x14ac:dyDescent="0.55000000000000004">
      <c r="A49" s="4">
        <v>0</v>
      </c>
      <c r="B49" s="4">
        <v>6</v>
      </c>
      <c r="C49" s="4">
        <v>133.57</v>
      </c>
      <c r="D49" s="4">
        <v>7.8</v>
      </c>
      <c r="E49" s="4" t="s">
        <v>2338</v>
      </c>
      <c r="F49" s="4" t="s">
        <v>2399</v>
      </c>
      <c r="G49" s="4" t="s">
        <v>2333</v>
      </c>
      <c r="H49" s="4" t="s">
        <v>2400</v>
      </c>
      <c r="I49" s="4">
        <v>0</v>
      </c>
      <c r="J49" s="4">
        <v>35</v>
      </c>
      <c r="K49" s="4">
        <f t="shared" si="1"/>
        <v>15.28</v>
      </c>
      <c r="L49" s="4">
        <f t="shared" si="2"/>
        <v>14.28</v>
      </c>
      <c r="M49" s="4">
        <f t="shared" si="3"/>
        <v>1</v>
      </c>
      <c r="N49" s="4">
        <v>6.3</v>
      </c>
      <c r="O49" s="4">
        <v>0</v>
      </c>
      <c r="P49" s="4">
        <v>73</v>
      </c>
      <c r="Q49" s="4">
        <v>21.2</v>
      </c>
      <c r="R49" s="4">
        <v>6</v>
      </c>
      <c r="S49" s="4">
        <v>17.79</v>
      </c>
      <c r="T49" s="4">
        <v>-17.79</v>
      </c>
      <c r="U49" s="4">
        <v>3.82</v>
      </c>
      <c r="V49" s="4">
        <v>85.49</v>
      </c>
      <c r="W49" s="4">
        <v>19.46</v>
      </c>
      <c r="X49" s="4">
        <v>46.56</v>
      </c>
      <c r="Y49" s="4">
        <v>10.69</v>
      </c>
      <c r="Z49" s="4">
        <v>20.86</v>
      </c>
      <c r="AA49" s="4">
        <v>-1.62</v>
      </c>
      <c r="AB49" s="4">
        <v>11.05</v>
      </c>
      <c r="AC49" s="4">
        <v>-50.91</v>
      </c>
      <c r="AD49" s="4">
        <v>160</v>
      </c>
      <c r="AE49" s="4">
        <v>1460</v>
      </c>
      <c r="AF49" s="4">
        <v>13.4</v>
      </c>
      <c r="AG49" s="4">
        <v>0.15</v>
      </c>
      <c r="AH49" s="4">
        <v>4.76</v>
      </c>
      <c r="AI49" s="4">
        <v>151.4</v>
      </c>
      <c r="AJ49" s="4">
        <v>60</v>
      </c>
      <c r="AK49" s="4">
        <v>9</v>
      </c>
      <c r="AL49" s="4">
        <v>9</v>
      </c>
      <c r="AM49" s="4">
        <v>0.05</v>
      </c>
      <c r="AN49" s="4">
        <v>96</v>
      </c>
      <c r="AO49" s="4">
        <v>96.44</v>
      </c>
      <c r="AP49" s="4">
        <v>204986.64</v>
      </c>
      <c r="AQ49" s="4">
        <v>172101.2</v>
      </c>
      <c r="AR49" s="4" t="s">
        <v>260</v>
      </c>
      <c r="AS49" s="5">
        <f t="shared" si="0"/>
        <v>1.8770228310502284</v>
      </c>
    </row>
    <row r="50" spans="1:45" ht="14.25" customHeight="1" x14ac:dyDescent="0.55000000000000004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f t="shared" si="1"/>
        <v>0</v>
      </c>
      <c r="L50" s="4">
        <f t="shared" si="2"/>
        <v>0</v>
      </c>
      <c r="M50" s="4">
        <f t="shared" si="3"/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5">
        <f t="shared" si="0"/>
        <v>0</v>
      </c>
    </row>
    <row r="51" spans="1:45" ht="14.25" customHeight="1" x14ac:dyDescent="0.55000000000000004">
      <c r="A51" s="4">
        <v>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f t="shared" si="1"/>
        <v>0</v>
      </c>
      <c r="L51" s="4">
        <f t="shared" si="2"/>
        <v>0</v>
      </c>
      <c r="M51" s="4">
        <f t="shared" si="3"/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5">
        <f t="shared" si="0"/>
        <v>0</v>
      </c>
    </row>
    <row r="52" spans="1:45" ht="14.25" customHeight="1" x14ac:dyDescent="0.55000000000000004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f t="shared" si="1"/>
        <v>0</v>
      </c>
      <c r="L52" s="4">
        <f t="shared" si="2"/>
        <v>0</v>
      </c>
      <c r="M52" s="4">
        <f t="shared" si="3"/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5">
        <f t="shared" si="0"/>
        <v>0</v>
      </c>
    </row>
    <row r="53" spans="1:45" ht="14.25" customHeight="1" x14ac:dyDescent="0.55000000000000004">
      <c r="A53" s="4">
        <v>0</v>
      </c>
      <c r="B53" s="4">
        <v>6</v>
      </c>
      <c r="C53" s="4">
        <v>194.92</v>
      </c>
      <c r="D53" s="4">
        <v>7.8</v>
      </c>
      <c r="E53" s="4" t="s">
        <v>2338</v>
      </c>
      <c r="F53" s="4" t="s">
        <v>2401</v>
      </c>
      <c r="G53" s="4" t="s">
        <v>2333</v>
      </c>
      <c r="H53" s="4" t="s">
        <v>2402</v>
      </c>
      <c r="I53" s="4">
        <v>0</v>
      </c>
      <c r="J53" s="4">
        <v>35</v>
      </c>
      <c r="K53" s="4">
        <f t="shared" si="1"/>
        <v>14.64</v>
      </c>
      <c r="L53" s="4">
        <f t="shared" si="2"/>
        <v>14.28</v>
      </c>
      <c r="M53" s="4">
        <f t="shared" si="3"/>
        <v>0.36000000000000121</v>
      </c>
      <c r="N53" s="4">
        <v>6.3</v>
      </c>
      <c r="O53" s="4">
        <v>0</v>
      </c>
      <c r="P53" s="4">
        <v>78</v>
      </c>
      <c r="Q53" s="4">
        <v>18.899999999999999</v>
      </c>
      <c r="R53" s="4">
        <v>6</v>
      </c>
      <c r="S53" s="4">
        <v>16.23</v>
      </c>
      <c r="T53" s="4">
        <v>-16.23</v>
      </c>
      <c r="U53" s="4">
        <v>5.57</v>
      </c>
      <c r="V53" s="4">
        <v>124.75</v>
      </c>
      <c r="W53" s="4">
        <v>28.4</v>
      </c>
      <c r="X53" s="4">
        <v>67.94</v>
      </c>
      <c r="Y53" s="4">
        <v>15.59</v>
      </c>
      <c r="Z53" s="4">
        <v>19.989999999999998</v>
      </c>
      <c r="AA53" s="4">
        <v>-1.31</v>
      </c>
      <c r="AB53" s="4">
        <v>10.42</v>
      </c>
      <c r="AC53" s="4">
        <v>-58.65</v>
      </c>
      <c r="AD53" s="4">
        <v>160</v>
      </c>
      <c r="AE53" s="4">
        <v>1460</v>
      </c>
      <c r="AF53" s="4">
        <v>13.4</v>
      </c>
      <c r="AG53" s="4">
        <v>0.15</v>
      </c>
      <c r="AH53" s="4">
        <v>2.93</v>
      </c>
      <c r="AI53" s="4">
        <v>151.4</v>
      </c>
      <c r="AJ53" s="4">
        <v>60</v>
      </c>
      <c r="AK53" s="4">
        <v>9</v>
      </c>
      <c r="AL53" s="4">
        <v>9</v>
      </c>
      <c r="AM53" s="4">
        <v>0.05</v>
      </c>
      <c r="AN53" s="4">
        <v>96</v>
      </c>
      <c r="AO53" s="4">
        <v>96.44</v>
      </c>
      <c r="AP53" s="4">
        <v>190564.65</v>
      </c>
      <c r="AQ53" s="4">
        <v>172101.2</v>
      </c>
      <c r="AR53" s="4" t="s">
        <v>275</v>
      </c>
      <c r="AS53" s="5">
        <f t="shared" si="0"/>
        <v>1.0538498858447478</v>
      </c>
    </row>
    <row r="54" spans="1:45" ht="14.25" customHeight="1" x14ac:dyDescent="0.55000000000000004">
      <c r="A54" s="4">
        <v>0</v>
      </c>
      <c r="B54" s="4">
        <v>6</v>
      </c>
      <c r="C54" s="4">
        <v>78.540000000000006</v>
      </c>
      <c r="D54" s="4">
        <v>7.8</v>
      </c>
      <c r="E54" s="4" t="s">
        <v>2338</v>
      </c>
      <c r="F54" s="4" t="s">
        <v>2403</v>
      </c>
      <c r="G54" s="4" t="s">
        <v>2333</v>
      </c>
      <c r="H54" s="4" t="s">
        <v>2404</v>
      </c>
      <c r="I54" s="4">
        <v>0</v>
      </c>
      <c r="J54" s="4">
        <v>35</v>
      </c>
      <c r="K54" s="4">
        <f t="shared" si="1"/>
        <v>17.350000000000001</v>
      </c>
      <c r="L54" s="4">
        <f t="shared" si="2"/>
        <v>14.28</v>
      </c>
      <c r="M54" s="4">
        <f t="shared" si="3"/>
        <v>3.0700000000000021</v>
      </c>
      <c r="N54" s="4">
        <v>6.3</v>
      </c>
      <c r="O54" s="4">
        <v>0</v>
      </c>
      <c r="P54" s="4">
        <v>63</v>
      </c>
      <c r="Q54" s="4">
        <v>22.9</v>
      </c>
      <c r="R54" s="4">
        <v>6</v>
      </c>
      <c r="S54" s="4">
        <v>18.03</v>
      </c>
      <c r="T54" s="4">
        <v>-18.03</v>
      </c>
      <c r="U54" s="4">
        <v>2.2400000000000002</v>
      </c>
      <c r="V54" s="4">
        <v>50.27</v>
      </c>
      <c r="W54" s="4">
        <v>11.44</v>
      </c>
      <c r="X54" s="4">
        <v>27.38</v>
      </c>
      <c r="Y54" s="4">
        <v>6.28</v>
      </c>
      <c r="Z54" s="4">
        <v>23.69</v>
      </c>
      <c r="AA54" s="4">
        <v>-2.06</v>
      </c>
      <c r="AB54" s="4">
        <v>11.92</v>
      </c>
      <c r="AC54" s="4">
        <v>-49.87</v>
      </c>
      <c r="AD54" s="4">
        <v>160</v>
      </c>
      <c r="AE54" s="4">
        <v>1460</v>
      </c>
      <c r="AF54" s="4">
        <v>13.4</v>
      </c>
      <c r="AG54" s="4">
        <v>0.15</v>
      </c>
      <c r="AH54" s="4">
        <v>10.77</v>
      </c>
      <c r="AI54" s="4">
        <v>151.4</v>
      </c>
      <c r="AJ54" s="4">
        <v>60</v>
      </c>
      <c r="AK54" s="4">
        <v>9</v>
      </c>
      <c r="AL54" s="4">
        <v>9</v>
      </c>
      <c r="AM54" s="4">
        <v>0.05</v>
      </c>
      <c r="AN54" s="4">
        <v>96</v>
      </c>
      <c r="AO54" s="4">
        <v>96.44</v>
      </c>
      <c r="AP54" s="4">
        <v>251375.42</v>
      </c>
      <c r="AQ54" s="4">
        <v>172101.2</v>
      </c>
      <c r="AR54" s="4" t="s">
        <v>280</v>
      </c>
      <c r="AS54" s="5">
        <f t="shared" si="0"/>
        <v>4.5247842465753427</v>
      </c>
    </row>
    <row r="55" spans="1:45" ht="14.25" customHeight="1" x14ac:dyDescent="0.55000000000000004">
      <c r="A55" s="4">
        <v>0</v>
      </c>
      <c r="B55" s="4">
        <v>6</v>
      </c>
      <c r="C55" s="4">
        <v>154.13999999999999</v>
      </c>
      <c r="D55" s="4">
        <v>7.8</v>
      </c>
      <c r="E55" s="4" t="s">
        <v>2338</v>
      </c>
      <c r="F55" s="4" t="s">
        <v>2405</v>
      </c>
      <c r="G55" s="4" t="s">
        <v>2333</v>
      </c>
      <c r="H55" s="4" t="s">
        <v>2406</v>
      </c>
      <c r="I55" s="4">
        <v>0</v>
      </c>
      <c r="J55" s="4">
        <v>35</v>
      </c>
      <c r="K55" s="4">
        <f t="shared" si="1"/>
        <v>14.99</v>
      </c>
      <c r="L55" s="4">
        <f t="shared" si="2"/>
        <v>14.28</v>
      </c>
      <c r="M55" s="4">
        <f t="shared" si="3"/>
        <v>0.71000000000000085</v>
      </c>
      <c r="N55" s="4">
        <v>6.3</v>
      </c>
      <c r="O55" s="4">
        <v>0</v>
      </c>
      <c r="P55" s="4">
        <v>89</v>
      </c>
      <c r="Q55" s="4">
        <v>20.2</v>
      </c>
      <c r="R55" s="4">
        <v>6</v>
      </c>
      <c r="S55" s="4">
        <v>18.84</v>
      </c>
      <c r="T55" s="4">
        <v>-18.84</v>
      </c>
      <c r="U55" s="4">
        <v>4.4000000000000004</v>
      </c>
      <c r="V55" s="4">
        <v>98.65</v>
      </c>
      <c r="W55" s="4">
        <v>22.46</v>
      </c>
      <c r="X55" s="4">
        <v>53.73</v>
      </c>
      <c r="Y55" s="4">
        <v>12.33</v>
      </c>
      <c r="Z55" s="4">
        <v>20.47</v>
      </c>
      <c r="AA55" s="4">
        <v>-1.51</v>
      </c>
      <c r="AB55" s="4">
        <v>10.81</v>
      </c>
      <c r="AC55" s="4">
        <v>-46.72</v>
      </c>
      <c r="AD55" s="4">
        <v>160</v>
      </c>
      <c r="AE55" s="4">
        <v>1460</v>
      </c>
      <c r="AF55" s="4">
        <v>13.4</v>
      </c>
      <c r="AG55" s="4">
        <v>0.15</v>
      </c>
      <c r="AH55" s="4">
        <v>3.94</v>
      </c>
      <c r="AI55" s="4">
        <v>151.4</v>
      </c>
      <c r="AJ55" s="4">
        <v>60</v>
      </c>
      <c r="AK55" s="4">
        <v>9</v>
      </c>
      <c r="AL55" s="4">
        <v>9</v>
      </c>
      <c r="AM55" s="4">
        <v>0.05</v>
      </c>
      <c r="AN55" s="4">
        <v>96</v>
      </c>
      <c r="AO55" s="4">
        <v>96.44</v>
      </c>
      <c r="AP55" s="4">
        <v>198549.06</v>
      </c>
      <c r="AQ55" s="4">
        <v>172101.2</v>
      </c>
      <c r="AR55" s="4" t="s">
        <v>1326</v>
      </c>
      <c r="AS55" s="5">
        <f t="shared" si="0"/>
        <v>1.5095810502283098</v>
      </c>
    </row>
    <row r="56" spans="1:45" ht="14.25" customHeight="1" x14ac:dyDescent="0.55000000000000004">
      <c r="A56" s="4">
        <v>0</v>
      </c>
      <c r="B56" s="4">
        <v>6</v>
      </c>
      <c r="C56" s="4">
        <v>77.63</v>
      </c>
      <c r="D56" s="4">
        <v>7.8</v>
      </c>
      <c r="E56" s="4" t="s">
        <v>2338</v>
      </c>
      <c r="F56" s="4" t="s">
        <v>2407</v>
      </c>
      <c r="G56" s="4" t="s">
        <v>2333</v>
      </c>
      <c r="H56" s="4" t="s">
        <v>2408</v>
      </c>
      <c r="I56" s="4">
        <v>0</v>
      </c>
      <c r="J56" s="4">
        <v>35</v>
      </c>
      <c r="K56" s="4">
        <f t="shared" si="1"/>
        <v>17.43</v>
      </c>
      <c r="L56" s="4">
        <f t="shared" si="2"/>
        <v>14.28</v>
      </c>
      <c r="M56" s="4">
        <f t="shared" si="3"/>
        <v>3.1500000000000004</v>
      </c>
      <c r="N56" s="4">
        <v>6.3</v>
      </c>
      <c r="O56" s="4">
        <v>0</v>
      </c>
      <c r="P56" s="4">
        <v>89</v>
      </c>
      <c r="Q56" s="4">
        <v>19.899999999999999</v>
      </c>
      <c r="R56" s="4">
        <v>6</v>
      </c>
      <c r="S56" s="4">
        <v>18.55</v>
      </c>
      <c r="T56" s="4">
        <v>-18.55</v>
      </c>
      <c r="U56" s="4">
        <v>2.2200000000000002</v>
      </c>
      <c r="V56" s="4">
        <v>49.68</v>
      </c>
      <c r="W56" s="4">
        <v>11.31</v>
      </c>
      <c r="X56" s="4">
        <v>27.06</v>
      </c>
      <c r="Y56" s="4">
        <v>6.21</v>
      </c>
      <c r="Z56" s="4">
        <v>23.8</v>
      </c>
      <c r="AA56" s="4">
        <v>-2.0699999999999998</v>
      </c>
      <c r="AB56" s="4">
        <v>11.94</v>
      </c>
      <c r="AC56" s="4">
        <v>-47.82</v>
      </c>
      <c r="AD56" s="4">
        <v>160</v>
      </c>
      <c r="AE56" s="4">
        <v>1460</v>
      </c>
      <c r="AF56" s="4">
        <v>13.4</v>
      </c>
      <c r="AG56" s="4">
        <v>0.15</v>
      </c>
      <c r="AH56" s="4">
        <v>11</v>
      </c>
      <c r="AI56" s="4">
        <v>151.4</v>
      </c>
      <c r="AJ56" s="4">
        <v>60</v>
      </c>
      <c r="AK56" s="4">
        <v>9</v>
      </c>
      <c r="AL56" s="4">
        <v>9</v>
      </c>
      <c r="AM56" s="4">
        <v>0.05</v>
      </c>
      <c r="AN56" s="4">
        <v>96</v>
      </c>
      <c r="AO56" s="4">
        <v>96.44</v>
      </c>
      <c r="AP56" s="4">
        <v>253189.27</v>
      </c>
      <c r="AQ56" s="4">
        <v>172101.2</v>
      </c>
      <c r="AR56" s="4" t="s">
        <v>285</v>
      </c>
      <c r="AS56" s="5">
        <f t="shared" si="0"/>
        <v>4.628314497716894</v>
      </c>
    </row>
    <row r="57" spans="1:45" ht="14.25" customHeight="1" x14ac:dyDescent="0.55000000000000004">
      <c r="A57" s="4">
        <v>0</v>
      </c>
      <c r="B57" s="4">
        <v>6</v>
      </c>
      <c r="C57" s="4">
        <v>91.79</v>
      </c>
      <c r="D57" s="4">
        <v>7.8</v>
      </c>
      <c r="E57" s="4" t="s">
        <v>2333</v>
      </c>
      <c r="F57" s="4" t="s">
        <v>2409</v>
      </c>
      <c r="G57" s="4" t="s">
        <v>2333</v>
      </c>
      <c r="H57" s="4" t="s">
        <v>2410</v>
      </c>
      <c r="I57" s="4">
        <v>0</v>
      </c>
      <c r="J57" s="4">
        <v>35</v>
      </c>
      <c r="K57" s="4">
        <f t="shared" si="1"/>
        <v>16.48</v>
      </c>
      <c r="L57" s="4">
        <f t="shared" si="2"/>
        <v>16.48</v>
      </c>
      <c r="M57" s="4">
        <f t="shared" si="3"/>
        <v>0</v>
      </c>
      <c r="N57" s="4">
        <v>6.3</v>
      </c>
      <c r="O57" s="4">
        <v>0</v>
      </c>
      <c r="P57" s="4">
        <v>83</v>
      </c>
      <c r="Q57" s="4">
        <v>20.8</v>
      </c>
      <c r="R57" s="4">
        <v>6</v>
      </c>
      <c r="S57" s="4">
        <v>18.68</v>
      </c>
      <c r="T57" s="4">
        <v>-18.68</v>
      </c>
      <c r="U57" s="4">
        <v>2.62</v>
      </c>
      <c r="V57" s="4">
        <v>58.75</v>
      </c>
      <c r="W57" s="4">
        <v>13.38</v>
      </c>
      <c r="X57" s="4">
        <v>32</v>
      </c>
      <c r="Y57" s="4">
        <v>7.34</v>
      </c>
      <c r="Z57" s="4">
        <v>5.62</v>
      </c>
      <c r="AA57" s="4">
        <v>-1.93</v>
      </c>
      <c r="AB57" s="4">
        <v>11.67</v>
      </c>
      <c r="AC57" s="4">
        <v>-47.33</v>
      </c>
      <c r="AD57" s="4">
        <v>160</v>
      </c>
      <c r="AE57" s="4">
        <v>1460</v>
      </c>
      <c r="AF57" s="4">
        <v>13.4</v>
      </c>
      <c r="AG57" s="4">
        <v>0.15</v>
      </c>
      <c r="AH57" s="4">
        <v>8.26</v>
      </c>
      <c r="AI57" s="4">
        <v>37.799999999999997</v>
      </c>
      <c r="AJ57" s="4">
        <v>60</v>
      </c>
      <c r="AK57" s="4">
        <v>9</v>
      </c>
      <c r="AL57" s="4">
        <v>9</v>
      </c>
      <c r="AM57" s="4">
        <v>0.2</v>
      </c>
      <c r="AN57" s="4">
        <v>96</v>
      </c>
      <c r="AO57" s="4">
        <v>97.76</v>
      </c>
      <c r="AP57" s="4">
        <v>231944.51</v>
      </c>
      <c r="AQ57" s="4">
        <v>231944.51</v>
      </c>
      <c r="AR57" s="4" t="s">
        <v>289</v>
      </c>
      <c r="AS57" s="5">
        <f t="shared" si="0"/>
        <v>0</v>
      </c>
    </row>
    <row r="58" spans="1:45" ht="14.25" customHeight="1" x14ac:dyDescent="0.55000000000000004">
      <c r="A58" s="4">
        <v>0</v>
      </c>
      <c r="B58" s="4">
        <v>6</v>
      </c>
      <c r="C58" s="4">
        <v>135.6</v>
      </c>
      <c r="D58" s="4">
        <v>7.8</v>
      </c>
      <c r="E58" s="4" t="s">
        <v>2338</v>
      </c>
      <c r="F58" s="4" t="s">
        <v>2411</v>
      </c>
      <c r="G58" s="4" t="s">
        <v>2333</v>
      </c>
      <c r="H58" s="4" t="s">
        <v>2412</v>
      </c>
      <c r="I58" s="4">
        <v>0</v>
      </c>
      <c r="J58" s="4">
        <v>35</v>
      </c>
      <c r="K58" s="4">
        <f t="shared" si="1"/>
        <v>15.25</v>
      </c>
      <c r="L58" s="4">
        <f t="shared" si="2"/>
        <v>14.28</v>
      </c>
      <c r="M58" s="4">
        <f t="shared" si="3"/>
        <v>0.97000000000000064</v>
      </c>
      <c r="N58" s="4">
        <v>6.3</v>
      </c>
      <c r="O58" s="4">
        <v>0</v>
      </c>
      <c r="P58" s="4">
        <v>94</v>
      </c>
      <c r="Q58" s="4">
        <v>19</v>
      </c>
      <c r="R58" s="4">
        <v>6</v>
      </c>
      <c r="S58" s="4">
        <v>18.27</v>
      </c>
      <c r="T58" s="4">
        <v>-18.27</v>
      </c>
      <c r="U58" s="4">
        <v>3.87</v>
      </c>
      <c r="V58" s="4">
        <v>86.79</v>
      </c>
      <c r="W58" s="4">
        <v>19.760000000000002</v>
      </c>
      <c r="X58" s="4">
        <v>47.27</v>
      </c>
      <c r="Y58" s="4">
        <v>10.85</v>
      </c>
      <c r="Z58" s="4">
        <v>20.82</v>
      </c>
      <c r="AA58" s="4">
        <v>-1.61</v>
      </c>
      <c r="AB58" s="4">
        <v>11.02</v>
      </c>
      <c r="AC58" s="4">
        <v>-48.89</v>
      </c>
      <c r="AD58" s="4">
        <v>160</v>
      </c>
      <c r="AE58" s="4">
        <v>1460</v>
      </c>
      <c r="AF58" s="4">
        <v>13.4</v>
      </c>
      <c r="AG58" s="4">
        <v>0.15</v>
      </c>
      <c r="AH58" s="4">
        <v>4.66</v>
      </c>
      <c r="AI58" s="4">
        <v>151.4</v>
      </c>
      <c r="AJ58" s="4">
        <v>60</v>
      </c>
      <c r="AK58" s="4">
        <v>9</v>
      </c>
      <c r="AL58" s="4">
        <v>9</v>
      </c>
      <c r="AM58" s="4">
        <v>0.05</v>
      </c>
      <c r="AN58" s="4">
        <v>96</v>
      </c>
      <c r="AO58" s="4">
        <v>96.44</v>
      </c>
      <c r="AP58" s="4">
        <v>204238.07999999999</v>
      </c>
      <c r="AQ58" s="4">
        <v>172101.2</v>
      </c>
      <c r="AR58" s="4" t="s">
        <v>294</v>
      </c>
      <c r="AS58" s="5">
        <f t="shared" si="0"/>
        <v>1.8342968036529665</v>
      </c>
    </row>
    <row r="59" spans="1:45" ht="14.25" customHeight="1" x14ac:dyDescent="0.55000000000000004">
      <c r="A59" s="4">
        <v>0</v>
      </c>
      <c r="B59" s="4">
        <v>6</v>
      </c>
      <c r="C59" s="4">
        <v>145.24</v>
      </c>
      <c r="D59" s="4">
        <v>7.8</v>
      </c>
      <c r="E59" s="4" t="s">
        <v>2338</v>
      </c>
      <c r="F59" s="4" t="s">
        <v>2413</v>
      </c>
      <c r="G59" s="4" t="s">
        <v>2333</v>
      </c>
      <c r="H59" s="4" t="s">
        <v>2414</v>
      </c>
      <c r="I59" s="4">
        <v>0</v>
      </c>
      <c r="J59" s="4">
        <v>35</v>
      </c>
      <c r="K59" s="4">
        <f t="shared" si="1"/>
        <v>15.1</v>
      </c>
      <c r="L59" s="4">
        <f t="shared" si="2"/>
        <v>14.28</v>
      </c>
      <c r="M59" s="4">
        <f t="shared" si="3"/>
        <v>0.82000000000000028</v>
      </c>
      <c r="N59" s="4">
        <v>6.3</v>
      </c>
      <c r="O59" s="4">
        <v>0</v>
      </c>
      <c r="P59" s="4">
        <v>94</v>
      </c>
      <c r="Q59" s="4">
        <v>19.5</v>
      </c>
      <c r="R59" s="4">
        <v>6</v>
      </c>
      <c r="S59" s="4">
        <v>18.77</v>
      </c>
      <c r="T59" s="4">
        <v>-18.77</v>
      </c>
      <c r="U59" s="4">
        <v>4.1500000000000004</v>
      </c>
      <c r="V59" s="4">
        <v>92.96</v>
      </c>
      <c r="W59" s="4">
        <v>21.16</v>
      </c>
      <c r="X59" s="4">
        <v>50.63</v>
      </c>
      <c r="Y59" s="4">
        <v>11.62</v>
      </c>
      <c r="Z59" s="4">
        <v>20.62</v>
      </c>
      <c r="AA59" s="4">
        <v>-1.55</v>
      </c>
      <c r="AB59" s="4">
        <v>10.91</v>
      </c>
      <c r="AC59" s="4">
        <v>-46.99</v>
      </c>
      <c r="AD59" s="4">
        <v>160</v>
      </c>
      <c r="AE59" s="4">
        <v>1460</v>
      </c>
      <c r="AF59" s="4">
        <v>13.4</v>
      </c>
      <c r="AG59" s="4">
        <v>0.15</v>
      </c>
      <c r="AH59" s="4">
        <v>4.26</v>
      </c>
      <c r="AI59" s="4">
        <v>151.4</v>
      </c>
      <c r="AJ59" s="4">
        <v>60</v>
      </c>
      <c r="AK59" s="4">
        <v>9</v>
      </c>
      <c r="AL59" s="4">
        <v>9</v>
      </c>
      <c r="AM59" s="4">
        <v>0.05</v>
      </c>
      <c r="AN59" s="4">
        <v>96</v>
      </c>
      <c r="AO59" s="4">
        <v>96.44</v>
      </c>
      <c r="AP59" s="4">
        <v>201047.03</v>
      </c>
      <c r="AQ59" s="4">
        <v>172101.2</v>
      </c>
      <c r="AR59" s="4" t="s">
        <v>298</v>
      </c>
      <c r="AS59" s="5">
        <f t="shared" si="0"/>
        <v>1.6521592465753416</v>
      </c>
    </row>
    <row r="60" spans="1:45" ht="14.25" customHeight="1" x14ac:dyDescent="0.55000000000000004">
      <c r="A60" s="4">
        <v>0</v>
      </c>
      <c r="B60" s="4">
        <v>6</v>
      </c>
      <c r="C60" s="4">
        <v>88.6</v>
      </c>
      <c r="D60" s="4">
        <v>7.8</v>
      </c>
      <c r="E60" s="4" t="s">
        <v>2338</v>
      </c>
      <c r="F60" s="4" t="s">
        <v>2415</v>
      </c>
      <c r="G60" s="4" t="s">
        <v>2333</v>
      </c>
      <c r="H60" s="4" t="s">
        <v>2416</v>
      </c>
      <c r="I60" s="4">
        <v>0</v>
      </c>
      <c r="J60" s="4">
        <v>35</v>
      </c>
      <c r="K60" s="4">
        <f t="shared" si="1"/>
        <v>16.649999999999999</v>
      </c>
      <c r="L60" s="4">
        <f t="shared" si="2"/>
        <v>14.28</v>
      </c>
      <c r="M60" s="4">
        <f t="shared" si="3"/>
        <v>2.3699999999999992</v>
      </c>
      <c r="N60" s="4">
        <v>6.3</v>
      </c>
      <c r="O60" s="4">
        <v>0</v>
      </c>
      <c r="P60" s="4">
        <v>84</v>
      </c>
      <c r="Q60" s="4">
        <v>20.7</v>
      </c>
      <c r="R60" s="4">
        <v>6</v>
      </c>
      <c r="S60" s="4">
        <v>18.71</v>
      </c>
      <c r="T60" s="4">
        <v>-18.71</v>
      </c>
      <c r="U60" s="4">
        <v>2.5299999999999998</v>
      </c>
      <c r="V60" s="4">
        <v>56.7</v>
      </c>
      <c r="W60" s="4">
        <v>12.91</v>
      </c>
      <c r="X60" s="4">
        <v>30.88</v>
      </c>
      <c r="Y60" s="4">
        <v>7.09</v>
      </c>
      <c r="Z60" s="4">
        <v>22.74</v>
      </c>
      <c r="AA60" s="4">
        <v>-1.96</v>
      </c>
      <c r="AB60" s="4">
        <v>11.72</v>
      </c>
      <c r="AC60" s="4">
        <v>-47.22</v>
      </c>
      <c r="AD60" s="4">
        <v>160</v>
      </c>
      <c r="AE60" s="4">
        <v>1460</v>
      </c>
      <c r="AF60" s="4">
        <v>13.4</v>
      </c>
      <c r="AG60" s="4">
        <v>0.15</v>
      </c>
      <c r="AH60" s="4">
        <v>8.75</v>
      </c>
      <c r="AI60" s="4">
        <v>151.4</v>
      </c>
      <c r="AJ60" s="4">
        <v>60</v>
      </c>
      <c r="AK60" s="4">
        <v>9</v>
      </c>
      <c r="AL60" s="4">
        <v>9</v>
      </c>
      <c r="AM60" s="4">
        <v>0.05</v>
      </c>
      <c r="AN60" s="4">
        <v>96</v>
      </c>
      <c r="AO60" s="4">
        <v>96.44</v>
      </c>
      <c r="AP60" s="4">
        <v>235723.8</v>
      </c>
      <c r="AQ60" s="4">
        <v>172101.2</v>
      </c>
      <c r="AR60" s="4" t="s">
        <v>303</v>
      </c>
      <c r="AS60" s="5">
        <f t="shared" si="0"/>
        <v>3.6314269406392681</v>
      </c>
    </row>
    <row r="61" spans="1:45" ht="14.25" customHeight="1" x14ac:dyDescent="0.55000000000000004">
      <c r="A61" s="4">
        <v>0</v>
      </c>
      <c r="B61" s="4">
        <v>6</v>
      </c>
      <c r="C61" s="4">
        <v>108.08</v>
      </c>
      <c r="D61" s="4">
        <v>7.8</v>
      </c>
      <c r="E61" s="4" t="s">
        <v>2338</v>
      </c>
      <c r="F61" s="4" t="s">
        <v>2417</v>
      </c>
      <c r="G61" s="4" t="s">
        <v>2333</v>
      </c>
      <c r="H61" s="4" t="s">
        <v>2418</v>
      </c>
      <c r="I61" s="4">
        <v>0</v>
      </c>
      <c r="J61" s="4">
        <v>35</v>
      </c>
      <c r="K61" s="4">
        <f t="shared" si="1"/>
        <v>15.85</v>
      </c>
      <c r="L61" s="4">
        <f t="shared" si="2"/>
        <v>14.28</v>
      </c>
      <c r="M61" s="4">
        <f t="shared" si="3"/>
        <v>1.5700000000000003</v>
      </c>
      <c r="N61" s="4">
        <v>6.3</v>
      </c>
      <c r="O61" s="4">
        <v>0</v>
      </c>
      <c r="P61" s="4">
        <v>97</v>
      </c>
      <c r="Q61" s="4">
        <v>17.7</v>
      </c>
      <c r="R61" s="4">
        <v>6</v>
      </c>
      <c r="S61" s="4">
        <v>17.34</v>
      </c>
      <c r="T61" s="4">
        <v>-17.34</v>
      </c>
      <c r="U61" s="4">
        <v>3.09</v>
      </c>
      <c r="V61" s="4">
        <v>69.17</v>
      </c>
      <c r="W61" s="4">
        <v>15.75</v>
      </c>
      <c r="X61" s="4">
        <v>37.67</v>
      </c>
      <c r="Y61" s="4">
        <v>8.65</v>
      </c>
      <c r="Z61" s="4">
        <v>21.65</v>
      </c>
      <c r="AA61" s="4">
        <v>-1.8</v>
      </c>
      <c r="AB61" s="4">
        <v>11.4</v>
      </c>
      <c r="AC61" s="4">
        <v>-52.93</v>
      </c>
      <c r="AD61" s="4">
        <v>160</v>
      </c>
      <c r="AE61" s="4">
        <v>1460</v>
      </c>
      <c r="AF61" s="4">
        <v>13.4</v>
      </c>
      <c r="AG61" s="4">
        <v>0.15</v>
      </c>
      <c r="AH61" s="4">
        <v>6.42</v>
      </c>
      <c r="AI61" s="4">
        <v>151.4</v>
      </c>
      <c r="AJ61" s="4">
        <v>60</v>
      </c>
      <c r="AK61" s="4">
        <v>9</v>
      </c>
      <c r="AL61" s="4">
        <v>9</v>
      </c>
      <c r="AM61" s="4">
        <v>0.05</v>
      </c>
      <c r="AN61" s="4">
        <v>96</v>
      </c>
      <c r="AO61" s="4">
        <v>96.44</v>
      </c>
      <c r="AP61" s="4">
        <v>217827.22</v>
      </c>
      <c r="AQ61" s="4">
        <v>172101.2</v>
      </c>
      <c r="AR61" s="4" t="s">
        <v>1347</v>
      </c>
      <c r="AS61" s="5">
        <f t="shared" si="0"/>
        <v>2.6099326484018257</v>
      </c>
    </row>
    <row r="62" spans="1:45" ht="14.25" customHeight="1" x14ac:dyDescent="0.55000000000000004">
      <c r="A62" s="4">
        <v>0</v>
      </c>
      <c r="B62" s="4">
        <v>6</v>
      </c>
      <c r="C62" s="4">
        <v>73.17</v>
      </c>
      <c r="D62" s="4">
        <v>7.8</v>
      </c>
      <c r="E62" s="4" t="s">
        <v>2338</v>
      </c>
      <c r="F62" s="4" t="s">
        <v>2419</v>
      </c>
      <c r="G62" s="4" t="s">
        <v>2333</v>
      </c>
      <c r="H62" s="4" t="s">
        <v>2420</v>
      </c>
      <c r="I62" s="4">
        <v>0</v>
      </c>
      <c r="J62" s="4">
        <v>35</v>
      </c>
      <c r="K62" s="4">
        <f t="shared" si="1"/>
        <v>17.88</v>
      </c>
      <c r="L62" s="4">
        <f t="shared" si="2"/>
        <v>14.28</v>
      </c>
      <c r="M62" s="4">
        <f t="shared" si="3"/>
        <v>3.5999999999999996</v>
      </c>
      <c r="N62" s="4">
        <v>6.3</v>
      </c>
      <c r="O62" s="4">
        <v>0</v>
      </c>
      <c r="P62" s="4">
        <v>77</v>
      </c>
      <c r="Q62" s="4">
        <v>21.2</v>
      </c>
      <c r="R62" s="4">
        <v>6</v>
      </c>
      <c r="S62" s="4">
        <v>18.3</v>
      </c>
      <c r="T62" s="4">
        <v>-18.3</v>
      </c>
      <c r="U62" s="4">
        <v>2.09</v>
      </c>
      <c r="V62" s="4">
        <v>46.83</v>
      </c>
      <c r="W62" s="4">
        <v>10.66</v>
      </c>
      <c r="X62" s="4">
        <v>25.51</v>
      </c>
      <c r="Y62" s="4">
        <v>5.85</v>
      </c>
      <c r="Z62" s="4">
        <v>24.42</v>
      </c>
      <c r="AA62" s="4">
        <v>-2.12</v>
      </c>
      <c r="AB62" s="4">
        <v>12.04</v>
      </c>
      <c r="AC62" s="4">
        <v>-48.79</v>
      </c>
      <c r="AD62" s="4">
        <v>160</v>
      </c>
      <c r="AE62" s="4">
        <v>1460</v>
      </c>
      <c r="AF62" s="4">
        <v>13.4</v>
      </c>
      <c r="AG62" s="4">
        <v>0.15</v>
      </c>
      <c r="AH62" s="4">
        <v>12.29</v>
      </c>
      <c r="AI62" s="4">
        <v>151.4</v>
      </c>
      <c r="AJ62" s="4">
        <v>60</v>
      </c>
      <c r="AK62" s="4">
        <v>9</v>
      </c>
      <c r="AL62" s="4">
        <v>9</v>
      </c>
      <c r="AM62" s="4">
        <v>0.05</v>
      </c>
      <c r="AN62" s="4">
        <v>96</v>
      </c>
      <c r="AO62" s="4">
        <v>96.44</v>
      </c>
      <c r="AP62" s="4">
        <v>263390.05</v>
      </c>
      <c r="AQ62" s="4">
        <v>172101.2</v>
      </c>
      <c r="AR62" s="4" t="s">
        <v>307</v>
      </c>
      <c r="AS62" s="5">
        <f t="shared" si="0"/>
        <v>5.2105507990867563</v>
      </c>
    </row>
    <row r="63" spans="1:45" ht="14.25" customHeight="1" x14ac:dyDescent="0.55000000000000004">
      <c r="A63" s="4">
        <v>0</v>
      </c>
      <c r="B63" s="4">
        <v>6</v>
      </c>
      <c r="C63" s="4">
        <v>94.23</v>
      </c>
      <c r="D63" s="4">
        <v>7.8</v>
      </c>
      <c r="E63" s="4" t="s">
        <v>2338</v>
      </c>
      <c r="F63" s="4" t="s">
        <v>2421</v>
      </c>
      <c r="G63" s="4" t="s">
        <v>2333</v>
      </c>
      <c r="H63" s="4" t="s">
        <v>2422</v>
      </c>
      <c r="I63" s="4">
        <v>0</v>
      </c>
      <c r="J63" s="4">
        <v>35</v>
      </c>
      <c r="K63" s="4">
        <f t="shared" si="1"/>
        <v>16.37</v>
      </c>
      <c r="L63" s="4">
        <f t="shared" si="2"/>
        <v>14.28</v>
      </c>
      <c r="M63" s="4">
        <f t="shared" si="3"/>
        <v>2.0900000000000016</v>
      </c>
      <c r="N63" s="4">
        <v>6.3</v>
      </c>
      <c r="O63" s="4">
        <v>0</v>
      </c>
      <c r="P63" s="4">
        <v>61</v>
      </c>
      <c r="Q63" s="4">
        <v>23</v>
      </c>
      <c r="R63" s="4">
        <v>6</v>
      </c>
      <c r="S63" s="4">
        <v>17.84</v>
      </c>
      <c r="T63" s="4">
        <v>-17.84</v>
      </c>
      <c r="U63" s="4">
        <v>2.69</v>
      </c>
      <c r="V63" s="4">
        <v>60.31</v>
      </c>
      <c r="W63" s="4">
        <v>13.73</v>
      </c>
      <c r="X63" s="4">
        <v>32.85</v>
      </c>
      <c r="Y63" s="4">
        <v>7.54</v>
      </c>
      <c r="Z63" s="4">
        <v>22.35</v>
      </c>
      <c r="AA63" s="4">
        <v>-1.91</v>
      </c>
      <c r="AB63" s="4">
        <v>11.62</v>
      </c>
      <c r="AC63" s="4">
        <v>-50.66</v>
      </c>
      <c r="AD63" s="4">
        <v>160</v>
      </c>
      <c r="AE63" s="4">
        <v>1460</v>
      </c>
      <c r="AF63" s="4">
        <v>13.4</v>
      </c>
      <c r="AG63" s="4">
        <v>0.15</v>
      </c>
      <c r="AH63" s="4">
        <v>7.92</v>
      </c>
      <c r="AI63" s="4">
        <v>151.4</v>
      </c>
      <c r="AJ63" s="4">
        <v>60</v>
      </c>
      <c r="AK63" s="4">
        <v>9</v>
      </c>
      <c r="AL63" s="4">
        <v>9</v>
      </c>
      <c r="AM63" s="4">
        <v>0.05</v>
      </c>
      <c r="AN63" s="4">
        <v>96</v>
      </c>
      <c r="AO63" s="4">
        <v>96.44</v>
      </c>
      <c r="AP63" s="4">
        <v>229339.01</v>
      </c>
      <c r="AQ63" s="4">
        <v>172101.2</v>
      </c>
      <c r="AR63" s="4" t="s">
        <v>312</v>
      </c>
      <c r="AS63" s="5">
        <f t="shared" si="0"/>
        <v>3.2669982876712327</v>
      </c>
    </row>
    <row r="64" spans="1:45" ht="14.25" customHeight="1" x14ac:dyDescent="0.55000000000000004">
      <c r="A64" s="4">
        <v>0</v>
      </c>
      <c r="B64" s="4">
        <v>6</v>
      </c>
      <c r="C64" s="4">
        <v>80.819999999999993</v>
      </c>
      <c r="D64" s="4">
        <v>7.8</v>
      </c>
      <c r="E64" s="4" t="s">
        <v>2338</v>
      </c>
      <c r="F64" s="4" t="s">
        <v>2423</v>
      </c>
      <c r="G64" s="4" t="s">
        <v>2333</v>
      </c>
      <c r="H64" s="4" t="s">
        <v>2424</v>
      </c>
      <c r="I64" s="4">
        <v>0</v>
      </c>
      <c r="J64" s="4">
        <v>35</v>
      </c>
      <c r="K64" s="4">
        <f t="shared" si="1"/>
        <v>17.16</v>
      </c>
      <c r="L64" s="4">
        <f t="shared" si="2"/>
        <v>14.28</v>
      </c>
      <c r="M64" s="4">
        <f t="shared" si="3"/>
        <v>2.8800000000000008</v>
      </c>
      <c r="N64" s="4">
        <v>6.3</v>
      </c>
      <c r="O64" s="4">
        <v>0</v>
      </c>
      <c r="P64" s="4">
        <v>66</v>
      </c>
      <c r="Q64" s="4">
        <v>22.6</v>
      </c>
      <c r="R64" s="4">
        <v>6</v>
      </c>
      <c r="S64" s="4">
        <v>18.16</v>
      </c>
      <c r="T64" s="4">
        <v>-18.16</v>
      </c>
      <c r="U64" s="4">
        <v>2.31</v>
      </c>
      <c r="V64" s="4">
        <v>51.73</v>
      </c>
      <c r="W64" s="4">
        <v>11.78</v>
      </c>
      <c r="X64" s="4">
        <v>28.17</v>
      </c>
      <c r="Y64" s="4">
        <v>6.47</v>
      </c>
      <c r="Z64" s="4">
        <v>23.43</v>
      </c>
      <c r="AA64" s="4">
        <v>-2.04</v>
      </c>
      <c r="AB64" s="4">
        <v>11.88</v>
      </c>
      <c r="AC64" s="4">
        <v>-49.32</v>
      </c>
      <c r="AD64" s="4">
        <v>160</v>
      </c>
      <c r="AE64" s="4">
        <v>1460</v>
      </c>
      <c r="AF64" s="4">
        <v>13.4</v>
      </c>
      <c r="AG64" s="4">
        <v>0.15</v>
      </c>
      <c r="AH64" s="4">
        <v>10.24</v>
      </c>
      <c r="AI64" s="4">
        <v>151.4</v>
      </c>
      <c r="AJ64" s="4">
        <v>60</v>
      </c>
      <c r="AK64" s="4">
        <v>9</v>
      </c>
      <c r="AL64" s="4">
        <v>9</v>
      </c>
      <c r="AM64" s="4">
        <v>0.05</v>
      </c>
      <c r="AN64" s="4">
        <v>96</v>
      </c>
      <c r="AO64" s="4">
        <v>96.44</v>
      </c>
      <c r="AP64" s="4">
        <v>247187.04</v>
      </c>
      <c r="AQ64" s="4">
        <v>172101.2</v>
      </c>
      <c r="AR64" s="4" t="s">
        <v>317</v>
      </c>
      <c r="AS64" s="5">
        <f t="shared" si="0"/>
        <v>4.2857214611872143</v>
      </c>
    </row>
    <row r="65" spans="1:45" ht="14.25" customHeight="1" x14ac:dyDescent="0.55000000000000004">
      <c r="A65" s="4">
        <v>0</v>
      </c>
      <c r="B65" s="4">
        <v>6</v>
      </c>
      <c r="C65" s="4">
        <v>97.23</v>
      </c>
      <c r="D65" s="4">
        <v>7.8</v>
      </c>
      <c r="E65" s="4" t="s">
        <v>2338</v>
      </c>
      <c r="F65" s="4" t="s">
        <v>2425</v>
      </c>
      <c r="G65" s="4" t="s">
        <v>2333</v>
      </c>
      <c r="H65" s="4" t="s">
        <v>2426</v>
      </c>
      <c r="I65" s="4">
        <v>0</v>
      </c>
      <c r="J65" s="4">
        <v>35</v>
      </c>
      <c r="K65" s="4">
        <f t="shared" si="1"/>
        <v>16.239999999999998</v>
      </c>
      <c r="L65" s="4">
        <f t="shared" si="2"/>
        <v>14.28</v>
      </c>
      <c r="M65" s="4">
        <f t="shared" si="3"/>
        <v>1.9599999999999991</v>
      </c>
      <c r="N65" s="4">
        <v>6.3</v>
      </c>
      <c r="O65" s="4">
        <v>0</v>
      </c>
      <c r="P65" s="4">
        <v>84</v>
      </c>
      <c r="Q65" s="4">
        <v>20.9</v>
      </c>
      <c r="R65" s="4">
        <v>6</v>
      </c>
      <c r="S65" s="4">
        <v>18.899999999999999</v>
      </c>
      <c r="T65" s="4">
        <v>-18.899999999999999</v>
      </c>
      <c r="U65" s="4">
        <v>2.78</v>
      </c>
      <c r="V65" s="4">
        <v>62.23</v>
      </c>
      <c r="W65" s="4">
        <v>14.17</v>
      </c>
      <c r="X65" s="4">
        <v>33.89</v>
      </c>
      <c r="Y65" s="4">
        <v>7.78</v>
      </c>
      <c r="Z65" s="4">
        <v>22.17</v>
      </c>
      <c r="AA65" s="4">
        <v>-1.89</v>
      </c>
      <c r="AB65" s="4">
        <v>11.57</v>
      </c>
      <c r="AC65" s="4">
        <v>-46.51</v>
      </c>
      <c r="AD65" s="4">
        <v>160</v>
      </c>
      <c r="AE65" s="4">
        <v>1460</v>
      </c>
      <c r="AF65" s="4">
        <v>13.4</v>
      </c>
      <c r="AG65" s="4">
        <v>0.15</v>
      </c>
      <c r="AH65" s="4">
        <v>7.54</v>
      </c>
      <c r="AI65" s="4">
        <v>151.4</v>
      </c>
      <c r="AJ65" s="4">
        <v>60</v>
      </c>
      <c r="AK65" s="4">
        <v>9</v>
      </c>
      <c r="AL65" s="4">
        <v>9</v>
      </c>
      <c r="AM65" s="4">
        <v>0.05</v>
      </c>
      <c r="AN65" s="4">
        <v>96</v>
      </c>
      <c r="AO65" s="4">
        <v>96.44</v>
      </c>
      <c r="AP65" s="4">
        <v>226408.39</v>
      </c>
      <c r="AQ65" s="4">
        <v>172101.2</v>
      </c>
      <c r="AR65" s="4" t="s">
        <v>322</v>
      </c>
      <c r="AS65" s="5">
        <f t="shared" si="0"/>
        <v>3.0997254566210048</v>
      </c>
    </row>
    <row r="66" spans="1:45" ht="14.25" customHeight="1" x14ac:dyDescent="0.55000000000000004">
      <c r="A66" s="4">
        <v>0</v>
      </c>
      <c r="B66" s="4">
        <v>6</v>
      </c>
      <c r="C66" s="4">
        <v>168.73</v>
      </c>
      <c r="D66" s="4">
        <v>7.8</v>
      </c>
      <c r="E66" s="4" t="s">
        <v>2338</v>
      </c>
      <c r="F66" s="4" t="s">
        <v>2427</v>
      </c>
      <c r="G66" s="4" t="s">
        <v>2333</v>
      </c>
      <c r="H66" s="4" t="s">
        <v>2428</v>
      </c>
      <c r="I66" s="4">
        <v>0</v>
      </c>
      <c r="J66" s="4">
        <v>35</v>
      </c>
      <c r="K66" s="4">
        <f t="shared" si="1"/>
        <v>14.84</v>
      </c>
      <c r="L66" s="4">
        <f t="shared" si="2"/>
        <v>14.28</v>
      </c>
      <c r="M66" s="4">
        <f t="shared" si="3"/>
        <v>0.5600000000000005</v>
      </c>
      <c r="N66" s="4">
        <v>6.3</v>
      </c>
      <c r="O66" s="4">
        <v>0</v>
      </c>
      <c r="P66" s="4">
        <v>91</v>
      </c>
      <c r="Q66" s="4">
        <v>19.600000000000001</v>
      </c>
      <c r="R66" s="4">
        <v>6</v>
      </c>
      <c r="S66" s="4">
        <v>18.5</v>
      </c>
      <c r="T66" s="4">
        <v>-18.5</v>
      </c>
      <c r="U66" s="4">
        <v>4.82</v>
      </c>
      <c r="V66" s="4">
        <v>107.98</v>
      </c>
      <c r="W66" s="4">
        <v>24.59</v>
      </c>
      <c r="X66" s="4">
        <v>58.81</v>
      </c>
      <c r="Y66" s="4">
        <v>13.5</v>
      </c>
      <c r="Z66" s="4">
        <v>20.27</v>
      </c>
      <c r="AA66" s="4">
        <v>-1.43</v>
      </c>
      <c r="AB66" s="4">
        <v>10.66</v>
      </c>
      <c r="AC66" s="4">
        <v>-48</v>
      </c>
      <c r="AD66" s="4">
        <v>160</v>
      </c>
      <c r="AE66" s="4">
        <v>1460</v>
      </c>
      <c r="AF66" s="4">
        <v>13.4</v>
      </c>
      <c r="AG66" s="4">
        <v>0.15</v>
      </c>
      <c r="AH66" s="4">
        <v>3.51</v>
      </c>
      <c r="AI66" s="4">
        <v>151.4</v>
      </c>
      <c r="AJ66" s="4">
        <v>60</v>
      </c>
      <c r="AK66" s="4">
        <v>9</v>
      </c>
      <c r="AL66" s="4">
        <v>9</v>
      </c>
      <c r="AM66" s="4">
        <v>0.05</v>
      </c>
      <c r="AN66" s="4">
        <v>96</v>
      </c>
      <c r="AO66" s="4">
        <v>96.44</v>
      </c>
      <c r="AP66" s="4">
        <v>195150.63</v>
      </c>
      <c r="AQ66" s="4">
        <v>172101.2</v>
      </c>
      <c r="AR66" s="4" t="s">
        <v>327</v>
      </c>
      <c r="AS66" s="5">
        <f t="shared" si="0"/>
        <v>1.3156067351598169</v>
      </c>
    </row>
    <row r="67" spans="1:45" ht="14.25" customHeight="1" x14ac:dyDescent="0.55000000000000004">
      <c r="A67" s="4">
        <v>0</v>
      </c>
      <c r="B67" s="4">
        <v>6</v>
      </c>
      <c r="C67" s="4">
        <v>96.45</v>
      </c>
      <c r="D67" s="4">
        <v>7.8</v>
      </c>
      <c r="E67" s="4" t="s">
        <v>2338</v>
      </c>
      <c r="F67" s="4" t="s">
        <v>2429</v>
      </c>
      <c r="G67" s="4" t="s">
        <v>2333</v>
      </c>
      <c r="H67" s="4" t="s">
        <v>2430</v>
      </c>
      <c r="I67" s="4">
        <v>0</v>
      </c>
      <c r="J67" s="4">
        <v>35</v>
      </c>
      <c r="K67" s="4">
        <f t="shared" ref="K67:K130" si="4">IF(E67=0,0,
VALUE(MID(E67,2,FIND(",",E67)-2))+
VALUE(MID(F67,2,FIND(",",F67)-2))+
VALUE(MID(G67,2,FIND(",",G67)-2))
)</f>
        <v>16.27</v>
      </c>
      <c r="L67" s="4">
        <f t="shared" ref="L67:L130" si="5">IF(E67=0,0,
VALUE(MID(E67,FIND(",",E67)+1,FIND("]",E67)-FIND(",",E67)-1))+
VALUE(MID(F67,FIND(",",F67)+1,FIND("]",F67)-FIND(",",F67)-1))+
VALUE(MID(G67,FIND(",",G67)+1,FIND("]",G67)-FIND(",",G67)-1))
)</f>
        <v>14.28</v>
      </c>
      <c r="M67" s="4">
        <f t="shared" ref="M67:M130" si="6">(K67-L67)</f>
        <v>1.9900000000000002</v>
      </c>
      <c r="N67" s="4">
        <v>6.3</v>
      </c>
      <c r="O67" s="4">
        <v>0</v>
      </c>
      <c r="P67" s="4">
        <v>62</v>
      </c>
      <c r="Q67" s="4">
        <v>23.3</v>
      </c>
      <c r="R67" s="4">
        <v>6</v>
      </c>
      <c r="S67" s="4">
        <v>18.25</v>
      </c>
      <c r="T67" s="4">
        <v>-18.25</v>
      </c>
      <c r="U67" s="4">
        <v>2.76</v>
      </c>
      <c r="V67" s="4">
        <v>61.73</v>
      </c>
      <c r="W67" s="4">
        <v>14.05</v>
      </c>
      <c r="X67" s="4">
        <v>33.619999999999997</v>
      </c>
      <c r="Y67" s="4">
        <v>7.72</v>
      </c>
      <c r="Z67" s="4">
        <v>22.21</v>
      </c>
      <c r="AA67" s="4">
        <v>-1.89</v>
      </c>
      <c r="AB67" s="4">
        <v>11.58</v>
      </c>
      <c r="AC67" s="4">
        <v>-48.96</v>
      </c>
      <c r="AD67" s="4">
        <v>160</v>
      </c>
      <c r="AE67" s="4">
        <v>1460</v>
      </c>
      <c r="AF67" s="4">
        <v>13.4</v>
      </c>
      <c r="AG67" s="4">
        <v>0.15</v>
      </c>
      <c r="AH67" s="4">
        <v>7.63</v>
      </c>
      <c r="AI67" s="4">
        <v>151.4</v>
      </c>
      <c r="AJ67" s="4">
        <v>60</v>
      </c>
      <c r="AK67" s="4">
        <v>9</v>
      </c>
      <c r="AL67" s="4">
        <v>9</v>
      </c>
      <c r="AM67" s="4">
        <v>0.05</v>
      </c>
      <c r="AN67" s="4">
        <v>96</v>
      </c>
      <c r="AO67" s="4">
        <v>96.44</v>
      </c>
      <c r="AP67" s="4">
        <v>227143.07</v>
      </c>
      <c r="AQ67" s="4">
        <v>172101.2</v>
      </c>
      <c r="AR67" s="4" t="s">
        <v>331</v>
      </c>
      <c r="AS67" s="5">
        <f t="shared" si="0"/>
        <v>3.1416592465753421</v>
      </c>
    </row>
    <row r="68" spans="1:45" ht="14.25" customHeight="1" x14ac:dyDescent="0.55000000000000004">
      <c r="A68" s="4">
        <v>0</v>
      </c>
      <c r="B68" s="4">
        <v>6</v>
      </c>
      <c r="C68" s="4">
        <v>75.599999999999994</v>
      </c>
      <c r="D68" s="4">
        <v>7.8</v>
      </c>
      <c r="E68" s="4" t="s">
        <v>2338</v>
      </c>
      <c r="F68" s="4" t="s">
        <v>2431</v>
      </c>
      <c r="G68" s="4" t="s">
        <v>2333</v>
      </c>
      <c r="H68" s="4" t="s">
        <v>2432</v>
      </c>
      <c r="I68" s="4">
        <v>0</v>
      </c>
      <c r="J68" s="4">
        <v>35</v>
      </c>
      <c r="K68" s="4">
        <f t="shared" si="4"/>
        <v>17.62</v>
      </c>
      <c r="L68" s="4">
        <f t="shared" si="5"/>
        <v>14.28</v>
      </c>
      <c r="M68" s="4">
        <f t="shared" si="6"/>
        <v>3.3400000000000016</v>
      </c>
      <c r="N68" s="4">
        <v>6.3</v>
      </c>
      <c r="O68" s="4">
        <v>0</v>
      </c>
      <c r="P68" s="4">
        <v>84</v>
      </c>
      <c r="Q68" s="4">
        <v>20.5</v>
      </c>
      <c r="R68" s="4">
        <v>6</v>
      </c>
      <c r="S68" s="4">
        <v>18.510000000000002</v>
      </c>
      <c r="T68" s="4">
        <v>-18.510000000000002</v>
      </c>
      <c r="U68" s="4">
        <v>2.16</v>
      </c>
      <c r="V68" s="4">
        <v>48.38</v>
      </c>
      <c r="W68" s="4">
        <v>11.02</v>
      </c>
      <c r="X68" s="4">
        <v>26.35</v>
      </c>
      <c r="Y68" s="4">
        <v>6.05</v>
      </c>
      <c r="Z68" s="4">
        <v>24.06</v>
      </c>
      <c r="AA68" s="4">
        <v>-2.09</v>
      </c>
      <c r="AB68" s="4">
        <v>11.99</v>
      </c>
      <c r="AC68" s="4">
        <v>-47.96</v>
      </c>
      <c r="AD68" s="4">
        <v>160</v>
      </c>
      <c r="AE68" s="4">
        <v>1460</v>
      </c>
      <c r="AF68" s="4">
        <v>13.4</v>
      </c>
      <c r="AG68" s="4">
        <v>0.15</v>
      </c>
      <c r="AH68" s="4">
        <v>11.55</v>
      </c>
      <c r="AI68" s="4">
        <v>151.4</v>
      </c>
      <c r="AJ68" s="4">
        <v>60</v>
      </c>
      <c r="AK68" s="4">
        <v>9</v>
      </c>
      <c r="AL68" s="4">
        <v>9</v>
      </c>
      <c r="AM68" s="4">
        <v>0.05</v>
      </c>
      <c r="AN68" s="4">
        <v>96</v>
      </c>
      <c r="AO68" s="4">
        <v>96.44</v>
      </c>
      <c r="AP68" s="4">
        <v>257527.95</v>
      </c>
      <c r="AQ68" s="4">
        <v>172101.2</v>
      </c>
      <c r="AR68" s="4" t="s">
        <v>335</v>
      </c>
      <c r="AS68" s="5">
        <f t="shared" si="0"/>
        <v>4.8759560502283108</v>
      </c>
    </row>
    <row r="69" spans="1:45" ht="14.25" customHeight="1" x14ac:dyDescent="0.55000000000000004">
      <c r="A69" s="4">
        <v>0</v>
      </c>
      <c r="B69" s="4">
        <v>6</v>
      </c>
      <c r="C69" s="4">
        <v>75.260000000000005</v>
      </c>
      <c r="D69" s="4">
        <v>7.8</v>
      </c>
      <c r="E69" s="4" t="s">
        <v>2338</v>
      </c>
      <c r="F69" s="4" t="s">
        <v>2433</v>
      </c>
      <c r="G69" s="4" t="s">
        <v>2333</v>
      </c>
      <c r="H69" s="4" t="s">
        <v>2434</v>
      </c>
      <c r="I69" s="4">
        <v>0</v>
      </c>
      <c r="J69" s="4">
        <v>35</v>
      </c>
      <c r="K69" s="4">
        <f t="shared" si="4"/>
        <v>17.66</v>
      </c>
      <c r="L69" s="4">
        <f t="shared" si="5"/>
        <v>14.28</v>
      </c>
      <c r="M69" s="4">
        <f t="shared" si="6"/>
        <v>3.3800000000000008</v>
      </c>
      <c r="N69" s="4">
        <v>6.3</v>
      </c>
      <c r="O69" s="4">
        <v>0</v>
      </c>
      <c r="P69" s="4">
        <v>89</v>
      </c>
      <c r="Q69" s="4">
        <v>19.399999999999999</v>
      </c>
      <c r="R69" s="4">
        <v>6</v>
      </c>
      <c r="S69" s="4">
        <v>18.059999999999999</v>
      </c>
      <c r="T69" s="4">
        <v>-18.059999999999999</v>
      </c>
      <c r="U69" s="4">
        <v>2.15</v>
      </c>
      <c r="V69" s="4">
        <v>48.16</v>
      </c>
      <c r="W69" s="4">
        <v>10.97</v>
      </c>
      <c r="X69" s="4">
        <v>26.23</v>
      </c>
      <c r="Y69" s="4">
        <v>6.02</v>
      </c>
      <c r="Z69" s="4">
        <v>24.11</v>
      </c>
      <c r="AA69" s="4">
        <v>-2.1</v>
      </c>
      <c r="AB69" s="4">
        <v>11.99</v>
      </c>
      <c r="AC69" s="4">
        <v>-49.77</v>
      </c>
      <c r="AD69" s="4">
        <v>160</v>
      </c>
      <c r="AE69" s="4">
        <v>1460</v>
      </c>
      <c r="AF69" s="4">
        <v>13.4</v>
      </c>
      <c r="AG69" s="4">
        <v>0.15</v>
      </c>
      <c r="AH69" s="4">
        <v>11.65</v>
      </c>
      <c r="AI69" s="4">
        <v>151.4</v>
      </c>
      <c r="AJ69" s="4">
        <v>60</v>
      </c>
      <c r="AK69" s="4">
        <v>9</v>
      </c>
      <c r="AL69" s="4">
        <v>9</v>
      </c>
      <c r="AM69" s="4">
        <v>0.05</v>
      </c>
      <c r="AN69" s="4">
        <v>96</v>
      </c>
      <c r="AO69" s="4">
        <v>96.44</v>
      </c>
      <c r="AP69" s="4">
        <v>258303.64</v>
      </c>
      <c r="AQ69" s="4">
        <v>172101.2</v>
      </c>
      <c r="AR69" s="4" t="s">
        <v>340</v>
      </c>
      <c r="AS69" s="5">
        <f t="shared" si="0"/>
        <v>4.9202305936073056</v>
      </c>
    </row>
    <row r="70" spans="1:45" ht="14.25" customHeight="1" x14ac:dyDescent="0.55000000000000004">
      <c r="A70" s="4">
        <v>0</v>
      </c>
      <c r="B70" s="4">
        <v>6</v>
      </c>
      <c r="C70" s="4">
        <v>136.69</v>
      </c>
      <c r="D70" s="4">
        <v>7.8</v>
      </c>
      <c r="E70" s="4" t="s">
        <v>2333</v>
      </c>
      <c r="F70" s="4" t="s">
        <v>2435</v>
      </c>
      <c r="G70" s="4" t="s">
        <v>2333</v>
      </c>
      <c r="H70" s="4" t="s">
        <v>2436</v>
      </c>
      <c r="I70" s="4">
        <v>0</v>
      </c>
      <c r="J70" s="4">
        <v>35</v>
      </c>
      <c r="K70" s="4">
        <f t="shared" si="4"/>
        <v>15.23</v>
      </c>
      <c r="L70" s="4">
        <f t="shared" si="5"/>
        <v>15.23</v>
      </c>
      <c r="M70" s="4">
        <f t="shared" si="6"/>
        <v>0</v>
      </c>
      <c r="N70" s="4">
        <v>6.3</v>
      </c>
      <c r="O70" s="4">
        <v>0</v>
      </c>
      <c r="P70" s="4">
        <v>92</v>
      </c>
      <c r="Q70" s="4">
        <v>19.100000000000001</v>
      </c>
      <c r="R70" s="4">
        <v>6</v>
      </c>
      <c r="S70" s="4">
        <v>18.13</v>
      </c>
      <c r="T70" s="4">
        <v>-18.13</v>
      </c>
      <c r="U70" s="4">
        <v>3.91</v>
      </c>
      <c r="V70" s="4">
        <v>87.48</v>
      </c>
      <c r="W70" s="4">
        <v>19.920000000000002</v>
      </c>
      <c r="X70" s="4">
        <v>47.65</v>
      </c>
      <c r="Y70" s="4">
        <v>10.94</v>
      </c>
      <c r="Z70" s="4">
        <v>9.06</v>
      </c>
      <c r="AA70" s="4">
        <v>-1.6</v>
      </c>
      <c r="AB70" s="4">
        <v>11.01</v>
      </c>
      <c r="AC70" s="4">
        <v>-49.48</v>
      </c>
      <c r="AD70" s="4">
        <v>160</v>
      </c>
      <c r="AE70" s="4">
        <v>1460</v>
      </c>
      <c r="AF70" s="4">
        <v>13.4</v>
      </c>
      <c r="AG70" s="4">
        <v>0.15</v>
      </c>
      <c r="AH70" s="4">
        <v>4.6100000000000003</v>
      </c>
      <c r="AI70" s="4">
        <v>65.98</v>
      </c>
      <c r="AJ70" s="4">
        <v>60</v>
      </c>
      <c r="AK70" s="4">
        <v>9</v>
      </c>
      <c r="AL70" s="4">
        <v>9</v>
      </c>
      <c r="AM70" s="4">
        <v>0.11</v>
      </c>
      <c r="AN70" s="4">
        <v>96</v>
      </c>
      <c r="AO70" s="4">
        <v>97.01</v>
      </c>
      <c r="AP70" s="4">
        <v>203847.3</v>
      </c>
      <c r="AQ70" s="4">
        <v>203847.3</v>
      </c>
      <c r="AR70" s="4" t="s">
        <v>345</v>
      </c>
      <c r="AS70" s="5">
        <f t="shared" si="0"/>
        <v>0</v>
      </c>
    </row>
    <row r="71" spans="1:45" ht="14.25" customHeight="1" x14ac:dyDescent="0.55000000000000004">
      <c r="A71" s="4">
        <v>0</v>
      </c>
      <c r="B71" s="4">
        <v>6</v>
      </c>
      <c r="C71" s="4">
        <v>115.78</v>
      </c>
      <c r="D71" s="4">
        <v>7.8</v>
      </c>
      <c r="E71" s="4" t="s">
        <v>2338</v>
      </c>
      <c r="F71" s="4" t="s">
        <v>2437</v>
      </c>
      <c r="G71" s="4" t="s">
        <v>2333</v>
      </c>
      <c r="H71" s="4" t="s">
        <v>2438</v>
      </c>
      <c r="I71" s="4">
        <v>0</v>
      </c>
      <c r="J71" s="4">
        <v>35</v>
      </c>
      <c r="K71" s="4">
        <f t="shared" si="4"/>
        <v>15.64</v>
      </c>
      <c r="L71" s="4">
        <f t="shared" si="5"/>
        <v>14.28</v>
      </c>
      <c r="M71" s="4">
        <f t="shared" si="6"/>
        <v>1.3600000000000012</v>
      </c>
      <c r="N71" s="4">
        <v>6.3</v>
      </c>
      <c r="O71" s="4">
        <v>0</v>
      </c>
      <c r="P71" s="4">
        <v>97</v>
      </c>
      <c r="Q71" s="4">
        <v>17.3</v>
      </c>
      <c r="R71" s="4">
        <v>6</v>
      </c>
      <c r="S71" s="4">
        <v>16.940000000000001</v>
      </c>
      <c r="T71" s="4">
        <v>-16.940000000000001</v>
      </c>
      <c r="U71" s="4">
        <v>3.31</v>
      </c>
      <c r="V71" s="4">
        <v>74.099999999999994</v>
      </c>
      <c r="W71" s="4">
        <v>16.87</v>
      </c>
      <c r="X71" s="4">
        <v>40.36</v>
      </c>
      <c r="Y71" s="4">
        <v>9.26</v>
      </c>
      <c r="Z71" s="4">
        <v>21.36</v>
      </c>
      <c r="AA71" s="4">
        <v>-1.74</v>
      </c>
      <c r="AB71" s="4">
        <v>11.28</v>
      </c>
      <c r="AC71" s="4">
        <v>-54.87</v>
      </c>
      <c r="AD71" s="4">
        <v>160</v>
      </c>
      <c r="AE71" s="4">
        <v>1460</v>
      </c>
      <c r="AF71" s="4">
        <v>13.4</v>
      </c>
      <c r="AG71" s="4">
        <v>0.15</v>
      </c>
      <c r="AH71" s="4">
        <v>5.81</v>
      </c>
      <c r="AI71" s="4">
        <v>151.4</v>
      </c>
      <c r="AJ71" s="4">
        <v>60</v>
      </c>
      <c r="AK71" s="4">
        <v>9</v>
      </c>
      <c r="AL71" s="4">
        <v>9</v>
      </c>
      <c r="AM71" s="4">
        <v>0.05</v>
      </c>
      <c r="AN71" s="4">
        <v>96</v>
      </c>
      <c r="AO71" s="4">
        <v>96.44</v>
      </c>
      <c r="AP71" s="4">
        <v>213116.01</v>
      </c>
      <c r="AQ71" s="4">
        <v>172101.2</v>
      </c>
      <c r="AR71" s="4" t="s">
        <v>1385</v>
      </c>
      <c r="AS71" s="5">
        <f t="shared" si="0"/>
        <v>2.3410279680365296</v>
      </c>
    </row>
    <row r="72" spans="1:45" ht="14.25" customHeight="1" x14ac:dyDescent="0.55000000000000004">
      <c r="A72" s="4">
        <v>0</v>
      </c>
      <c r="B72" s="4">
        <v>6</v>
      </c>
      <c r="C72" s="4">
        <v>101.65</v>
      </c>
      <c r="D72" s="4">
        <v>7.8</v>
      </c>
      <c r="E72" s="4" t="s">
        <v>2338</v>
      </c>
      <c r="F72" s="4" t="s">
        <v>2439</v>
      </c>
      <c r="G72" s="4" t="s">
        <v>2333</v>
      </c>
      <c r="H72" s="4" t="s">
        <v>2440</v>
      </c>
      <c r="I72" s="4">
        <v>0</v>
      </c>
      <c r="J72" s="4">
        <v>35</v>
      </c>
      <c r="K72" s="4">
        <f t="shared" si="4"/>
        <v>16.059999999999999</v>
      </c>
      <c r="L72" s="4">
        <f t="shared" si="5"/>
        <v>14.28</v>
      </c>
      <c r="M72" s="4">
        <f t="shared" si="6"/>
        <v>1.7799999999999994</v>
      </c>
      <c r="N72" s="4">
        <v>6.3</v>
      </c>
      <c r="O72" s="4">
        <v>0</v>
      </c>
      <c r="P72" s="4">
        <v>83</v>
      </c>
      <c r="Q72" s="4">
        <v>20.6</v>
      </c>
      <c r="R72" s="4">
        <v>6</v>
      </c>
      <c r="S72" s="4">
        <v>18.48</v>
      </c>
      <c r="T72" s="4">
        <v>-18.48</v>
      </c>
      <c r="U72" s="4">
        <v>2.9</v>
      </c>
      <c r="V72" s="4">
        <v>65.06</v>
      </c>
      <c r="W72" s="4">
        <v>14.81</v>
      </c>
      <c r="X72" s="4">
        <v>35.43</v>
      </c>
      <c r="Y72" s="4">
        <v>8.1300000000000008</v>
      </c>
      <c r="Z72" s="4">
        <v>21.93</v>
      </c>
      <c r="AA72" s="4">
        <v>-1.85</v>
      </c>
      <c r="AB72" s="4">
        <v>11.5</v>
      </c>
      <c r="AC72" s="4">
        <v>-48.07</v>
      </c>
      <c r="AD72" s="4">
        <v>160</v>
      </c>
      <c r="AE72" s="4">
        <v>1460</v>
      </c>
      <c r="AF72" s="4">
        <v>13.4</v>
      </c>
      <c r="AG72" s="4">
        <v>0.15</v>
      </c>
      <c r="AH72" s="4">
        <v>7.04</v>
      </c>
      <c r="AI72" s="4">
        <v>151.4</v>
      </c>
      <c r="AJ72" s="4">
        <v>60</v>
      </c>
      <c r="AK72" s="4">
        <v>9</v>
      </c>
      <c r="AL72" s="4">
        <v>9</v>
      </c>
      <c r="AM72" s="4">
        <v>0.05</v>
      </c>
      <c r="AN72" s="4">
        <v>96</v>
      </c>
      <c r="AO72" s="4">
        <v>96.44</v>
      </c>
      <c r="AP72" s="4">
        <v>222576.23</v>
      </c>
      <c r="AQ72" s="4">
        <v>172101.2</v>
      </c>
      <c r="AR72" s="4" t="s">
        <v>350</v>
      </c>
      <c r="AS72" s="5">
        <f t="shared" si="0"/>
        <v>2.8809948630136986</v>
      </c>
    </row>
    <row r="73" spans="1:45" ht="14.25" customHeight="1" x14ac:dyDescent="0.55000000000000004">
      <c r="A73" s="4">
        <v>0</v>
      </c>
      <c r="B73" s="4">
        <v>6</v>
      </c>
      <c r="C73" s="4">
        <v>127.31</v>
      </c>
      <c r="D73" s="4">
        <v>7.8</v>
      </c>
      <c r="E73" s="4" t="s">
        <v>2333</v>
      </c>
      <c r="F73" s="4" t="s">
        <v>2441</v>
      </c>
      <c r="G73" s="4" t="s">
        <v>2333</v>
      </c>
      <c r="H73" s="4" t="s">
        <v>2442</v>
      </c>
      <c r="I73" s="4">
        <v>0</v>
      </c>
      <c r="J73" s="4">
        <v>35</v>
      </c>
      <c r="K73" s="4">
        <f t="shared" si="4"/>
        <v>15.39</v>
      </c>
      <c r="L73" s="4">
        <f t="shared" si="5"/>
        <v>15.39</v>
      </c>
      <c r="M73" s="4">
        <f t="shared" si="6"/>
        <v>0</v>
      </c>
      <c r="N73" s="4">
        <v>6.3</v>
      </c>
      <c r="O73" s="4">
        <v>0</v>
      </c>
      <c r="P73" s="4">
        <v>95</v>
      </c>
      <c r="Q73" s="4">
        <v>18.600000000000001</v>
      </c>
      <c r="R73" s="4">
        <v>6</v>
      </c>
      <c r="S73" s="4">
        <v>17.989999999999998</v>
      </c>
      <c r="T73" s="4">
        <v>-17.989999999999998</v>
      </c>
      <c r="U73" s="4">
        <v>3.64</v>
      </c>
      <c r="V73" s="4">
        <v>81.48</v>
      </c>
      <c r="W73" s="4">
        <v>18.55</v>
      </c>
      <c r="X73" s="4">
        <v>44.38</v>
      </c>
      <c r="Y73" s="4">
        <v>10.19</v>
      </c>
      <c r="Z73" s="4">
        <v>8.35</v>
      </c>
      <c r="AA73" s="4">
        <v>-1.66</v>
      </c>
      <c r="AB73" s="4">
        <v>11.13</v>
      </c>
      <c r="AC73" s="4">
        <v>-50.02</v>
      </c>
      <c r="AD73" s="4">
        <v>160</v>
      </c>
      <c r="AE73" s="4">
        <v>1460</v>
      </c>
      <c r="AF73" s="4">
        <v>13.4</v>
      </c>
      <c r="AG73" s="4">
        <v>0.15</v>
      </c>
      <c r="AH73" s="4">
        <v>5.08</v>
      </c>
      <c r="AI73" s="4">
        <v>60.16</v>
      </c>
      <c r="AJ73" s="4">
        <v>60</v>
      </c>
      <c r="AK73" s="4">
        <v>9</v>
      </c>
      <c r="AL73" s="4">
        <v>9</v>
      </c>
      <c r="AM73" s="4">
        <v>0.12</v>
      </c>
      <c r="AN73" s="4">
        <v>96</v>
      </c>
      <c r="AO73" s="4">
        <v>97.11</v>
      </c>
      <c r="AP73" s="4">
        <v>207497.44</v>
      </c>
      <c r="AQ73" s="4">
        <v>207497.44</v>
      </c>
      <c r="AR73" s="4" t="s">
        <v>355</v>
      </c>
      <c r="AS73" s="5">
        <f t="shared" si="0"/>
        <v>0</v>
      </c>
    </row>
    <row r="74" spans="1:45" ht="14.25" customHeight="1" x14ac:dyDescent="0.55000000000000004">
      <c r="A74" s="4">
        <v>0</v>
      </c>
      <c r="B74" s="4">
        <v>6</v>
      </c>
      <c r="C74" s="4">
        <v>159.35</v>
      </c>
      <c r="D74" s="4">
        <v>7.8</v>
      </c>
      <c r="E74" s="4" t="s">
        <v>2338</v>
      </c>
      <c r="F74" s="4" t="s">
        <v>2443</v>
      </c>
      <c r="G74" s="4" t="s">
        <v>2333</v>
      </c>
      <c r="H74" s="4" t="s">
        <v>2444</v>
      </c>
      <c r="I74" s="4">
        <v>0</v>
      </c>
      <c r="J74" s="4">
        <v>35</v>
      </c>
      <c r="K74" s="4">
        <f t="shared" si="4"/>
        <v>14.93</v>
      </c>
      <c r="L74" s="4">
        <f t="shared" si="5"/>
        <v>14.28</v>
      </c>
      <c r="M74" s="4">
        <f t="shared" si="6"/>
        <v>0.65000000000000036</v>
      </c>
      <c r="N74" s="4">
        <v>6.3</v>
      </c>
      <c r="O74" s="4">
        <v>0</v>
      </c>
      <c r="P74" s="4">
        <v>90</v>
      </c>
      <c r="Q74" s="4">
        <v>19.399999999999999</v>
      </c>
      <c r="R74" s="4">
        <v>6</v>
      </c>
      <c r="S74" s="4">
        <v>18.18</v>
      </c>
      <c r="T74" s="4">
        <v>-18.18</v>
      </c>
      <c r="U74" s="4">
        <v>4.55</v>
      </c>
      <c r="V74" s="4">
        <v>101.99</v>
      </c>
      <c r="W74" s="4">
        <v>23.22</v>
      </c>
      <c r="X74" s="4">
        <v>55.55</v>
      </c>
      <c r="Y74" s="4">
        <v>12.75</v>
      </c>
      <c r="Z74" s="4">
        <v>20.39</v>
      </c>
      <c r="AA74" s="4">
        <v>-1.48</v>
      </c>
      <c r="AB74" s="4">
        <v>10.76</v>
      </c>
      <c r="AC74" s="4">
        <v>-49.27</v>
      </c>
      <c r="AD74" s="4">
        <v>160</v>
      </c>
      <c r="AE74" s="4">
        <v>1460</v>
      </c>
      <c r="AF74" s="4">
        <v>13.4</v>
      </c>
      <c r="AG74" s="4">
        <v>0.15</v>
      </c>
      <c r="AH74" s="4">
        <v>3.77</v>
      </c>
      <c r="AI74" s="4">
        <v>151.4</v>
      </c>
      <c r="AJ74" s="4">
        <v>60</v>
      </c>
      <c r="AK74" s="4">
        <v>9</v>
      </c>
      <c r="AL74" s="4">
        <v>9</v>
      </c>
      <c r="AM74" s="4">
        <v>0.05</v>
      </c>
      <c r="AN74" s="4">
        <v>96</v>
      </c>
      <c r="AO74" s="4">
        <v>96.44</v>
      </c>
      <c r="AP74" s="4">
        <v>197244.92</v>
      </c>
      <c r="AQ74" s="4">
        <v>172101.2</v>
      </c>
      <c r="AR74" s="4" t="s">
        <v>1398</v>
      </c>
      <c r="AS74" s="5">
        <f t="shared" si="0"/>
        <v>1.4351438356164383</v>
      </c>
    </row>
    <row r="75" spans="1:45" ht="14.25" customHeight="1" x14ac:dyDescent="0.55000000000000004">
      <c r="A75" s="4">
        <v>0</v>
      </c>
      <c r="B75" s="4">
        <v>6</v>
      </c>
      <c r="C75" s="4">
        <v>116.64</v>
      </c>
      <c r="D75" s="4">
        <v>7.8</v>
      </c>
      <c r="E75" s="4" t="s">
        <v>2338</v>
      </c>
      <c r="F75" s="4" t="s">
        <v>2445</v>
      </c>
      <c r="G75" s="4" t="s">
        <v>2333</v>
      </c>
      <c r="H75" s="4" t="s">
        <v>2446</v>
      </c>
      <c r="I75" s="4">
        <v>0</v>
      </c>
      <c r="J75" s="4">
        <v>35</v>
      </c>
      <c r="K75" s="4">
        <f t="shared" si="4"/>
        <v>15.62</v>
      </c>
      <c r="L75" s="4">
        <f t="shared" si="5"/>
        <v>14.28</v>
      </c>
      <c r="M75" s="4">
        <f t="shared" si="6"/>
        <v>1.3399999999999999</v>
      </c>
      <c r="N75" s="4">
        <v>6.3</v>
      </c>
      <c r="O75" s="4">
        <v>0</v>
      </c>
      <c r="P75" s="4">
        <v>96</v>
      </c>
      <c r="Q75" s="4">
        <v>18.100000000000001</v>
      </c>
      <c r="R75" s="4">
        <v>6</v>
      </c>
      <c r="S75" s="4">
        <v>17.62</v>
      </c>
      <c r="T75" s="4">
        <v>-17.62</v>
      </c>
      <c r="U75" s="4">
        <v>3.33</v>
      </c>
      <c r="V75" s="4">
        <v>74.650000000000006</v>
      </c>
      <c r="W75" s="4">
        <v>17</v>
      </c>
      <c r="X75" s="4">
        <v>40.659999999999997</v>
      </c>
      <c r="Y75" s="4">
        <v>9.33</v>
      </c>
      <c r="Z75" s="4">
        <v>21.33</v>
      </c>
      <c r="AA75" s="4">
        <v>-1.74</v>
      </c>
      <c r="AB75" s="4">
        <v>11.27</v>
      </c>
      <c r="AC75" s="4">
        <v>-51.65</v>
      </c>
      <c r="AD75" s="4">
        <v>160</v>
      </c>
      <c r="AE75" s="4">
        <v>1460</v>
      </c>
      <c r="AF75" s="4">
        <v>13.4</v>
      </c>
      <c r="AG75" s="4">
        <v>0.15</v>
      </c>
      <c r="AH75" s="4">
        <v>5.75</v>
      </c>
      <c r="AI75" s="4">
        <v>151.4</v>
      </c>
      <c r="AJ75" s="4">
        <v>60</v>
      </c>
      <c r="AK75" s="4">
        <v>9</v>
      </c>
      <c r="AL75" s="4">
        <v>9</v>
      </c>
      <c r="AM75" s="4">
        <v>0.05</v>
      </c>
      <c r="AN75" s="4">
        <v>96</v>
      </c>
      <c r="AO75" s="4">
        <v>96.44</v>
      </c>
      <c r="AP75" s="4">
        <v>212642.74</v>
      </c>
      <c r="AQ75" s="4">
        <v>172101.2</v>
      </c>
      <c r="AR75" s="4" t="s">
        <v>1403</v>
      </c>
      <c r="AS75" s="5">
        <f t="shared" si="0"/>
        <v>2.3140148401826472</v>
      </c>
    </row>
    <row r="76" spans="1:45" ht="14.25" customHeight="1" x14ac:dyDescent="0.55000000000000004">
      <c r="A76" s="4">
        <v>0</v>
      </c>
      <c r="B76" s="4">
        <v>6</v>
      </c>
      <c r="C76" s="4">
        <v>107.75</v>
      </c>
      <c r="D76" s="4">
        <v>7.8</v>
      </c>
      <c r="E76" s="4" t="s">
        <v>2338</v>
      </c>
      <c r="F76" s="4" t="s">
        <v>2447</v>
      </c>
      <c r="G76" s="4" t="s">
        <v>2333</v>
      </c>
      <c r="H76" s="4" t="s">
        <v>2448</v>
      </c>
      <c r="I76" s="4">
        <v>0</v>
      </c>
      <c r="J76" s="4">
        <v>35</v>
      </c>
      <c r="K76" s="4">
        <f t="shared" si="4"/>
        <v>15.86</v>
      </c>
      <c r="L76" s="4">
        <f t="shared" si="5"/>
        <v>14.28</v>
      </c>
      <c r="M76" s="4">
        <f t="shared" si="6"/>
        <v>1.58</v>
      </c>
      <c r="N76" s="4">
        <v>6.3</v>
      </c>
      <c r="O76" s="4">
        <v>0</v>
      </c>
      <c r="P76" s="4">
        <v>88</v>
      </c>
      <c r="Q76" s="4">
        <v>20.100000000000001</v>
      </c>
      <c r="R76" s="4">
        <v>6</v>
      </c>
      <c r="S76" s="4">
        <v>18.62</v>
      </c>
      <c r="T76" s="4">
        <v>-18.62</v>
      </c>
      <c r="U76" s="4">
        <v>3.08</v>
      </c>
      <c r="V76" s="4">
        <v>68.959999999999994</v>
      </c>
      <c r="W76" s="4">
        <v>15.7</v>
      </c>
      <c r="X76" s="4">
        <v>37.56</v>
      </c>
      <c r="Y76" s="4">
        <v>8.6199999999999992</v>
      </c>
      <c r="Z76" s="4">
        <v>21.66</v>
      </c>
      <c r="AA76" s="4">
        <v>-1.8</v>
      </c>
      <c r="AB76" s="4">
        <v>11.4</v>
      </c>
      <c r="AC76" s="4">
        <v>-47.54</v>
      </c>
      <c r="AD76" s="4">
        <v>160</v>
      </c>
      <c r="AE76" s="4">
        <v>1460</v>
      </c>
      <c r="AF76" s="4">
        <v>13.4</v>
      </c>
      <c r="AG76" s="4">
        <v>0.15</v>
      </c>
      <c r="AH76" s="4">
        <v>6.45</v>
      </c>
      <c r="AI76" s="4">
        <v>151.4</v>
      </c>
      <c r="AJ76" s="4">
        <v>60</v>
      </c>
      <c r="AK76" s="4">
        <v>9</v>
      </c>
      <c r="AL76" s="4">
        <v>9</v>
      </c>
      <c r="AM76" s="4">
        <v>0.05</v>
      </c>
      <c r="AN76" s="4">
        <v>96</v>
      </c>
      <c r="AO76" s="4">
        <v>96.44</v>
      </c>
      <c r="AP76" s="4">
        <v>218050.35</v>
      </c>
      <c r="AQ76" s="4">
        <v>172101.2</v>
      </c>
      <c r="AR76" s="4" t="s">
        <v>360</v>
      </c>
      <c r="AS76" s="5">
        <f t="shared" si="0"/>
        <v>2.6226683789954333</v>
      </c>
    </row>
    <row r="77" spans="1:45" ht="14.25" customHeight="1" x14ac:dyDescent="0.55000000000000004">
      <c r="A77" s="4">
        <v>0</v>
      </c>
      <c r="B77" s="4">
        <v>6</v>
      </c>
      <c r="C77" s="4">
        <v>171.99</v>
      </c>
      <c r="D77" s="4">
        <v>7.8</v>
      </c>
      <c r="E77" s="4" t="s">
        <v>2338</v>
      </c>
      <c r="F77" s="4" t="s">
        <v>2449</v>
      </c>
      <c r="G77" s="4" t="s">
        <v>2333</v>
      </c>
      <c r="H77" s="4" t="s">
        <v>2450</v>
      </c>
      <c r="I77" s="4">
        <v>0</v>
      </c>
      <c r="J77" s="4">
        <v>35</v>
      </c>
      <c r="K77" s="4">
        <f t="shared" si="4"/>
        <v>14.81</v>
      </c>
      <c r="L77" s="4">
        <f t="shared" si="5"/>
        <v>14.28</v>
      </c>
      <c r="M77" s="4">
        <f t="shared" si="6"/>
        <v>0.53000000000000114</v>
      </c>
      <c r="N77" s="4">
        <v>6.3</v>
      </c>
      <c r="O77" s="4">
        <v>0</v>
      </c>
      <c r="P77" s="4">
        <v>90</v>
      </c>
      <c r="Q77" s="4">
        <v>19.600000000000001</v>
      </c>
      <c r="R77" s="4">
        <v>6</v>
      </c>
      <c r="S77" s="4">
        <v>18.38</v>
      </c>
      <c r="T77" s="4">
        <v>-18.38</v>
      </c>
      <c r="U77" s="4">
        <v>4.91</v>
      </c>
      <c r="V77" s="4">
        <v>110.07</v>
      </c>
      <c r="W77" s="4">
        <v>25.06</v>
      </c>
      <c r="X77" s="4">
        <v>59.95</v>
      </c>
      <c r="Y77" s="4">
        <v>13.76</v>
      </c>
      <c r="Z77" s="4">
        <v>20.22</v>
      </c>
      <c r="AA77" s="4">
        <v>-1.41</v>
      </c>
      <c r="AB77" s="4">
        <v>10.63</v>
      </c>
      <c r="AC77" s="4">
        <v>-48.48</v>
      </c>
      <c r="AD77" s="4">
        <v>160</v>
      </c>
      <c r="AE77" s="4">
        <v>1460</v>
      </c>
      <c r="AF77" s="4">
        <v>13.4</v>
      </c>
      <c r="AG77" s="4">
        <v>0.15</v>
      </c>
      <c r="AH77" s="4">
        <v>3.42</v>
      </c>
      <c r="AI77" s="4">
        <v>151.4</v>
      </c>
      <c r="AJ77" s="4">
        <v>60</v>
      </c>
      <c r="AK77" s="4">
        <v>9</v>
      </c>
      <c r="AL77" s="4">
        <v>9</v>
      </c>
      <c r="AM77" s="4">
        <v>0.05</v>
      </c>
      <c r="AN77" s="4">
        <v>96</v>
      </c>
      <c r="AO77" s="4">
        <v>96.44</v>
      </c>
      <c r="AP77" s="4">
        <v>194487.47</v>
      </c>
      <c r="AQ77" s="4">
        <v>172101.2</v>
      </c>
      <c r="AR77" s="4" t="s">
        <v>365</v>
      </c>
      <c r="AS77" s="5">
        <f t="shared" si="0"/>
        <v>1.2777551369863007</v>
      </c>
    </row>
    <row r="78" spans="1:45" ht="14.25" customHeight="1" x14ac:dyDescent="0.55000000000000004">
      <c r="A78" s="4">
        <v>0</v>
      </c>
      <c r="B78" s="4">
        <v>6</v>
      </c>
      <c r="C78" s="4">
        <v>91.34</v>
      </c>
      <c r="D78" s="4">
        <v>7.8</v>
      </c>
      <c r="E78" s="4" t="s">
        <v>2333</v>
      </c>
      <c r="F78" s="4" t="s">
        <v>2451</v>
      </c>
      <c r="G78" s="4" t="s">
        <v>2333</v>
      </c>
      <c r="H78" s="4" t="s">
        <v>2452</v>
      </c>
      <c r="I78" s="4">
        <v>0</v>
      </c>
      <c r="J78" s="4">
        <v>35</v>
      </c>
      <c r="K78" s="4">
        <f t="shared" si="4"/>
        <v>16.5</v>
      </c>
      <c r="L78" s="4">
        <f t="shared" si="5"/>
        <v>16.5</v>
      </c>
      <c r="M78" s="4">
        <f t="shared" si="6"/>
        <v>0</v>
      </c>
      <c r="N78" s="4">
        <v>6.3</v>
      </c>
      <c r="O78" s="4">
        <v>0</v>
      </c>
      <c r="P78" s="4">
        <v>62</v>
      </c>
      <c r="Q78" s="4">
        <v>22.9</v>
      </c>
      <c r="R78" s="4">
        <v>6</v>
      </c>
      <c r="S78" s="4">
        <v>17.89</v>
      </c>
      <c r="T78" s="4">
        <v>-17.89</v>
      </c>
      <c r="U78" s="4">
        <v>2.61</v>
      </c>
      <c r="V78" s="4">
        <v>58.46</v>
      </c>
      <c r="W78" s="4">
        <v>13.31</v>
      </c>
      <c r="X78" s="4">
        <v>31.84</v>
      </c>
      <c r="Y78" s="4">
        <v>7.31</v>
      </c>
      <c r="Z78" s="4">
        <v>5.58</v>
      </c>
      <c r="AA78" s="4">
        <v>-1.94</v>
      </c>
      <c r="AB78" s="4">
        <v>11.67</v>
      </c>
      <c r="AC78" s="4">
        <v>-50.45</v>
      </c>
      <c r="AD78" s="4">
        <v>160</v>
      </c>
      <c r="AE78" s="4">
        <v>1460</v>
      </c>
      <c r="AF78" s="4">
        <v>13.4</v>
      </c>
      <c r="AG78" s="4">
        <v>0.15</v>
      </c>
      <c r="AH78" s="4">
        <v>8.33</v>
      </c>
      <c r="AI78" s="4">
        <v>37.51</v>
      </c>
      <c r="AJ78" s="4">
        <v>60</v>
      </c>
      <c r="AK78" s="4">
        <v>9</v>
      </c>
      <c r="AL78" s="4">
        <v>9</v>
      </c>
      <c r="AM78" s="4">
        <v>0.2</v>
      </c>
      <c r="AN78" s="4">
        <v>96</v>
      </c>
      <c r="AO78" s="4">
        <v>97.77</v>
      </c>
      <c r="AP78" s="4">
        <v>232449.62</v>
      </c>
      <c r="AQ78" s="4">
        <v>232449.62</v>
      </c>
      <c r="AR78" s="4" t="s">
        <v>370</v>
      </c>
      <c r="AS78" s="5">
        <f t="shared" si="0"/>
        <v>0</v>
      </c>
    </row>
    <row r="79" spans="1:45" ht="14.25" customHeight="1" x14ac:dyDescent="0.55000000000000004">
      <c r="A79" s="4">
        <v>0</v>
      </c>
      <c r="B79" s="4">
        <v>6</v>
      </c>
      <c r="C79" s="4">
        <v>79.13</v>
      </c>
      <c r="D79" s="4">
        <v>7.8</v>
      </c>
      <c r="E79" s="4" t="s">
        <v>2338</v>
      </c>
      <c r="F79" s="4" t="s">
        <v>2453</v>
      </c>
      <c r="G79" s="4" t="s">
        <v>2333</v>
      </c>
      <c r="H79" s="4" t="s">
        <v>2454</v>
      </c>
      <c r="I79" s="4">
        <v>0</v>
      </c>
      <c r="J79" s="4">
        <v>35</v>
      </c>
      <c r="K79" s="4">
        <f t="shared" si="4"/>
        <v>17.3</v>
      </c>
      <c r="L79" s="4">
        <f t="shared" si="5"/>
        <v>14.28</v>
      </c>
      <c r="M79" s="4">
        <f t="shared" si="6"/>
        <v>3.0200000000000014</v>
      </c>
      <c r="N79" s="4">
        <v>6.3</v>
      </c>
      <c r="O79" s="4">
        <v>0</v>
      </c>
      <c r="P79" s="4">
        <v>90</v>
      </c>
      <c r="Q79" s="4">
        <v>19.8</v>
      </c>
      <c r="R79" s="4">
        <v>6</v>
      </c>
      <c r="S79" s="4">
        <v>18.57</v>
      </c>
      <c r="T79" s="4">
        <v>-18.57</v>
      </c>
      <c r="U79" s="4">
        <v>2.2599999999999998</v>
      </c>
      <c r="V79" s="4">
        <v>50.64</v>
      </c>
      <c r="W79" s="4">
        <v>11.53</v>
      </c>
      <c r="X79" s="4">
        <v>27.58</v>
      </c>
      <c r="Y79" s="4">
        <v>6.33</v>
      </c>
      <c r="Z79" s="4">
        <v>23.62</v>
      </c>
      <c r="AA79" s="4">
        <v>-2.06</v>
      </c>
      <c r="AB79" s="4">
        <v>11.91</v>
      </c>
      <c r="AC79" s="4">
        <v>-47.72</v>
      </c>
      <c r="AD79" s="4">
        <v>160</v>
      </c>
      <c r="AE79" s="4">
        <v>1460</v>
      </c>
      <c r="AF79" s="4">
        <v>13.4</v>
      </c>
      <c r="AG79" s="4">
        <v>0.15</v>
      </c>
      <c r="AH79" s="4">
        <v>10.63</v>
      </c>
      <c r="AI79" s="4">
        <v>151.4</v>
      </c>
      <c r="AJ79" s="4">
        <v>60</v>
      </c>
      <c r="AK79" s="4">
        <v>9</v>
      </c>
      <c r="AL79" s="4">
        <v>9</v>
      </c>
      <c r="AM79" s="4">
        <v>0.05</v>
      </c>
      <c r="AN79" s="4">
        <v>96</v>
      </c>
      <c r="AO79" s="4">
        <v>96.44</v>
      </c>
      <c r="AP79" s="4">
        <v>250249.79</v>
      </c>
      <c r="AQ79" s="4">
        <v>172101.2</v>
      </c>
      <c r="AR79" s="4" t="s">
        <v>375</v>
      </c>
      <c r="AS79" s="5">
        <f t="shared" si="0"/>
        <v>4.4605359589041091</v>
      </c>
    </row>
    <row r="80" spans="1:45" ht="14.25" customHeight="1" x14ac:dyDescent="0.55000000000000004">
      <c r="A80" s="4">
        <v>0</v>
      </c>
      <c r="B80" s="4">
        <v>6</v>
      </c>
      <c r="C80" s="4">
        <v>96.24</v>
      </c>
      <c r="D80" s="4">
        <v>7.8</v>
      </c>
      <c r="E80" s="4" t="s">
        <v>2338</v>
      </c>
      <c r="F80" s="4" t="s">
        <v>2455</v>
      </c>
      <c r="G80" s="4" t="s">
        <v>2333</v>
      </c>
      <c r="H80" s="4" t="s">
        <v>2456</v>
      </c>
      <c r="I80" s="4">
        <v>0</v>
      </c>
      <c r="J80" s="4">
        <v>35</v>
      </c>
      <c r="K80" s="4">
        <f t="shared" si="4"/>
        <v>16.28</v>
      </c>
      <c r="L80" s="4">
        <f t="shared" si="5"/>
        <v>14.28</v>
      </c>
      <c r="M80" s="4">
        <f t="shared" si="6"/>
        <v>2.0000000000000018</v>
      </c>
      <c r="N80" s="4">
        <v>6.3</v>
      </c>
      <c r="O80" s="4">
        <v>0</v>
      </c>
      <c r="P80" s="4">
        <v>97</v>
      </c>
      <c r="Q80" s="4">
        <v>16.899999999999999</v>
      </c>
      <c r="R80" s="4">
        <v>6</v>
      </c>
      <c r="S80" s="4">
        <v>16.54</v>
      </c>
      <c r="T80" s="4">
        <v>-16.54</v>
      </c>
      <c r="U80" s="4">
        <v>2.75</v>
      </c>
      <c r="V80" s="4">
        <v>61.59</v>
      </c>
      <c r="W80" s="4">
        <v>14.02</v>
      </c>
      <c r="X80" s="4">
        <v>33.549999999999997</v>
      </c>
      <c r="Y80" s="4">
        <v>7.7</v>
      </c>
      <c r="Z80" s="4">
        <v>22.23</v>
      </c>
      <c r="AA80" s="4">
        <v>-1.89</v>
      </c>
      <c r="AB80" s="4">
        <v>11.59</v>
      </c>
      <c r="AC80" s="4">
        <v>-56.95</v>
      </c>
      <c r="AD80" s="4">
        <v>160</v>
      </c>
      <c r="AE80" s="4">
        <v>1460</v>
      </c>
      <c r="AF80" s="4">
        <v>13.4</v>
      </c>
      <c r="AG80" s="4">
        <v>0.15</v>
      </c>
      <c r="AH80" s="4">
        <v>7.66</v>
      </c>
      <c r="AI80" s="4">
        <v>151.4</v>
      </c>
      <c r="AJ80" s="4">
        <v>60</v>
      </c>
      <c r="AK80" s="4">
        <v>9</v>
      </c>
      <c r="AL80" s="4">
        <v>9</v>
      </c>
      <c r="AM80" s="4">
        <v>0.05</v>
      </c>
      <c r="AN80" s="4">
        <v>96</v>
      </c>
      <c r="AO80" s="4">
        <v>96.44</v>
      </c>
      <c r="AP80" s="4">
        <v>227343.33</v>
      </c>
      <c r="AQ80" s="4">
        <v>172101.2</v>
      </c>
      <c r="AR80" s="4" t="s">
        <v>380</v>
      </c>
      <c r="AS80" s="5">
        <f t="shared" si="0"/>
        <v>3.1530896118721445</v>
      </c>
    </row>
    <row r="81" spans="1:45" ht="14.25" customHeight="1" x14ac:dyDescent="0.55000000000000004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f t="shared" si="4"/>
        <v>0</v>
      </c>
      <c r="L81" s="4">
        <f t="shared" si="5"/>
        <v>0</v>
      </c>
      <c r="M81" s="4">
        <f t="shared" si="6"/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5">
        <f t="shared" si="0"/>
        <v>0</v>
      </c>
    </row>
    <row r="82" spans="1:45" ht="14.25" customHeight="1" x14ac:dyDescent="0.55000000000000004">
      <c r="A82" s="4">
        <v>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f t="shared" si="4"/>
        <v>0</v>
      </c>
      <c r="L82" s="4">
        <f t="shared" si="5"/>
        <v>0</v>
      </c>
      <c r="M82" s="4">
        <f t="shared" si="6"/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5">
        <f t="shared" si="0"/>
        <v>0</v>
      </c>
    </row>
    <row r="83" spans="1:45" ht="14.25" customHeight="1" x14ac:dyDescent="0.55000000000000004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f t="shared" si="4"/>
        <v>0</v>
      </c>
      <c r="L83" s="4">
        <f t="shared" si="5"/>
        <v>0</v>
      </c>
      <c r="M83" s="4">
        <f t="shared" si="6"/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5">
        <f t="shared" si="0"/>
        <v>0</v>
      </c>
    </row>
    <row r="84" spans="1:45" ht="14.25" customHeight="1" x14ac:dyDescent="0.55000000000000004">
      <c r="A84" s="4">
        <v>0</v>
      </c>
      <c r="B84" s="4">
        <v>6</v>
      </c>
      <c r="C84" s="4">
        <v>94.19</v>
      </c>
      <c r="D84" s="4">
        <v>7.8</v>
      </c>
      <c r="E84" s="4" t="s">
        <v>2333</v>
      </c>
      <c r="F84" s="4" t="s">
        <v>2298</v>
      </c>
      <c r="G84" s="4" t="s">
        <v>2333</v>
      </c>
      <c r="H84" s="4" t="s">
        <v>2457</v>
      </c>
      <c r="I84" s="4">
        <v>0</v>
      </c>
      <c r="J84" s="4">
        <v>35</v>
      </c>
      <c r="K84" s="4">
        <f t="shared" si="4"/>
        <v>16.37</v>
      </c>
      <c r="L84" s="4">
        <f t="shared" si="5"/>
        <v>16.37</v>
      </c>
      <c r="M84" s="4">
        <f t="shared" si="6"/>
        <v>0</v>
      </c>
      <c r="N84" s="4">
        <v>6.3</v>
      </c>
      <c r="O84" s="4">
        <v>0</v>
      </c>
      <c r="P84" s="4">
        <v>98</v>
      </c>
      <c r="Q84" s="4">
        <v>17.100000000000001</v>
      </c>
      <c r="R84" s="4">
        <v>6</v>
      </c>
      <c r="S84" s="4">
        <v>16.850000000000001</v>
      </c>
      <c r="T84" s="4">
        <v>-16.850000000000001</v>
      </c>
      <c r="U84" s="4">
        <v>2.69</v>
      </c>
      <c r="V84" s="4">
        <v>60.28</v>
      </c>
      <c r="W84" s="4">
        <v>13.73</v>
      </c>
      <c r="X84" s="4">
        <v>32.83</v>
      </c>
      <c r="Y84" s="4">
        <v>7.54</v>
      </c>
      <c r="Z84" s="4">
        <v>5.81</v>
      </c>
      <c r="AA84" s="4">
        <v>-1.91</v>
      </c>
      <c r="AB84" s="4">
        <v>11.62</v>
      </c>
      <c r="AC84" s="4">
        <v>-55.28</v>
      </c>
      <c r="AD84" s="4">
        <v>160</v>
      </c>
      <c r="AE84" s="4">
        <v>1460</v>
      </c>
      <c r="AF84" s="4">
        <v>13.4</v>
      </c>
      <c r="AG84" s="4">
        <v>0.15</v>
      </c>
      <c r="AH84" s="4">
        <v>7.93</v>
      </c>
      <c r="AI84" s="4">
        <v>39.340000000000003</v>
      </c>
      <c r="AJ84" s="4">
        <v>60</v>
      </c>
      <c r="AK84" s="4">
        <v>9</v>
      </c>
      <c r="AL84" s="4">
        <v>9</v>
      </c>
      <c r="AM84" s="4">
        <v>0.19</v>
      </c>
      <c r="AN84" s="4">
        <v>96</v>
      </c>
      <c r="AO84" s="4">
        <v>97.69</v>
      </c>
      <c r="AP84" s="4">
        <v>229376.31</v>
      </c>
      <c r="AQ84" s="4">
        <v>229376.31</v>
      </c>
      <c r="AR84" s="4" t="s">
        <v>393</v>
      </c>
      <c r="AS84" s="5">
        <f t="shared" si="0"/>
        <v>0</v>
      </c>
    </row>
    <row r="85" spans="1:45" ht="14.25" customHeight="1" x14ac:dyDescent="0.55000000000000004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f t="shared" si="4"/>
        <v>0</v>
      </c>
      <c r="L85" s="4">
        <f t="shared" si="5"/>
        <v>0</v>
      </c>
      <c r="M85" s="4">
        <f t="shared" si="6"/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5">
        <f t="shared" si="0"/>
        <v>0</v>
      </c>
    </row>
    <row r="86" spans="1:45" ht="14.25" customHeight="1" x14ac:dyDescent="0.55000000000000004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f t="shared" si="4"/>
        <v>0</v>
      </c>
      <c r="L86" s="4">
        <f t="shared" si="5"/>
        <v>0</v>
      </c>
      <c r="M86" s="4">
        <f t="shared" si="6"/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5">
        <f t="shared" si="0"/>
        <v>0</v>
      </c>
    </row>
    <row r="87" spans="1:45" ht="14.25" customHeight="1" x14ac:dyDescent="0.55000000000000004">
      <c r="A87" s="4">
        <v>0</v>
      </c>
      <c r="B87" s="4">
        <v>6</v>
      </c>
      <c r="C87" s="4">
        <v>85.83</v>
      </c>
      <c r="D87" s="4">
        <v>7.8</v>
      </c>
      <c r="E87" s="4" t="s">
        <v>2338</v>
      </c>
      <c r="F87" s="4" t="s">
        <v>2458</v>
      </c>
      <c r="G87" s="4" t="s">
        <v>2333</v>
      </c>
      <c r="H87" s="4" t="s">
        <v>2459</v>
      </c>
      <c r="I87" s="4">
        <v>0</v>
      </c>
      <c r="J87" s="4">
        <v>35</v>
      </c>
      <c r="K87" s="4">
        <f t="shared" si="4"/>
        <v>16.809999999999999</v>
      </c>
      <c r="L87" s="4">
        <f t="shared" si="5"/>
        <v>14.28</v>
      </c>
      <c r="M87" s="4">
        <f t="shared" si="6"/>
        <v>2.5299999999999994</v>
      </c>
      <c r="N87" s="4">
        <v>6.3</v>
      </c>
      <c r="O87" s="4">
        <v>0</v>
      </c>
      <c r="P87" s="4">
        <v>98</v>
      </c>
      <c r="Q87" s="4">
        <v>16.8</v>
      </c>
      <c r="R87" s="4">
        <v>6</v>
      </c>
      <c r="S87" s="4">
        <v>16.55</v>
      </c>
      <c r="T87" s="4">
        <v>-16.55</v>
      </c>
      <c r="U87" s="4">
        <v>2.4500000000000002</v>
      </c>
      <c r="V87" s="4">
        <v>54.93</v>
      </c>
      <c r="W87" s="4">
        <v>12.51</v>
      </c>
      <c r="X87" s="4">
        <v>29.92</v>
      </c>
      <c r="Y87" s="4">
        <v>6.87</v>
      </c>
      <c r="Z87" s="4">
        <v>22.96</v>
      </c>
      <c r="AA87" s="4">
        <v>-1.99</v>
      </c>
      <c r="AB87" s="4">
        <v>11.78</v>
      </c>
      <c r="AC87" s="4">
        <v>-56.86</v>
      </c>
      <c r="AD87" s="4">
        <v>160</v>
      </c>
      <c r="AE87" s="4">
        <v>1460</v>
      </c>
      <c r="AF87" s="4">
        <v>13.4</v>
      </c>
      <c r="AG87" s="4">
        <v>0.15</v>
      </c>
      <c r="AH87" s="4">
        <v>9.23</v>
      </c>
      <c r="AI87" s="4">
        <v>151.4</v>
      </c>
      <c r="AJ87" s="4">
        <v>60</v>
      </c>
      <c r="AK87" s="4">
        <v>9</v>
      </c>
      <c r="AL87" s="4">
        <v>9</v>
      </c>
      <c r="AM87" s="4">
        <v>0.05</v>
      </c>
      <c r="AN87" s="4">
        <v>96</v>
      </c>
      <c r="AO87" s="4">
        <v>96.44</v>
      </c>
      <c r="AP87" s="4">
        <v>239394.58</v>
      </c>
      <c r="AQ87" s="4">
        <v>172101.2</v>
      </c>
      <c r="AR87" s="4" t="s">
        <v>408</v>
      </c>
      <c r="AS87" s="5">
        <f t="shared" si="0"/>
        <v>3.840946347031962</v>
      </c>
    </row>
    <row r="88" spans="1:45" ht="14.25" customHeight="1" x14ac:dyDescent="0.55000000000000004">
      <c r="A88" s="4">
        <v>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f t="shared" si="4"/>
        <v>0</v>
      </c>
      <c r="L88" s="4">
        <f t="shared" si="5"/>
        <v>0</v>
      </c>
      <c r="M88" s="4">
        <f t="shared" si="6"/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5">
        <f t="shared" si="0"/>
        <v>0</v>
      </c>
    </row>
    <row r="89" spans="1:45" ht="14.25" customHeight="1" x14ac:dyDescent="0.55000000000000004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f t="shared" si="4"/>
        <v>0</v>
      </c>
      <c r="L89" s="4">
        <f t="shared" si="5"/>
        <v>0</v>
      </c>
      <c r="M89" s="4">
        <f t="shared" si="6"/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5">
        <f t="shared" si="0"/>
        <v>0</v>
      </c>
    </row>
    <row r="90" spans="1:45" ht="14.25" customHeight="1" x14ac:dyDescent="0.55000000000000004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f t="shared" si="4"/>
        <v>0</v>
      </c>
      <c r="L90" s="4">
        <f t="shared" si="5"/>
        <v>0</v>
      </c>
      <c r="M90" s="4">
        <f t="shared" si="6"/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5">
        <f t="shared" si="0"/>
        <v>0</v>
      </c>
    </row>
    <row r="91" spans="1:45" ht="14.25" customHeight="1" x14ac:dyDescent="0.55000000000000004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f t="shared" si="4"/>
        <v>0</v>
      </c>
      <c r="L91" s="4">
        <f t="shared" si="5"/>
        <v>0</v>
      </c>
      <c r="M91" s="4">
        <f t="shared" si="6"/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5">
        <f t="shared" si="0"/>
        <v>0</v>
      </c>
    </row>
    <row r="92" spans="1:45" ht="14.25" customHeight="1" x14ac:dyDescent="0.55000000000000004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f t="shared" si="4"/>
        <v>0</v>
      </c>
      <c r="L92" s="4">
        <f t="shared" si="5"/>
        <v>0</v>
      </c>
      <c r="M92" s="4">
        <f t="shared" si="6"/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5">
        <f t="shared" si="0"/>
        <v>0</v>
      </c>
    </row>
    <row r="93" spans="1:45" ht="14.25" customHeight="1" x14ac:dyDescent="0.55000000000000004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f t="shared" si="4"/>
        <v>0</v>
      </c>
      <c r="L93" s="4">
        <f t="shared" si="5"/>
        <v>0</v>
      </c>
      <c r="M93" s="4">
        <f t="shared" si="6"/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5">
        <f t="shared" si="0"/>
        <v>0</v>
      </c>
    </row>
    <row r="94" spans="1:45" ht="14.25" customHeight="1" x14ac:dyDescent="0.55000000000000004">
      <c r="A94" s="4">
        <v>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f t="shared" si="4"/>
        <v>0</v>
      </c>
      <c r="L94" s="4">
        <f t="shared" si="5"/>
        <v>0</v>
      </c>
      <c r="M94" s="4">
        <f t="shared" si="6"/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5">
        <f t="shared" si="0"/>
        <v>0</v>
      </c>
    </row>
    <row r="95" spans="1:45" ht="14.25" customHeight="1" x14ac:dyDescent="0.55000000000000004">
      <c r="A95" s="4">
        <v>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f t="shared" si="4"/>
        <v>0</v>
      </c>
      <c r="L95" s="4">
        <f t="shared" si="5"/>
        <v>0</v>
      </c>
      <c r="M95" s="4">
        <f t="shared" si="6"/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5">
        <f t="shared" si="0"/>
        <v>0</v>
      </c>
    </row>
    <row r="96" spans="1:45" ht="14.25" customHeight="1" x14ac:dyDescent="0.55000000000000004">
      <c r="A96" s="4">
        <v>0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f t="shared" si="4"/>
        <v>0</v>
      </c>
      <c r="L96" s="4">
        <f t="shared" si="5"/>
        <v>0</v>
      </c>
      <c r="M96" s="4">
        <f t="shared" si="6"/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5">
        <f t="shared" si="0"/>
        <v>0</v>
      </c>
    </row>
    <row r="97" spans="1:45" ht="14.25" customHeight="1" x14ac:dyDescent="0.55000000000000004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f t="shared" si="4"/>
        <v>0</v>
      </c>
      <c r="L97" s="4">
        <f t="shared" si="5"/>
        <v>0</v>
      </c>
      <c r="M97" s="4">
        <f t="shared" si="6"/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5">
        <f t="shared" si="0"/>
        <v>0</v>
      </c>
    </row>
    <row r="98" spans="1:45" ht="14.25" customHeight="1" x14ac:dyDescent="0.55000000000000004">
      <c r="A98" s="4">
        <v>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f t="shared" si="4"/>
        <v>0</v>
      </c>
      <c r="L98" s="4">
        <f t="shared" si="5"/>
        <v>0</v>
      </c>
      <c r="M98" s="4">
        <f t="shared" si="6"/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5">
        <f t="shared" si="0"/>
        <v>0</v>
      </c>
    </row>
    <row r="99" spans="1:45" ht="14.25" customHeight="1" x14ac:dyDescent="0.55000000000000004">
      <c r="A99" s="4">
        <v>0</v>
      </c>
      <c r="B99" s="4">
        <v>6</v>
      </c>
      <c r="C99" s="4">
        <v>159.28</v>
      </c>
      <c r="D99" s="4">
        <v>7.8</v>
      </c>
      <c r="E99" s="4" t="s">
        <v>2338</v>
      </c>
      <c r="F99" s="4" t="s">
        <v>2460</v>
      </c>
      <c r="G99" s="4" t="s">
        <v>2333</v>
      </c>
      <c r="H99" s="4" t="s">
        <v>2444</v>
      </c>
      <c r="I99" s="4">
        <v>0</v>
      </c>
      <c r="J99" s="4">
        <v>35</v>
      </c>
      <c r="K99" s="4">
        <f t="shared" si="4"/>
        <v>14.94</v>
      </c>
      <c r="L99" s="4">
        <f t="shared" si="5"/>
        <v>14.28</v>
      </c>
      <c r="M99" s="4">
        <f t="shared" si="6"/>
        <v>0.66000000000000014</v>
      </c>
      <c r="N99" s="4">
        <v>6.3</v>
      </c>
      <c r="O99" s="4">
        <v>0</v>
      </c>
      <c r="P99" s="4">
        <v>98</v>
      </c>
      <c r="Q99" s="4">
        <v>16.600000000000001</v>
      </c>
      <c r="R99" s="4">
        <v>6</v>
      </c>
      <c r="S99" s="4">
        <v>16.350000000000001</v>
      </c>
      <c r="T99" s="4">
        <v>-16.350000000000001</v>
      </c>
      <c r="U99" s="4">
        <v>4.55</v>
      </c>
      <c r="V99" s="4">
        <v>101.94</v>
      </c>
      <c r="W99" s="4">
        <v>23.21</v>
      </c>
      <c r="X99" s="4">
        <v>55.52</v>
      </c>
      <c r="Y99" s="4">
        <v>12.74</v>
      </c>
      <c r="Z99" s="4">
        <v>20.39</v>
      </c>
      <c r="AA99" s="4">
        <v>-1.48</v>
      </c>
      <c r="AB99" s="4">
        <v>10.76</v>
      </c>
      <c r="AC99" s="4">
        <v>-57.96</v>
      </c>
      <c r="AD99" s="4">
        <v>160</v>
      </c>
      <c r="AE99" s="4">
        <v>1460</v>
      </c>
      <c r="AF99" s="4">
        <v>13.4</v>
      </c>
      <c r="AG99" s="4">
        <v>0.15</v>
      </c>
      <c r="AH99" s="4">
        <v>3.77</v>
      </c>
      <c r="AI99" s="4">
        <v>151.4</v>
      </c>
      <c r="AJ99" s="4">
        <v>60</v>
      </c>
      <c r="AK99" s="4">
        <v>9</v>
      </c>
      <c r="AL99" s="4">
        <v>9</v>
      </c>
      <c r="AM99" s="4">
        <v>0.05</v>
      </c>
      <c r="AN99" s="4">
        <v>96</v>
      </c>
      <c r="AO99" s="4">
        <v>96.44</v>
      </c>
      <c r="AP99" s="4">
        <v>197263.42</v>
      </c>
      <c r="AQ99" s="4">
        <v>172101.2</v>
      </c>
      <c r="AR99" s="4" t="s">
        <v>456</v>
      </c>
      <c r="AS99" s="5">
        <f t="shared" si="0"/>
        <v>1.4361997716894979</v>
      </c>
    </row>
    <row r="100" spans="1:45" ht="14.25" customHeight="1" x14ac:dyDescent="0.55000000000000004">
      <c r="A100" s="4">
        <v>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f t="shared" si="4"/>
        <v>0</v>
      </c>
      <c r="L100" s="4">
        <f t="shared" si="5"/>
        <v>0</v>
      </c>
      <c r="M100" s="4">
        <f t="shared" si="6"/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5">
        <f t="shared" si="0"/>
        <v>0</v>
      </c>
    </row>
    <row r="101" spans="1:45" ht="14.25" customHeight="1" x14ac:dyDescent="0.55000000000000004">
      <c r="A101" s="4">
        <v>0</v>
      </c>
      <c r="B101" s="4">
        <v>6</v>
      </c>
      <c r="C101" s="4">
        <v>91.33</v>
      </c>
      <c r="D101" s="4">
        <v>7.8</v>
      </c>
      <c r="E101" s="4" t="s">
        <v>2338</v>
      </c>
      <c r="F101" s="4" t="s">
        <v>2461</v>
      </c>
      <c r="G101" s="4" t="s">
        <v>2333</v>
      </c>
      <c r="H101" s="4" t="s">
        <v>2462</v>
      </c>
      <c r="I101" s="4">
        <v>0</v>
      </c>
      <c r="J101" s="4">
        <v>35</v>
      </c>
      <c r="K101" s="4">
        <f t="shared" si="4"/>
        <v>16.510000000000002</v>
      </c>
      <c r="L101" s="4">
        <f t="shared" si="5"/>
        <v>14.28</v>
      </c>
      <c r="M101" s="4">
        <f t="shared" si="6"/>
        <v>2.2300000000000022</v>
      </c>
      <c r="N101" s="4">
        <v>6.3</v>
      </c>
      <c r="O101" s="4">
        <v>0</v>
      </c>
      <c r="P101" s="4">
        <v>98</v>
      </c>
      <c r="Q101" s="4">
        <v>17.100000000000001</v>
      </c>
      <c r="R101" s="4">
        <v>6</v>
      </c>
      <c r="S101" s="4">
        <v>16.850000000000001</v>
      </c>
      <c r="T101" s="4">
        <v>-16.850000000000001</v>
      </c>
      <c r="U101" s="4">
        <v>2.61</v>
      </c>
      <c r="V101" s="4">
        <v>58.45</v>
      </c>
      <c r="W101" s="4">
        <v>13.31</v>
      </c>
      <c r="X101" s="4">
        <v>31.84</v>
      </c>
      <c r="Y101" s="4">
        <v>7.31</v>
      </c>
      <c r="Z101" s="4">
        <v>22.54</v>
      </c>
      <c r="AA101" s="4">
        <v>-1.94</v>
      </c>
      <c r="AB101" s="4">
        <v>11.67</v>
      </c>
      <c r="AC101" s="4">
        <v>-55.28</v>
      </c>
      <c r="AD101" s="4">
        <v>160</v>
      </c>
      <c r="AE101" s="4">
        <v>1460</v>
      </c>
      <c r="AF101" s="4">
        <v>13.4</v>
      </c>
      <c r="AG101" s="4">
        <v>0.15</v>
      </c>
      <c r="AH101" s="4">
        <v>8.33</v>
      </c>
      <c r="AI101" s="4">
        <v>151.4</v>
      </c>
      <c r="AJ101" s="4">
        <v>60</v>
      </c>
      <c r="AK101" s="4">
        <v>9</v>
      </c>
      <c r="AL101" s="4">
        <v>9</v>
      </c>
      <c r="AM101" s="4">
        <v>0.05</v>
      </c>
      <c r="AN101" s="4">
        <v>96</v>
      </c>
      <c r="AO101" s="4">
        <v>96.44</v>
      </c>
      <c r="AP101" s="4">
        <v>232460.44</v>
      </c>
      <c r="AQ101" s="4">
        <v>172101.2</v>
      </c>
      <c r="AR101" s="4" t="s">
        <v>465</v>
      </c>
      <c r="AS101" s="5">
        <f t="shared" si="0"/>
        <v>3.4451621004566206</v>
      </c>
    </row>
    <row r="102" spans="1:45" ht="14.25" customHeight="1" x14ac:dyDescent="0.55000000000000004">
      <c r="A102" s="4">
        <v>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f t="shared" si="4"/>
        <v>0</v>
      </c>
      <c r="L102" s="4">
        <f t="shared" si="5"/>
        <v>0</v>
      </c>
      <c r="M102" s="4">
        <f t="shared" si="6"/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5">
        <f t="shared" si="0"/>
        <v>0</v>
      </c>
    </row>
    <row r="103" spans="1:45" ht="14.25" customHeight="1" x14ac:dyDescent="0.55000000000000004">
      <c r="A103" s="4">
        <v>0</v>
      </c>
      <c r="B103" s="4">
        <v>6</v>
      </c>
      <c r="C103" s="4">
        <v>144.63</v>
      </c>
      <c r="D103" s="4">
        <v>7.8</v>
      </c>
      <c r="E103" s="4" t="s">
        <v>2338</v>
      </c>
      <c r="F103" s="4" t="s">
        <v>2463</v>
      </c>
      <c r="G103" s="4" t="s">
        <v>2333</v>
      </c>
      <c r="H103" s="4" t="s">
        <v>2414</v>
      </c>
      <c r="I103" s="4">
        <v>0</v>
      </c>
      <c r="J103" s="4">
        <v>35</v>
      </c>
      <c r="K103" s="4">
        <f t="shared" si="4"/>
        <v>15.11</v>
      </c>
      <c r="L103" s="4">
        <f t="shared" si="5"/>
        <v>14.28</v>
      </c>
      <c r="M103" s="4">
        <f t="shared" si="6"/>
        <v>0.83000000000000007</v>
      </c>
      <c r="N103" s="4">
        <v>6.3</v>
      </c>
      <c r="O103" s="4">
        <v>0</v>
      </c>
      <c r="P103" s="4">
        <v>78</v>
      </c>
      <c r="Q103" s="4">
        <v>22</v>
      </c>
      <c r="R103" s="4">
        <v>6</v>
      </c>
      <c r="S103" s="4">
        <v>19.190000000000001</v>
      </c>
      <c r="T103" s="4">
        <v>-19.190000000000001</v>
      </c>
      <c r="U103" s="4">
        <v>4.13</v>
      </c>
      <c r="V103" s="4">
        <v>92.56</v>
      </c>
      <c r="W103" s="4">
        <v>21.07</v>
      </c>
      <c r="X103" s="4">
        <v>50.41</v>
      </c>
      <c r="Y103" s="4">
        <v>11.57</v>
      </c>
      <c r="Z103" s="4">
        <v>20.64</v>
      </c>
      <c r="AA103" s="4">
        <v>-1.56</v>
      </c>
      <c r="AB103" s="4">
        <v>10.92</v>
      </c>
      <c r="AC103" s="4">
        <v>-45.49</v>
      </c>
      <c r="AD103" s="4">
        <v>160</v>
      </c>
      <c r="AE103" s="4">
        <v>1460</v>
      </c>
      <c r="AF103" s="4">
        <v>13.4</v>
      </c>
      <c r="AG103" s="4">
        <v>0.15</v>
      </c>
      <c r="AH103" s="4">
        <v>4.28</v>
      </c>
      <c r="AI103" s="4">
        <v>151.4</v>
      </c>
      <c r="AJ103" s="4">
        <v>60</v>
      </c>
      <c r="AK103" s="4">
        <v>9</v>
      </c>
      <c r="AL103" s="4">
        <v>9</v>
      </c>
      <c r="AM103" s="4">
        <v>0.05</v>
      </c>
      <c r="AN103" s="4">
        <v>96</v>
      </c>
      <c r="AO103" s="4">
        <v>96.44</v>
      </c>
      <c r="AP103" s="4">
        <v>201235.19</v>
      </c>
      <c r="AQ103" s="4">
        <v>172101.2</v>
      </c>
      <c r="AR103" s="4" t="s">
        <v>473</v>
      </c>
      <c r="AS103" s="5">
        <f t="shared" si="0"/>
        <v>1.6628989726027392</v>
      </c>
    </row>
    <row r="104" spans="1:45" ht="14.25" customHeight="1" x14ac:dyDescent="0.55000000000000004">
      <c r="A104" s="4">
        <v>0</v>
      </c>
      <c r="B104" s="4">
        <v>6</v>
      </c>
      <c r="C104" s="4">
        <v>95.4</v>
      </c>
      <c r="D104" s="4">
        <v>7.8</v>
      </c>
      <c r="E104" s="4" t="s">
        <v>2338</v>
      </c>
      <c r="F104" s="4" t="s">
        <v>2464</v>
      </c>
      <c r="G104" s="4" t="s">
        <v>2333</v>
      </c>
      <c r="H104" s="4" t="s">
        <v>2465</v>
      </c>
      <c r="I104" s="4">
        <v>0</v>
      </c>
      <c r="J104" s="4">
        <v>35</v>
      </c>
      <c r="K104" s="4">
        <f t="shared" si="4"/>
        <v>16.309999999999999</v>
      </c>
      <c r="L104" s="4">
        <f t="shared" si="5"/>
        <v>14.28</v>
      </c>
      <c r="M104" s="4">
        <f t="shared" si="6"/>
        <v>2.0299999999999994</v>
      </c>
      <c r="N104" s="4">
        <v>6.3</v>
      </c>
      <c r="O104" s="4">
        <v>0</v>
      </c>
      <c r="P104" s="4">
        <v>98</v>
      </c>
      <c r="Q104" s="4">
        <v>17</v>
      </c>
      <c r="R104" s="4">
        <v>6</v>
      </c>
      <c r="S104" s="4">
        <v>16.75</v>
      </c>
      <c r="T104" s="4">
        <v>-16.75</v>
      </c>
      <c r="U104" s="4">
        <v>2.73</v>
      </c>
      <c r="V104" s="4">
        <v>61.05</v>
      </c>
      <c r="W104" s="4">
        <v>13.9</v>
      </c>
      <c r="X104" s="4">
        <v>33.25</v>
      </c>
      <c r="Y104" s="4">
        <v>7.63</v>
      </c>
      <c r="Z104" s="4">
        <v>22.28</v>
      </c>
      <c r="AA104" s="4">
        <v>-1.9</v>
      </c>
      <c r="AB104" s="4">
        <v>11.6</v>
      </c>
      <c r="AC104" s="4">
        <v>-55.8</v>
      </c>
      <c r="AD104" s="4">
        <v>160</v>
      </c>
      <c r="AE104" s="4">
        <v>1460</v>
      </c>
      <c r="AF104" s="4">
        <v>13.4</v>
      </c>
      <c r="AG104" s="4">
        <v>0.15</v>
      </c>
      <c r="AH104" s="4">
        <v>7.77</v>
      </c>
      <c r="AI104" s="4">
        <v>151.4</v>
      </c>
      <c r="AJ104" s="4">
        <v>60</v>
      </c>
      <c r="AK104" s="4">
        <v>9</v>
      </c>
      <c r="AL104" s="4">
        <v>9</v>
      </c>
      <c r="AM104" s="4">
        <v>0.05</v>
      </c>
      <c r="AN104" s="4">
        <v>96</v>
      </c>
      <c r="AO104" s="4">
        <v>96.44</v>
      </c>
      <c r="AP104" s="4">
        <v>228164.58</v>
      </c>
      <c r="AQ104" s="4">
        <v>172101.2</v>
      </c>
      <c r="AR104" s="4" t="s">
        <v>478</v>
      </c>
      <c r="AS104" s="5">
        <f t="shared" si="0"/>
        <v>3.1999646118721445</v>
      </c>
    </row>
    <row r="105" spans="1:45" ht="14.25" customHeight="1" x14ac:dyDescent="0.55000000000000004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f t="shared" si="4"/>
        <v>0</v>
      </c>
      <c r="L105" s="4">
        <f t="shared" si="5"/>
        <v>0</v>
      </c>
      <c r="M105" s="4">
        <f t="shared" si="6"/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5">
        <f t="shared" si="0"/>
        <v>0</v>
      </c>
    </row>
    <row r="106" spans="1:45" ht="14.25" customHeight="1" x14ac:dyDescent="0.55000000000000004">
      <c r="A106" s="4">
        <v>0</v>
      </c>
      <c r="B106" s="4">
        <v>6</v>
      </c>
      <c r="C106" s="4">
        <v>74.459999999999994</v>
      </c>
      <c r="D106" s="4">
        <v>7.8</v>
      </c>
      <c r="E106" s="4" t="s">
        <v>2338</v>
      </c>
      <c r="F106" s="4" t="s">
        <v>2466</v>
      </c>
      <c r="G106" s="4" t="s">
        <v>2333</v>
      </c>
      <c r="H106" s="4" t="s">
        <v>2467</v>
      </c>
      <c r="I106" s="4">
        <v>0</v>
      </c>
      <c r="J106" s="4">
        <v>35</v>
      </c>
      <c r="K106" s="4">
        <f t="shared" si="4"/>
        <v>17.739999999999998</v>
      </c>
      <c r="L106" s="4">
        <f t="shared" si="5"/>
        <v>14.28</v>
      </c>
      <c r="M106" s="4">
        <f t="shared" si="6"/>
        <v>3.4599999999999991</v>
      </c>
      <c r="N106" s="4">
        <v>6.3</v>
      </c>
      <c r="O106" s="4">
        <v>0</v>
      </c>
      <c r="P106" s="4">
        <v>96</v>
      </c>
      <c r="Q106" s="4">
        <v>19.5</v>
      </c>
      <c r="R106" s="4">
        <v>6</v>
      </c>
      <c r="S106" s="4">
        <v>19.010000000000002</v>
      </c>
      <c r="T106" s="4">
        <v>-19.010000000000002</v>
      </c>
      <c r="U106" s="4">
        <v>2.13</v>
      </c>
      <c r="V106" s="4">
        <v>47.65</v>
      </c>
      <c r="W106" s="4">
        <v>10.85</v>
      </c>
      <c r="X106" s="4">
        <v>25.95</v>
      </c>
      <c r="Y106" s="4">
        <v>5.96</v>
      </c>
      <c r="Z106" s="4">
        <v>24.22</v>
      </c>
      <c r="AA106" s="4">
        <v>-2.11</v>
      </c>
      <c r="AB106" s="4">
        <v>12.01</v>
      </c>
      <c r="AC106" s="4">
        <v>-46.1</v>
      </c>
      <c r="AD106" s="4">
        <v>160</v>
      </c>
      <c r="AE106" s="4">
        <v>1460</v>
      </c>
      <c r="AF106" s="4">
        <v>13.4</v>
      </c>
      <c r="AG106" s="4">
        <v>0.15</v>
      </c>
      <c r="AH106" s="4">
        <v>11.89</v>
      </c>
      <c r="AI106" s="4">
        <v>151.4</v>
      </c>
      <c r="AJ106" s="4">
        <v>60</v>
      </c>
      <c r="AK106" s="4">
        <v>9</v>
      </c>
      <c r="AL106" s="4">
        <v>9</v>
      </c>
      <c r="AM106" s="4">
        <v>0.05</v>
      </c>
      <c r="AN106" s="4">
        <v>96</v>
      </c>
      <c r="AO106" s="4">
        <v>96.44</v>
      </c>
      <c r="AP106" s="4">
        <v>260180.16</v>
      </c>
      <c r="AQ106" s="4">
        <v>172101.2</v>
      </c>
      <c r="AR106" s="4" t="s">
        <v>488</v>
      </c>
      <c r="AS106" s="5">
        <f t="shared" si="0"/>
        <v>5.0273378995433786</v>
      </c>
    </row>
    <row r="107" spans="1:45" ht="14.25" customHeight="1" x14ac:dyDescent="0.55000000000000004">
      <c r="A107" s="4">
        <v>0</v>
      </c>
      <c r="B107" s="4">
        <v>6</v>
      </c>
      <c r="C107" s="4">
        <v>53.95</v>
      </c>
      <c r="D107" s="4">
        <v>7.8</v>
      </c>
      <c r="E107" s="4" t="s">
        <v>2468</v>
      </c>
      <c r="F107" s="4" t="s">
        <v>2469</v>
      </c>
      <c r="G107" s="4" t="s">
        <v>2333</v>
      </c>
      <c r="H107" s="4" t="s">
        <v>2470</v>
      </c>
      <c r="I107" s="4">
        <v>0</v>
      </c>
      <c r="J107" s="4">
        <v>159.91999999999999</v>
      </c>
      <c r="K107" s="4">
        <f t="shared" si="4"/>
        <v>26.28</v>
      </c>
      <c r="L107" s="4">
        <f t="shared" si="5"/>
        <v>14.28</v>
      </c>
      <c r="M107" s="4">
        <f t="shared" si="6"/>
        <v>12.000000000000002</v>
      </c>
      <c r="N107" s="4">
        <v>6.42</v>
      </c>
      <c r="O107" s="4">
        <v>0</v>
      </c>
      <c r="P107" s="4">
        <v>85</v>
      </c>
      <c r="Q107" s="4">
        <v>20.399999999999999</v>
      </c>
      <c r="R107" s="4">
        <v>6</v>
      </c>
      <c r="S107" s="4">
        <v>18.54</v>
      </c>
      <c r="T107" s="4">
        <v>-18.54</v>
      </c>
      <c r="U107" s="4">
        <v>0.34</v>
      </c>
      <c r="V107" s="4">
        <v>34.53</v>
      </c>
      <c r="W107" s="4">
        <v>9.67</v>
      </c>
      <c r="X107" s="4">
        <v>12.23</v>
      </c>
      <c r="Y107" s="4">
        <v>6.41</v>
      </c>
      <c r="Z107" s="4">
        <v>35.89</v>
      </c>
      <c r="AA107" s="4">
        <v>-2.4700000000000002</v>
      </c>
      <c r="AB107" s="4">
        <v>12.74</v>
      </c>
      <c r="AC107" s="4">
        <v>-47.85</v>
      </c>
      <c r="AD107" s="4">
        <v>160</v>
      </c>
      <c r="AE107" s="4">
        <v>1460</v>
      </c>
      <c r="AF107" s="4">
        <v>13.4</v>
      </c>
      <c r="AG107" s="4">
        <v>0.15</v>
      </c>
      <c r="AH107" s="4">
        <v>-20.23</v>
      </c>
      <c r="AI107" s="4">
        <v>151.4</v>
      </c>
      <c r="AJ107" s="4">
        <v>60</v>
      </c>
      <c r="AK107" s="4">
        <v>9</v>
      </c>
      <c r="AL107" s="4">
        <v>9</v>
      </c>
      <c r="AM107" s="4">
        <v>0.05</v>
      </c>
      <c r="AN107" s="4">
        <v>96</v>
      </c>
      <c r="AO107" s="4">
        <v>96.44</v>
      </c>
      <c r="AP107" s="4">
        <v>426935.4</v>
      </c>
      <c r="AQ107" s="4">
        <v>172101.2</v>
      </c>
      <c r="AR107" s="4" t="s">
        <v>493</v>
      </c>
      <c r="AS107" s="5">
        <f t="shared" si="0"/>
        <v>14.545331050228311</v>
      </c>
    </row>
    <row r="108" spans="1:45" ht="14.25" customHeight="1" x14ac:dyDescent="0.55000000000000004">
      <c r="A108" s="4">
        <v>0</v>
      </c>
      <c r="B108" s="4">
        <v>6</v>
      </c>
      <c r="C108" s="4">
        <v>58.85</v>
      </c>
      <c r="D108" s="4">
        <v>7.8</v>
      </c>
      <c r="E108" s="4" t="s">
        <v>2333</v>
      </c>
      <c r="F108" s="4" t="s">
        <v>2471</v>
      </c>
      <c r="G108" s="4" t="s">
        <v>2333</v>
      </c>
      <c r="H108" s="4" t="s">
        <v>2472</v>
      </c>
      <c r="I108" s="4">
        <v>0</v>
      </c>
      <c r="J108" s="4">
        <v>35</v>
      </c>
      <c r="K108" s="4">
        <f t="shared" si="4"/>
        <v>20.97</v>
      </c>
      <c r="L108" s="4">
        <f t="shared" si="5"/>
        <v>20.97</v>
      </c>
      <c r="M108" s="4">
        <f t="shared" si="6"/>
        <v>0</v>
      </c>
      <c r="N108" s="4">
        <v>6.3</v>
      </c>
      <c r="O108" s="4">
        <v>0</v>
      </c>
      <c r="P108" s="4">
        <v>76</v>
      </c>
      <c r="Q108" s="4">
        <v>21.8</v>
      </c>
      <c r="R108" s="4">
        <v>6</v>
      </c>
      <c r="S108" s="4">
        <v>18.739999999999998</v>
      </c>
      <c r="T108" s="4">
        <v>-18.739999999999998</v>
      </c>
      <c r="U108" s="4">
        <v>1.68</v>
      </c>
      <c r="V108" s="4">
        <v>37.659999999999997</v>
      </c>
      <c r="W108" s="4">
        <v>8.57</v>
      </c>
      <c r="X108" s="4">
        <v>20.51</v>
      </c>
      <c r="Y108" s="4">
        <v>4.71</v>
      </c>
      <c r="Z108" s="4">
        <v>2.83</v>
      </c>
      <c r="AA108" s="4">
        <v>-2.2999999999999998</v>
      </c>
      <c r="AB108" s="4">
        <v>12.4</v>
      </c>
      <c r="AC108" s="4">
        <v>-47.1</v>
      </c>
      <c r="AD108" s="4">
        <v>160</v>
      </c>
      <c r="AE108" s="4">
        <v>1460</v>
      </c>
      <c r="AF108" s="4">
        <v>13.4</v>
      </c>
      <c r="AG108" s="4">
        <v>0.15</v>
      </c>
      <c r="AH108" s="4">
        <v>19.670000000000002</v>
      </c>
      <c r="AI108" s="4">
        <v>14.95</v>
      </c>
      <c r="AJ108" s="4">
        <v>60</v>
      </c>
      <c r="AK108" s="4">
        <v>9</v>
      </c>
      <c r="AL108" s="4">
        <v>9</v>
      </c>
      <c r="AM108" s="4">
        <v>0.49</v>
      </c>
      <c r="AN108" s="4">
        <v>96</v>
      </c>
      <c r="AO108" s="4">
        <v>100.45</v>
      </c>
      <c r="AP108" s="4">
        <v>332536.05</v>
      </c>
      <c r="AQ108" s="4">
        <v>332536.05</v>
      </c>
      <c r="AR108" s="4" t="s">
        <v>497</v>
      </c>
      <c r="AS108" s="5">
        <f t="shared" si="0"/>
        <v>0</v>
      </c>
    </row>
    <row r="109" spans="1:45" ht="14.25" customHeight="1" x14ac:dyDescent="0.55000000000000004">
      <c r="A109" s="4">
        <v>0</v>
      </c>
      <c r="B109" s="4">
        <v>6</v>
      </c>
      <c r="C109" s="4">
        <v>55.85</v>
      </c>
      <c r="D109" s="4">
        <v>7.8</v>
      </c>
      <c r="E109" s="4" t="s">
        <v>2473</v>
      </c>
      <c r="F109" s="4" t="s">
        <v>2474</v>
      </c>
      <c r="G109" s="4" t="s">
        <v>2333</v>
      </c>
      <c r="H109" s="4" t="s">
        <v>2475</v>
      </c>
      <c r="I109" s="4">
        <v>0</v>
      </c>
      <c r="J109" s="4">
        <v>514</v>
      </c>
      <c r="K109" s="4">
        <f t="shared" si="4"/>
        <v>33.21</v>
      </c>
      <c r="L109" s="4">
        <f t="shared" si="5"/>
        <v>14.28</v>
      </c>
      <c r="M109" s="4">
        <f t="shared" si="6"/>
        <v>18.93</v>
      </c>
      <c r="N109" s="4">
        <v>6.78</v>
      </c>
      <c r="O109" s="4">
        <v>0</v>
      </c>
      <c r="P109" s="4">
        <v>89</v>
      </c>
      <c r="Q109" s="4">
        <v>18.899999999999999</v>
      </c>
      <c r="R109" s="4">
        <v>6</v>
      </c>
      <c r="S109" s="4">
        <v>17.559999999999999</v>
      </c>
      <c r="T109" s="4">
        <v>-17.559999999999999</v>
      </c>
      <c r="U109" s="4">
        <v>0.11</v>
      </c>
      <c r="V109" s="4">
        <v>35.74</v>
      </c>
      <c r="W109" s="4">
        <v>10.37</v>
      </c>
      <c r="X109" s="4">
        <v>11.35</v>
      </c>
      <c r="Y109" s="4">
        <v>7.05</v>
      </c>
      <c r="Z109" s="4">
        <v>45.34</v>
      </c>
      <c r="AA109" s="4">
        <v>-2.4700000000000002</v>
      </c>
      <c r="AB109" s="4">
        <v>12.74</v>
      </c>
      <c r="AC109" s="4">
        <v>-51.88</v>
      </c>
      <c r="AD109" s="4">
        <v>160</v>
      </c>
      <c r="AE109" s="4">
        <v>1460</v>
      </c>
      <c r="AF109" s="4">
        <v>13.4</v>
      </c>
      <c r="AG109" s="4">
        <v>0.15</v>
      </c>
      <c r="AH109" s="4">
        <v>-15.04</v>
      </c>
      <c r="AI109" s="4">
        <v>151.4</v>
      </c>
      <c r="AJ109" s="4">
        <v>60</v>
      </c>
      <c r="AK109" s="4">
        <v>9</v>
      </c>
      <c r="AL109" s="4">
        <v>9</v>
      </c>
      <c r="AM109" s="4">
        <v>0.05</v>
      </c>
      <c r="AN109" s="4">
        <v>96</v>
      </c>
      <c r="AO109" s="4">
        <v>96.44</v>
      </c>
      <c r="AP109" s="4">
        <v>486612.21</v>
      </c>
      <c r="AQ109" s="4">
        <v>172101.2</v>
      </c>
      <c r="AR109" s="4" t="s">
        <v>502</v>
      </c>
      <c r="AS109" s="5">
        <f t="shared" si="0"/>
        <v>17.951541666666667</v>
      </c>
    </row>
    <row r="110" spans="1:45" ht="14.25" customHeight="1" x14ac:dyDescent="0.55000000000000004">
      <c r="A110" s="4">
        <v>0</v>
      </c>
      <c r="B110" s="4">
        <v>6</v>
      </c>
      <c r="C110" s="4">
        <v>66.290000000000006</v>
      </c>
      <c r="D110" s="4">
        <v>7.8</v>
      </c>
      <c r="E110" s="4" t="s">
        <v>2333</v>
      </c>
      <c r="F110" s="4" t="s">
        <v>2476</v>
      </c>
      <c r="G110" s="4" t="s">
        <v>2333</v>
      </c>
      <c r="H110" s="4" t="s">
        <v>41</v>
      </c>
      <c r="I110" s="4">
        <v>0</v>
      </c>
      <c r="J110" s="4">
        <v>35</v>
      </c>
      <c r="K110" s="4">
        <f t="shared" si="4"/>
        <v>18.89</v>
      </c>
      <c r="L110" s="4">
        <f t="shared" si="5"/>
        <v>18.89</v>
      </c>
      <c r="M110" s="4">
        <f t="shared" si="6"/>
        <v>0</v>
      </c>
      <c r="N110" s="4">
        <v>6.3</v>
      </c>
      <c r="O110" s="4">
        <v>0</v>
      </c>
      <c r="P110" s="4">
        <v>71</v>
      </c>
      <c r="Q110" s="4">
        <v>22.2</v>
      </c>
      <c r="R110" s="4">
        <v>6</v>
      </c>
      <c r="S110" s="4">
        <v>18.46</v>
      </c>
      <c r="T110" s="4">
        <v>-18.46</v>
      </c>
      <c r="U110" s="4">
        <v>1.89</v>
      </c>
      <c r="V110" s="4">
        <v>42.43</v>
      </c>
      <c r="W110" s="4">
        <v>9.66</v>
      </c>
      <c r="X110" s="4">
        <v>23.11</v>
      </c>
      <c r="Y110" s="4">
        <v>5.3</v>
      </c>
      <c r="Z110" s="4">
        <v>3.54</v>
      </c>
      <c r="AA110" s="4">
        <v>-2.2000000000000002</v>
      </c>
      <c r="AB110" s="4">
        <v>12.2</v>
      </c>
      <c r="AC110" s="4">
        <v>-48.15</v>
      </c>
      <c r="AD110" s="4">
        <v>160</v>
      </c>
      <c r="AE110" s="4">
        <v>1460</v>
      </c>
      <c r="AF110" s="4">
        <v>13.4</v>
      </c>
      <c r="AG110" s="4">
        <v>0.15</v>
      </c>
      <c r="AH110" s="4">
        <v>14.99</v>
      </c>
      <c r="AI110" s="4">
        <v>20.76</v>
      </c>
      <c r="AJ110" s="4">
        <v>60</v>
      </c>
      <c r="AK110" s="4">
        <v>9</v>
      </c>
      <c r="AL110" s="4">
        <v>9</v>
      </c>
      <c r="AM110" s="4">
        <v>0.36</v>
      </c>
      <c r="AN110" s="4">
        <v>96</v>
      </c>
      <c r="AO110" s="4">
        <v>99.2</v>
      </c>
      <c r="AP110" s="4">
        <v>285936.52</v>
      </c>
      <c r="AQ110" s="4">
        <v>285936.52</v>
      </c>
      <c r="AR110" s="4" t="s">
        <v>507</v>
      </c>
      <c r="AS110" s="5">
        <f t="shared" si="0"/>
        <v>0</v>
      </c>
    </row>
    <row r="111" spans="1:45" ht="14.25" customHeight="1" x14ac:dyDescent="0.55000000000000004">
      <c r="A111" s="4">
        <v>0</v>
      </c>
      <c r="B111" s="4">
        <v>6</v>
      </c>
      <c r="C111" s="4">
        <v>54.09</v>
      </c>
      <c r="D111" s="4">
        <v>7.8</v>
      </c>
      <c r="E111" s="4" t="s">
        <v>2477</v>
      </c>
      <c r="F111" s="4" t="s">
        <v>2478</v>
      </c>
      <c r="G111" s="4" t="s">
        <v>2333</v>
      </c>
      <c r="H111" s="4" t="s">
        <v>2479</v>
      </c>
      <c r="I111" s="4">
        <v>0</v>
      </c>
      <c r="J111" s="4">
        <v>413.75</v>
      </c>
      <c r="K111" s="4">
        <f t="shared" si="4"/>
        <v>28.689999999999998</v>
      </c>
      <c r="L111" s="4">
        <f t="shared" si="5"/>
        <v>14.28</v>
      </c>
      <c r="M111" s="4">
        <f t="shared" si="6"/>
        <v>14.409999999999998</v>
      </c>
      <c r="N111" s="4">
        <v>6.68</v>
      </c>
      <c r="O111" s="4">
        <v>0</v>
      </c>
      <c r="P111" s="4">
        <v>90</v>
      </c>
      <c r="Q111" s="4">
        <v>18.8</v>
      </c>
      <c r="R111" s="4">
        <v>6</v>
      </c>
      <c r="S111" s="4">
        <v>17.59</v>
      </c>
      <c r="T111" s="4">
        <v>-17.59</v>
      </c>
      <c r="U111" s="4">
        <v>0.13</v>
      </c>
      <c r="V111" s="4">
        <v>34.619999999999997</v>
      </c>
      <c r="W111" s="4">
        <v>10.01</v>
      </c>
      <c r="X111" s="4">
        <v>11.13</v>
      </c>
      <c r="Y111" s="4">
        <v>6.79</v>
      </c>
      <c r="Z111" s="4">
        <v>39.18</v>
      </c>
      <c r="AA111" s="4">
        <v>-2.4900000000000002</v>
      </c>
      <c r="AB111" s="4">
        <v>12.79</v>
      </c>
      <c r="AC111" s="4">
        <v>-51.78</v>
      </c>
      <c r="AD111" s="4">
        <v>160</v>
      </c>
      <c r="AE111" s="4">
        <v>1460</v>
      </c>
      <c r="AF111" s="4">
        <v>13.4</v>
      </c>
      <c r="AG111" s="4">
        <v>0.15</v>
      </c>
      <c r="AH111" s="4">
        <v>-15.42</v>
      </c>
      <c r="AI111" s="4">
        <v>151.4</v>
      </c>
      <c r="AJ111" s="4">
        <v>60</v>
      </c>
      <c r="AK111" s="4">
        <v>9</v>
      </c>
      <c r="AL111" s="4">
        <v>9</v>
      </c>
      <c r="AM111" s="4">
        <v>0.05</v>
      </c>
      <c r="AN111" s="4">
        <v>96</v>
      </c>
      <c r="AO111" s="4">
        <v>96.44</v>
      </c>
      <c r="AP111" s="4">
        <v>423531.36</v>
      </c>
      <c r="AQ111" s="4">
        <v>172101.2</v>
      </c>
      <c r="AR111" s="4" t="s">
        <v>512</v>
      </c>
      <c r="AS111" s="5">
        <f t="shared" si="0"/>
        <v>14.351036529680364</v>
      </c>
    </row>
    <row r="112" spans="1:45" ht="14.25" customHeight="1" x14ac:dyDescent="0.55000000000000004">
      <c r="A112" s="4">
        <v>0</v>
      </c>
      <c r="B112" s="4">
        <v>6</v>
      </c>
      <c r="C112" s="4">
        <v>57.83</v>
      </c>
      <c r="D112" s="4">
        <v>7.8</v>
      </c>
      <c r="E112" s="4" t="s">
        <v>2480</v>
      </c>
      <c r="F112" s="4" t="s">
        <v>2481</v>
      </c>
      <c r="G112" s="4" t="s">
        <v>2333</v>
      </c>
      <c r="H112" s="4" t="s">
        <v>2482</v>
      </c>
      <c r="I112" s="4">
        <v>0</v>
      </c>
      <c r="J112" s="4">
        <v>46.63</v>
      </c>
      <c r="K112" s="4">
        <f t="shared" si="4"/>
        <v>21.46</v>
      </c>
      <c r="L112" s="4">
        <f t="shared" si="5"/>
        <v>14.28</v>
      </c>
      <c r="M112" s="4">
        <f t="shared" si="6"/>
        <v>7.1800000000000015</v>
      </c>
      <c r="N112" s="4">
        <v>6.31</v>
      </c>
      <c r="O112" s="4">
        <v>0</v>
      </c>
      <c r="P112" s="4">
        <v>85</v>
      </c>
      <c r="Q112" s="4">
        <v>20.100000000000001</v>
      </c>
      <c r="R112" s="4">
        <v>6</v>
      </c>
      <c r="S112" s="4">
        <v>18.25</v>
      </c>
      <c r="T112" s="4">
        <v>-18.25</v>
      </c>
      <c r="U112" s="4">
        <v>1.24</v>
      </c>
      <c r="V112" s="4">
        <v>37.01</v>
      </c>
      <c r="W112" s="4">
        <v>9.0500000000000007</v>
      </c>
      <c r="X112" s="4">
        <v>17.91</v>
      </c>
      <c r="Y112" s="4">
        <v>5.34</v>
      </c>
      <c r="Z112" s="4">
        <v>29.3</v>
      </c>
      <c r="AA112" s="4">
        <v>-2.33</v>
      </c>
      <c r="AB112" s="4">
        <v>12.47</v>
      </c>
      <c r="AC112" s="4">
        <v>-48.99</v>
      </c>
      <c r="AD112" s="4">
        <v>160</v>
      </c>
      <c r="AE112" s="4">
        <v>1460</v>
      </c>
      <c r="AF112" s="4">
        <v>13.4</v>
      </c>
      <c r="AG112" s="4">
        <v>0.15</v>
      </c>
      <c r="AH112" s="4">
        <v>55.84</v>
      </c>
      <c r="AI112" s="4">
        <v>151.4</v>
      </c>
      <c r="AJ112" s="4">
        <v>60</v>
      </c>
      <c r="AK112" s="4">
        <v>9</v>
      </c>
      <c r="AL112" s="4">
        <v>9</v>
      </c>
      <c r="AM112" s="4">
        <v>0.05</v>
      </c>
      <c r="AN112" s="4">
        <v>96</v>
      </c>
      <c r="AO112" s="4">
        <v>96.44</v>
      </c>
      <c r="AP112" s="4">
        <v>341582.63</v>
      </c>
      <c r="AQ112" s="4">
        <v>172101.2</v>
      </c>
      <c r="AR112" s="4" t="s">
        <v>517</v>
      </c>
      <c r="AS112" s="5">
        <f t="shared" si="0"/>
        <v>9.6735976027397257</v>
      </c>
    </row>
    <row r="113" spans="1:45" ht="14.25" customHeight="1" x14ac:dyDescent="0.55000000000000004">
      <c r="A113" s="4">
        <v>0</v>
      </c>
      <c r="B113" s="4">
        <v>6</v>
      </c>
      <c r="C113" s="4">
        <v>70.900000000000006</v>
      </c>
      <c r="D113" s="4">
        <v>7.8</v>
      </c>
      <c r="E113" s="4" t="s">
        <v>2338</v>
      </c>
      <c r="F113" s="4" t="s">
        <v>2483</v>
      </c>
      <c r="G113" s="4" t="s">
        <v>2333</v>
      </c>
      <c r="H113" s="4" t="s">
        <v>2484</v>
      </c>
      <c r="I113" s="4">
        <v>0</v>
      </c>
      <c r="J113" s="4">
        <v>35</v>
      </c>
      <c r="K113" s="4">
        <f t="shared" si="4"/>
        <v>18.170000000000002</v>
      </c>
      <c r="L113" s="4">
        <f t="shared" si="5"/>
        <v>14.28</v>
      </c>
      <c r="M113" s="4">
        <f t="shared" si="6"/>
        <v>3.8900000000000023</v>
      </c>
      <c r="N113" s="4">
        <v>6.3</v>
      </c>
      <c r="O113" s="4">
        <v>0</v>
      </c>
      <c r="P113" s="4">
        <v>77</v>
      </c>
      <c r="Q113" s="4">
        <v>22.2</v>
      </c>
      <c r="R113" s="4">
        <v>6</v>
      </c>
      <c r="S113" s="4">
        <v>19.25</v>
      </c>
      <c r="T113" s="4">
        <v>-19.25</v>
      </c>
      <c r="U113" s="4">
        <v>2.0299999999999998</v>
      </c>
      <c r="V113" s="4">
        <v>45.38</v>
      </c>
      <c r="W113" s="4">
        <v>10.33</v>
      </c>
      <c r="X113" s="4">
        <v>24.71</v>
      </c>
      <c r="Y113" s="4">
        <v>5.67</v>
      </c>
      <c r="Z113" s="4">
        <v>24.8</v>
      </c>
      <c r="AA113" s="4">
        <v>-2.15</v>
      </c>
      <c r="AB113" s="4">
        <v>12.09</v>
      </c>
      <c r="AC113" s="4">
        <v>-45.28</v>
      </c>
      <c r="AD113" s="4">
        <v>160</v>
      </c>
      <c r="AE113" s="4">
        <v>1460</v>
      </c>
      <c r="AF113" s="4">
        <v>13.4</v>
      </c>
      <c r="AG113" s="4">
        <v>0.15</v>
      </c>
      <c r="AH113" s="4">
        <v>13.07</v>
      </c>
      <c r="AI113" s="4">
        <v>151.4</v>
      </c>
      <c r="AJ113" s="4">
        <v>60</v>
      </c>
      <c r="AK113" s="4">
        <v>9</v>
      </c>
      <c r="AL113" s="4">
        <v>9</v>
      </c>
      <c r="AM113" s="4">
        <v>0.05</v>
      </c>
      <c r="AN113" s="4">
        <v>96</v>
      </c>
      <c r="AO113" s="4">
        <v>96.44</v>
      </c>
      <c r="AP113" s="4">
        <v>269694.77</v>
      </c>
      <c r="AQ113" s="4">
        <v>172101.2</v>
      </c>
      <c r="AR113" s="4" t="s">
        <v>521</v>
      </c>
      <c r="AS113" s="5">
        <f t="shared" si="0"/>
        <v>5.570409246575343</v>
      </c>
    </row>
    <row r="114" spans="1:45" ht="14.25" customHeight="1" x14ac:dyDescent="0.55000000000000004">
      <c r="A114" s="4">
        <v>0</v>
      </c>
      <c r="B114" s="4">
        <v>6</v>
      </c>
      <c r="C114" s="4">
        <v>55.26</v>
      </c>
      <c r="D114" s="4">
        <v>7.8</v>
      </c>
      <c r="E114" s="4" t="s">
        <v>2485</v>
      </c>
      <c r="F114" s="4" t="s">
        <v>2486</v>
      </c>
      <c r="G114" s="4" t="s">
        <v>2333</v>
      </c>
      <c r="H114" s="4" t="s">
        <v>2487</v>
      </c>
      <c r="I114" s="4">
        <v>0</v>
      </c>
      <c r="J114" s="4">
        <v>154.33000000000001</v>
      </c>
      <c r="K114" s="4">
        <f t="shared" si="4"/>
        <v>23.37</v>
      </c>
      <c r="L114" s="4">
        <f t="shared" si="5"/>
        <v>14.28</v>
      </c>
      <c r="M114" s="4">
        <f t="shared" si="6"/>
        <v>9.0900000000000016</v>
      </c>
      <c r="N114" s="4">
        <v>6.42</v>
      </c>
      <c r="O114" s="4">
        <v>0</v>
      </c>
      <c r="P114" s="4">
        <v>81</v>
      </c>
      <c r="Q114" s="4">
        <v>21.4</v>
      </c>
      <c r="R114" s="4">
        <v>6</v>
      </c>
      <c r="S114" s="4">
        <v>19</v>
      </c>
      <c r="T114" s="4">
        <v>-19</v>
      </c>
      <c r="U114" s="4">
        <v>0.36</v>
      </c>
      <c r="V114" s="4">
        <v>35.36</v>
      </c>
      <c r="W114" s="4">
        <v>9.89</v>
      </c>
      <c r="X114" s="4">
        <v>12.6</v>
      </c>
      <c r="Y114" s="4">
        <v>6.54</v>
      </c>
      <c r="Z114" s="4">
        <v>31.92</v>
      </c>
      <c r="AA114" s="4">
        <v>-2.4500000000000002</v>
      </c>
      <c r="AB114" s="4">
        <v>12.69</v>
      </c>
      <c r="AC114" s="4">
        <v>-46.15</v>
      </c>
      <c r="AD114" s="4">
        <v>160</v>
      </c>
      <c r="AE114" s="4">
        <v>1460</v>
      </c>
      <c r="AF114" s="4">
        <v>13.4</v>
      </c>
      <c r="AG114" s="4">
        <v>0.15</v>
      </c>
      <c r="AH114" s="4">
        <v>-20.88</v>
      </c>
      <c r="AI114" s="4">
        <v>151.4</v>
      </c>
      <c r="AJ114" s="4">
        <v>60</v>
      </c>
      <c r="AK114" s="4">
        <v>9</v>
      </c>
      <c r="AL114" s="4">
        <v>9</v>
      </c>
      <c r="AM114" s="4">
        <v>0.05</v>
      </c>
      <c r="AN114" s="4">
        <v>96</v>
      </c>
      <c r="AO114" s="4">
        <v>96.44</v>
      </c>
      <c r="AP114" s="4">
        <v>365459.34</v>
      </c>
      <c r="AQ114" s="4">
        <v>172101.2</v>
      </c>
      <c r="AR114" s="4" t="s">
        <v>526</v>
      </c>
      <c r="AS114" s="5">
        <f t="shared" si="0"/>
        <v>11.036423515981737</v>
      </c>
    </row>
    <row r="115" spans="1:45" ht="14.25" customHeight="1" x14ac:dyDescent="0.55000000000000004">
      <c r="A115" s="4">
        <v>0</v>
      </c>
      <c r="B115" s="4">
        <v>6</v>
      </c>
      <c r="C115" s="4">
        <v>80.17</v>
      </c>
      <c r="D115" s="4">
        <v>7.8</v>
      </c>
      <c r="E115" s="4" t="s">
        <v>2338</v>
      </c>
      <c r="F115" s="4" t="s">
        <v>2488</v>
      </c>
      <c r="G115" s="4" t="s">
        <v>2333</v>
      </c>
      <c r="H115" s="4" t="s">
        <v>2489</v>
      </c>
      <c r="I115" s="4">
        <v>0</v>
      </c>
      <c r="J115" s="4">
        <v>35</v>
      </c>
      <c r="K115" s="4">
        <f t="shared" si="4"/>
        <v>17.21</v>
      </c>
      <c r="L115" s="4">
        <f t="shared" si="5"/>
        <v>14.28</v>
      </c>
      <c r="M115" s="4">
        <f t="shared" si="6"/>
        <v>2.9300000000000015</v>
      </c>
      <c r="N115" s="4">
        <v>6.3</v>
      </c>
      <c r="O115" s="4">
        <v>0</v>
      </c>
      <c r="P115" s="4">
        <v>91</v>
      </c>
      <c r="Q115" s="4">
        <v>20.2</v>
      </c>
      <c r="R115" s="4">
        <v>6</v>
      </c>
      <c r="S115" s="4">
        <v>19.09</v>
      </c>
      <c r="T115" s="4">
        <v>-19.09</v>
      </c>
      <c r="U115" s="4">
        <v>2.29</v>
      </c>
      <c r="V115" s="4">
        <v>51.31</v>
      </c>
      <c r="W115" s="4">
        <v>11.68</v>
      </c>
      <c r="X115" s="4">
        <v>27.95</v>
      </c>
      <c r="Y115" s="4">
        <v>6.41</v>
      </c>
      <c r="Z115" s="4">
        <v>23.5</v>
      </c>
      <c r="AA115" s="4">
        <v>-2.04</v>
      </c>
      <c r="AB115" s="4">
        <v>11.89</v>
      </c>
      <c r="AC115" s="4">
        <v>-45.83</v>
      </c>
      <c r="AD115" s="4">
        <v>160</v>
      </c>
      <c r="AE115" s="4">
        <v>1460</v>
      </c>
      <c r="AF115" s="4">
        <v>13.4</v>
      </c>
      <c r="AG115" s="4">
        <v>0.15</v>
      </c>
      <c r="AH115" s="4">
        <v>10.39</v>
      </c>
      <c r="AI115" s="4">
        <v>151.4</v>
      </c>
      <c r="AJ115" s="4">
        <v>60</v>
      </c>
      <c r="AK115" s="4">
        <v>9</v>
      </c>
      <c r="AL115" s="4">
        <v>9</v>
      </c>
      <c r="AM115" s="4">
        <v>0.05</v>
      </c>
      <c r="AN115" s="4">
        <v>96</v>
      </c>
      <c r="AO115" s="4">
        <v>96.44</v>
      </c>
      <c r="AP115" s="4">
        <v>248340.85</v>
      </c>
      <c r="AQ115" s="4">
        <v>172101.2</v>
      </c>
      <c r="AR115" s="4" t="s">
        <v>1546</v>
      </c>
      <c r="AS115" s="5">
        <f t="shared" si="0"/>
        <v>4.3515781963470319</v>
      </c>
    </row>
    <row r="116" spans="1:45" ht="14.25" customHeight="1" x14ac:dyDescent="0.55000000000000004">
      <c r="A116" s="4">
        <v>0</v>
      </c>
      <c r="B116" s="4">
        <v>6</v>
      </c>
      <c r="C116" s="4">
        <v>76.53</v>
      </c>
      <c r="D116" s="4">
        <v>7.8</v>
      </c>
      <c r="E116" s="4" t="s">
        <v>2338</v>
      </c>
      <c r="F116" s="4" t="s">
        <v>2490</v>
      </c>
      <c r="G116" s="4" t="s">
        <v>2333</v>
      </c>
      <c r="H116" s="4" t="s">
        <v>2491</v>
      </c>
      <c r="I116" s="4">
        <v>0</v>
      </c>
      <c r="J116" s="4">
        <v>35</v>
      </c>
      <c r="K116" s="4">
        <f t="shared" si="4"/>
        <v>17.53</v>
      </c>
      <c r="L116" s="4">
        <f t="shared" si="5"/>
        <v>14.28</v>
      </c>
      <c r="M116" s="4">
        <f t="shared" si="6"/>
        <v>3.2500000000000018</v>
      </c>
      <c r="N116" s="4">
        <v>6.3</v>
      </c>
      <c r="O116" s="4">
        <v>0</v>
      </c>
      <c r="P116" s="4">
        <v>95</v>
      </c>
      <c r="Q116" s="4">
        <v>18.899999999999999</v>
      </c>
      <c r="R116" s="4">
        <v>6</v>
      </c>
      <c r="S116" s="4">
        <v>18.29</v>
      </c>
      <c r="T116" s="4">
        <v>-18.29</v>
      </c>
      <c r="U116" s="4">
        <v>2.19</v>
      </c>
      <c r="V116" s="4">
        <v>48.98</v>
      </c>
      <c r="W116" s="4">
        <v>11.15</v>
      </c>
      <c r="X116" s="4">
        <v>26.67</v>
      </c>
      <c r="Y116" s="4">
        <v>6.12</v>
      </c>
      <c r="Z116" s="4">
        <v>23.94</v>
      </c>
      <c r="AA116" s="4">
        <v>-2.08</v>
      </c>
      <c r="AB116" s="4">
        <v>11.97</v>
      </c>
      <c r="AC116" s="4">
        <v>-48.81</v>
      </c>
      <c r="AD116" s="4">
        <v>160</v>
      </c>
      <c r="AE116" s="4">
        <v>1460</v>
      </c>
      <c r="AF116" s="4">
        <v>13.4</v>
      </c>
      <c r="AG116" s="4">
        <v>0.15</v>
      </c>
      <c r="AH116" s="4">
        <v>11.3</v>
      </c>
      <c r="AI116" s="4">
        <v>151.4</v>
      </c>
      <c r="AJ116" s="4">
        <v>60</v>
      </c>
      <c r="AK116" s="4">
        <v>9</v>
      </c>
      <c r="AL116" s="4">
        <v>9</v>
      </c>
      <c r="AM116" s="4">
        <v>0.05</v>
      </c>
      <c r="AN116" s="4">
        <v>96</v>
      </c>
      <c r="AO116" s="4">
        <v>96.44</v>
      </c>
      <c r="AP116" s="4">
        <v>255484.49</v>
      </c>
      <c r="AQ116" s="4">
        <v>172101.2</v>
      </c>
      <c r="AR116" s="4" t="s">
        <v>530</v>
      </c>
      <c r="AS116" s="5">
        <f t="shared" si="0"/>
        <v>4.759320205479451</v>
      </c>
    </row>
    <row r="117" spans="1:45" ht="14.25" customHeight="1" x14ac:dyDescent="0.55000000000000004">
      <c r="A117" s="4">
        <v>0</v>
      </c>
      <c r="B117" s="4">
        <v>6</v>
      </c>
      <c r="C117" s="4">
        <v>54.69</v>
      </c>
      <c r="D117" s="4">
        <v>7.8</v>
      </c>
      <c r="E117" s="4" t="s">
        <v>2492</v>
      </c>
      <c r="F117" s="4" t="s">
        <v>2493</v>
      </c>
      <c r="G117" s="4" t="s">
        <v>2333</v>
      </c>
      <c r="H117" s="4" t="s">
        <v>2494</v>
      </c>
      <c r="I117" s="4">
        <v>0</v>
      </c>
      <c r="J117" s="4">
        <v>250.05</v>
      </c>
      <c r="K117" s="4">
        <f t="shared" si="4"/>
        <v>24.13</v>
      </c>
      <c r="L117" s="4">
        <f t="shared" si="5"/>
        <v>14.28</v>
      </c>
      <c r="M117" s="4">
        <f t="shared" si="6"/>
        <v>9.85</v>
      </c>
      <c r="N117" s="4">
        <v>6.51</v>
      </c>
      <c r="O117" s="4">
        <v>0</v>
      </c>
      <c r="P117" s="4">
        <v>90</v>
      </c>
      <c r="Q117" s="4">
        <v>19</v>
      </c>
      <c r="R117" s="4">
        <v>6</v>
      </c>
      <c r="S117" s="4">
        <v>17.78</v>
      </c>
      <c r="T117" s="4">
        <v>-17.78</v>
      </c>
      <c r="U117" s="4">
        <v>0.22</v>
      </c>
      <c r="V117" s="4">
        <v>35</v>
      </c>
      <c r="W117" s="4">
        <v>9.99</v>
      </c>
      <c r="X117" s="4">
        <v>11.73</v>
      </c>
      <c r="Y117" s="4">
        <v>6.71</v>
      </c>
      <c r="Z117" s="4">
        <v>32.950000000000003</v>
      </c>
      <c r="AA117" s="4">
        <v>-2.4700000000000002</v>
      </c>
      <c r="AB117" s="4">
        <v>12.75</v>
      </c>
      <c r="AC117" s="4">
        <v>-50.91</v>
      </c>
      <c r="AD117" s="4">
        <v>160</v>
      </c>
      <c r="AE117" s="4">
        <v>1460</v>
      </c>
      <c r="AF117" s="4">
        <v>13.4</v>
      </c>
      <c r="AG117" s="4">
        <v>0.15</v>
      </c>
      <c r="AH117" s="4">
        <v>-17.16</v>
      </c>
      <c r="AI117" s="4">
        <v>151.4</v>
      </c>
      <c r="AJ117" s="4">
        <v>60</v>
      </c>
      <c r="AK117" s="4">
        <v>9</v>
      </c>
      <c r="AL117" s="4">
        <v>9</v>
      </c>
      <c r="AM117" s="4">
        <v>0.05</v>
      </c>
      <c r="AN117" s="4">
        <v>96</v>
      </c>
      <c r="AO117" s="4">
        <v>96.44</v>
      </c>
      <c r="AP117" s="4">
        <v>364207.55</v>
      </c>
      <c r="AQ117" s="4">
        <v>172101.2</v>
      </c>
      <c r="AR117" s="4" t="s">
        <v>535</v>
      </c>
      <c r="AS117" s="5">
        <f t="shared" si="0"/>
        <v>10.964974315068492</v>
      </c>
    </row>
    <row r="118" spans="1:45" ht="14.25" customHeight="1" x14ac:dyDescent="0.55000000000000004">
      <c r="A118" s="4">
        <v>0</v>
      </c>
      <c r="B118" s="4">
        <v>6</v>
      </c>
      <c r="C118" s="4">
        <v>66.38</v>
      </c>
      <c r="D118" s="4">
        <v>7.8</v>
      </c>
      <c r="E118" s="4" t="s">
        <v>2333</v>
      </c>
      <c r="F118" s="4" t="s">
        <v>2495</v>
      </c>
      <c r="G118" s="4" t="s">
        <v>2333</v>
      </c>
      <c r="H118" s="4" t="s">
        <v>2496</v>
      </c>
      <c r="I118" s="4">
        <v>0</v>
      </c>
      <c r="J118" s="4">
        <v>35</v>
      </c>
      <c r="K118" s="4">
        <f t="shared" si="4"/>
        <v>18.87</v>
      </c>
      <c r="L118" s="4">
        <f t="shared" si="5"/>
        <v>18.87</v>
      </c>
      <c r="M118" s="4">
        <f t="shared" si="6"/>
        <v>0</v>
      </c>
      <c r="N118" s="4">
        <v>6.3</v>
      </c>
      <c r="O118" s="4">
        <v>0</v>
      </c>
      <c r="P118" s="4">
        <v>94</v>
      </c>
      <c r="Q118" s="4">
        <v>18.600000000000001</v>
      </c>
      <c r="R118" s="4">
        <v>6</v>
      </c>
      <c r="S118" s="4">
        <v>17.87</v>
      </c>
      <c r="T118" s="4">
        <v>-17.87</v>
      </c>
      <c r="U118" s="4">
        <v>1.9</v>
      </c>
      <c r="V118" s="4">
        <v>42.48</v>
      </c>
      <c r="W118" s="4">
        <v>9.67</v>
      </c>
      <c r="X118" s="4">
        <v>23.14</v>
      </c>
      <c r="Y118" s="4">
        <v>5.31</v>
      </c>
      <c r="Z118" s="4">
        <v>3.54</v>
      </c>
      <c r="AA118" s="4">
        <v>-2.2000000000000002</v>
      </c>
      <c r="AB118" s="4">
        <v>12.2</v>
      </c>
      <c r="AC118" s="4">
        <v>-50.53</v>
      </c>
      <c r="AD118" s="4">
        <v>160</v>
      </c>
      <c r="AE118" s="4">
        <v>1460</v>
      </c>
      <c r="AF118" s="4">
        <v>13.4</v>
      </c>
      <c r="AG118" s="4">
        <v>0.15</v>
      </c>
      <c r="AH118" s="4">
        <v>14.95</v>
      </c>
      <c r="AI118" s="4">
        <v>20.82</v>
      </c>
      <c r="AJ118" s="4">
        <v>60</v>
      </c>
      <c r="AK118" s="4">
        <v>9</v>
      </c>
      <c r="AL118" s="4">
        <v>9</v>
      </c>
      <c r="AM118" s="4">
        <v>0.35</v>
      </c>
      <c r="AN118" s="4">
        <v>96</v>
      </c>
      <c r="AO118" s="4">
        <v>99.19</v>
      </c>
      <c r="AP118" s="4">
        <v>285565.12</v>
      </c>
      <c r="AQ118" s="4">
        <v>285565.12</v>
      </c>
      <c r="AR118" s="4" t="s">
        <v>540</v>
      </c>
      <c r="AS118" s="5">
        <f t="shared" si="0"/>
        <v>0</v>
      </c>
    </row>
    <row r="119" spans="1:45" ht="14.25" customHeight="1" x14ac:dyDescent="0.55000000000000004">
      <c r="A119" s="4">
        <v>0</v>
      </c>
      <c r="B119" s="4">
        <v>6</v>
      </c>
      <c r="C119" s="4">
        <v>57.07</v>
      </c>
      <c r="D119" s="4">
        <v>7.8</v>
      </c>
      <c r="E119" s="4" t="s">
        <v>2497</v>
      </c>
      <c r="F119" s="4" t="s">
        <v>2498</v>
      </c>
      <c r="G119" s="4" t="s">
        <v>2333</v>
      </c>
      <c r="H119" s="4" t="s">
        <v>2499</v>
      </c>
      <c r="I119" s="4">
        <v>0</v>
      </c>
      <c r="J119" s="4">
        <v>479.32</v>
      </c>
      <c r="K119" s="4">
        <f t="shared" si="4"/>
        <v>35.33</v>
      </c>
      <c r="L119" s="4">
        <f t="shared" si="5"/>
        <v>14.28</v>
      </c>
      <c r="M119" s="4">
        <f t="shared" si="6"/>
        <v>21.049999999999997</v>
      </c>
      <c r="N119" s="4">
        <v>6.74</v>
      </c>
      <c r="O119" s="4">
        <v>0</v>
      </c>
      <c r="P119" s="4">
        <v>87</v>
      </c>
      <c r="Q119" s="4">
        <v>19.7</v>
      </c>
      <c r="R119" s="4">
        <v>6</v>
      </c>
      <c r="S119" s="4">
        <v>18.100000000000001</v>
      </c>
      <c r="T119" s="4">
        <v>-18.100000000000001</v>
      </c>
      <c r="U119" s="4">
        <v>0.12</v>
      </c>
      <c r="V119" s="4">
        <v>36.520000000000003</v>
      </c>
      <c r="W119" s="4">
        <v>10.59</v>
      </c>
      <c r="X119" s="4">
        <v>11.64</v>
      </c>
      <c r="Y119" s="4">
        <v>7.19</v>
      </c>
      <c r="Z119" s="4">
        <v>48.24</v>
      </c>
      <c r="AA119" s="4">
        <v>-2.4500000000000002</v>
      </c>
      <c r="AB119" s="4">
        <v>12.71</v>
      </c>
      <c r="AC119" s="4">
        <v>-49.57</v>
      </c>
      <c r="AD119" s="4">
        <v>160</v>
      </c>
      <c r="AE119" s="4">
        <v>1460</v>
      </c>
      <c r="AF119" s="4">
        <v>13.4</v>
      </c>
      <c r="AG119" s="4">
        <v>0.15</v>
      </c>
      <c r="AH119" s="4">
        <v>-15.21</v>
      </c>
      <c r="AI119" s="4">
        <v>151.4</v>
      </c>
      <c r="AJ119" s="4">
        <v>60</v>
      </c>
      <c r="AK119" s="4">
        <v>9</v>
      </c>
      <c r="AL119" s="4">
        <v>9</v>
      </c>
      <c r="AM119" s="4">
        <v>0.05</v>
      </c>
      <c r="AN119" s="4">
        <v>96</v>
      </c>
      <c r="AO119" s="4">
        <v>96.44</v>
      </c>
      <c r="AP119" s="4">
        <v>535761.48</v>
      </c>
      <c r="AQ119" s="4">
        <v>172101.2</v>
      </c>
      <c r="AR119" s="4" t="s">
        <v>545</v>
      </c>
      <c r="AS119" s="5">
        <f t="shared" si="0"/>
        <v>20.75686529680365</v>
      </c>
    </row>
    <row r="120" spans="1:45" ht="14.25" customHeight="1" x14ac:dyDescent="0.55000000000000004">
      <c r="A120" s="4">
        <v>0</v>
      </c>
      <c r="B120" s="4">
        <v>6</v>
      </c>
      <c r="C120" s="4">
        <v>80.760000000000005</v>
      </c>
      <c r="D120" s="4">
        <v>7.8</v>
      </c>
      <c r="E120" s="4" t="s">
        <v>2338</v>
      </c>
      <c r="F120" s="4" t="s">
        <v>2500</v>
      </c>
      <c r="G120" s="4" t="s">
        <v>2333</v>
      </c>
      <c r="H120" s="4" t="s">
        <v>2501</v>
      </c>
      <c r="I120" s="4">
        <v>0</v>
      </c>
      <c r="J120" s="4">
        <v>35</v>
      </c>
      <c r="K120" s="4">
        <f t="shared" si="4"/>
        <v>17.170000000000002</v>
      </c>
      <c r="L120" s="4">
        <f t="shared" si="5"/>
        <v>14.28</v>
      </c>
      <c r="M120" s="4">
        <f t="shared" si="6"/>
        <v>2.8900000000000023</v>
      </c>
      <c r="N120" s="4">
        <v>6.3</v>
      </c>
      <c r="O120" s="4">
        <v>0</v>
      </c>
      <c r="P120" s="4">
        <v>75</v>
      </c>
      <c r="Q120" s="4">
        <v>21.9</v>
      </c>
      <c r="R120" s="4">
        <v>6</v>
      </c>
      <c r="S120" s="4">
        <v>18.7</v>
      </c>
      <c r="T120" s="4">
        <v>-18.7</v>
      </c>
      <c r="U120" s="4">
        <v>2.31</v>
      </c>
      <c r="V120" s="4">
        <v>51.69</v>
      </c>
      <c r="W120" s="4">
        <v>11.77</v>
      </c>
      <c r="X120" s="4">
        <v>28.15</v>
      </c>
      <c r="Y120" s="4">
        <v>6.46</v>
      </c>
      <c r="Z120" s="4">
        <v>23.44</v>
      </c>
      <c r="AA120" s="4">
        <v>-2.04</v>
      </c>
      <c r="AB120" s="4">
        <v>11.88</v>
      </c>
      <c r="AC120" s="4">
        <v>-47.23</v>
      </c>
      <c r="AD120" s="4">
        <v>160</v>
      </c>
      <c r="AE120" s="4">
        <v>1460</v>
      </c>
      <c r="AF120" s="4">
        <v>13.4</v>
      </c>
      <c r="AG120" s="4">
        <v>0.15</v>
      </c>
      <c r="AH120" s="4">
        <v>10.25</v>
      </c>
      <c r="AI120" s="4">
        <v>151.4</v>
      </c>
      <c r="AJ120" s="4">
        <v>60</v>
      </c>
      <c r="AK120" s="4">
        <v>9</v>
      </c>
      <c r="AL120" s="4">
        <v>9</v>
      </c>
      <c r="AM120" s="4">
        <v>0.05</v>
      </c>
      <c r="AN120" s="4">
        <v>96</v>
      </c>
      <c r="AO120" s="4">
        <v>96.44</v>
      </c>
      <c r="AP120" s="4">
        <v>247293.25</v>
      </c>
      <c r="AQ120" s="4">
        <v>172101.2</v>
      </c>
      <c r="AR120" s="4" t="s">
        <v>549</v>
      </c>
      <c r="AS120" s="5">
        <f t="shared" si="0"/>
        <v>4.2917836757990857</v>
      </c>
    </row>
    <row r="121" spans="1:45" ht="14.25" customHeight="1" x14ac:dyDescent="0.55000000000000004">
      <c r="A121" s="4">
        <v>0</v>
      </c>
      <c r="B121" s="4">
        <v>6</v>
      </c>
      <c r="C121" s="4">
        <v>58.3</v>
      </c>
      <c r="D121" s="4">
        <v>7.8</v>
      </c>
      <c r="E121" s="4" t="s">
        <v>2333</v>
      </c>
      <c r="F121" s="4" t="s">
        <v>2502</v>
      </c>
      <c r="G121" s="4" t="s">
        <v>2333</v>
      </c>
      <c r="H121" s="4" t="s">
        <v>310</v>
      </c>
      <c r="I121" s="4">
        <v>0</v>
      </c>
      <c r="J121" s="4">
        <v>35</v>
      </c>
      <c r="K121" s="4">
        <f t="shared" si="4"/>
        <v>21.22</v>
      </c>
      <c r="L121" s="4">
        <f t="shared" si="5"/>
        <v>21.22</v>
      </c>
      <c r="M121" s="4">
        <f t="shared" si="6"/>
        <v>0</v>
      </c>
      <c r="N121" s="4">
        <v>6.3</v>
      </c>
      <c r="O121" s="4">
        <v>0</v>
      </c>
      <c r="P121" s="4">
        <v>75</v>
      </c>
      <c r="Q121" s="4">
        <v>22.2</v>
      </c>
      <c r="R121" s="4">
        <v>6</v>
      </c>
      <c r="S121" s="4">
        <v>18.989999999999998</v>
      </c>
      <c r="T121" s="4">
        <v>-18.989999999999998</v>
      </c>
      <c r="U121" s="4">
        <v>1.67</v>
      </c>
      <c r="V121" s="4">
        <v>37.31</v>
      </c>
      <c r="W121" s="4">
        <v>8.5</v>
      </c>
      <c r="X121" s="4">
        <v>20.32</v>
      </c>
      <c r="Y121" s="4">
        <v>4.66</v>
      </c>
      <c r="Z121" s="4">
        <v>2.77</v>
      </c>
      <c r="AA121" s="4">
        <v>-2.31</v>
      </c>
      <c r="AB121" s="4">
        <v>12.42</v>
      </c>
      <c r="AC121" s="4">
        <v>-46.2</v>
      </c>
      <c r="AD121" s="4">
        <v>160</v>
      </c>
      <c r="AE121" s="4">
        <v>1460</v>
      </c>
      <c r="AF121" s="4">
        <v>13.4</v>
      </c>
      <c r="AG121" s="4">
        <v>0.15</v>
      </c>
      <c r="AH121" s="4">
        <v>20.13</v>
      </c>
      <c r="AI121" s="4">
        <v>14.46</v>
      </c>
      <c r="AJ121" s="4">
        <v>60</v>
      </c>
      <c r="AK121" s="4">
        <v>9</v>
      </c>
      <c r="AL121" s="4">
        <v>9</v>
      </c>
      <c r="AM121" s="4">
        <v>0.51</v>
      </c>
      <c r="AN121" s="4">
        <v>96</v>
      </c>
      <c r="AO121" s="4">
        <v>100.6</v>
      </c>
      <c r="AP121" s="4">
        <v>338132.01</v>
      </c>
      <c r="AQ121" s="4">
        <v>338132.01</v>
      </c>
      <c r="AR121" s="4" t="s">
        <v>553</v>
      </c>
      <c r="AS121" s="5">
        <f t="shared" si="0"/>
        <v>0</v>
      </c>
    </row>
    <row r="122" spans="1:45" ht="14.25" customHeight="1" x14ac:dyDescent="0.55000000000000004">
      <c r="A122" s="4">
        <v>0</v>
      </c>
      <c r="B122" s="4">
        <v>6</v>
      </c>
      <c r="C122" s="4">
        <v>62.28</v>
      </c>
      <c r="D122" s="4">
        <v>7.8</v>
      </c>
      <c r="E122" s="4" t="s">
        <v>2338</v>
      </c>
      <c r="F122" s="4" t="s">
        <v>2503</v>
      </c>
      <c r="G122" s="4" t="s">
        <v>2333</v>
      </c>
      <c r="H122" s="4" t="s">
        <v>2504</v>
      </c>
      <c r="I122" s="4">
        <v>0</v>
      </c>
      <c r="J122" s="4">
        <v>35</v>
      </c>
      <c r="K122" s="4">
        <f t="shared" si="4"/>
        <v>19.79</v>
      </c>
      <c r="L122" s="4">
        <f t="shared" si="5"/>
        <v>14.28</v>
      </c>
      <c r="M122" s="4">
        <f t="shared" si="6"/>
        <v>5.51</v>
      </c>
      <c r="N122" s="4">
        <v>6.3</v>
      </c>
      <c r="O122" s="4">
        <v>0</v>
      </c>
      <c r="P122" s="4">
        <v>77</v>
      </c>
      <c r="Q122" s="4">
        <v>21.8</v>
      </c>
      <c r="R122" s="4">
        <v>6</v>
      </c>
      <c r="S122" s="4">
        <v>18.87</v>
      </c>
      <c r="T122" s="4">
        <v>-18.87</v>
      </c>
      <c r="U122" s="4">
        <v>1.78</v>
      </c>
      <c r="V122" s="4">
        <v>39.86</v>
      </c>
      <c r="W122" s="4">
        <v>9.08</v>
      </c>
      <c r="X122" s="4">
        <v>21.71</v>
      </c>
      <c r="Y122" s="4">
        <v>4.9800000000000004</v>
      </c>
      <c r="Z122" s="4">
        <v>27.02</v>
      </c>
      <c r="AA122" s="4">
        <v>-2.25</v>
      </c>
      <c r="AB122" s="4">
        <v>12.31</v>
      </c>
      <c r="AC122" s="4">
        <v>-46.62</v>
      </c>
      <c r="AD122" s="4">
        <v>160</v>
      </c>
      <c r="AE122" s="4">
        <v>1460</v>
      </c>
      <c r="AF122" s="4">
        <v>13.4</v>
      </c>
      <c r="AG122" s="4">
        <v>0.15</v>
      </c>
      <c r="AH122" s="4">
        <v>17.2</v>
      </c>
      <c r="AI122" s="4">
        <v>151.4</v>
      </c>
      <c r="AJ122" s="4">
        <v>60</v>
      </c>
      <c r="AK122" s="4">
        <v>9</v>
      </c>
      <c r="AL122" s="4">
        <v>9</v>
      </c>
      <c r="AM122" s="4">
        <v>0.05</v>
      </c>
      <c r="AN122" s="4">
        <v>96</v>
      </c>
      <c r="AO122" s="4">
        <v>96.44</v>
      </c>
      <c r="AP122" s="4">
        <v>306174.05</v>
      </c>
      <c r="AQ122" s="4">
        <v>172101.2</v>
      </c>
      <c r="AR122" s="4" t="s">
        <v>557</v>
      </c>
      <c r="AS122" s="5">
        <f t="shared" si="0"/>
        <v>7.6525599315068478</v>
      </c>
    </row>
    <row r="123" spans="1:45" ht="14.25" customHeight="1" x14ac:dyDescent="0.55000000000000004">
      <c r="A123" s="4">
        <v>0</v>
      </c>
      <c r="B123" s="4">
        <v>6</v>
      </c>
      <c r="C123" s="4">
        <v>68.430000000000007</v>
      </c>
      <c r="D123" s="4">
        <v>7.8</v>
      </c>
      <c r="E123" s="4" t="s">
        <v>2338</v>
      </c>
      <c r="F123" s="4" t="s">
        <v>2505</v>
      </c>
      <c r="G123" s="4" t="s">
        <v>2333</v>
      </c>
      <c r="H123" s="4" t="s">
        <v>2506</v>
      </c>
      <c r="I123" s="4">
        <v>0</v>
      </c>
      <c r="J123" s="4">
        <v>35</v>
      </c>
      <c r="K123" s="4">
        <f t="shared" si="4"/>
        <v>18.52</v>
      </c>
      <c r="L123" s="4">
        <f t="shared" si="5"/>
        <v>14.28</v>
      </c>
      <c r="M123" s="4">
        <f t="shared" si="6"/>
        <v>4.24</v>
      </c>
      <c r="N123" s="4">
        <v>6.3</v>
      </c>
      <c r="O123" s="4">
        <v>0</v>
      </c>
      <c r="P123" s="4">
        <v>72</v>
      </c>
      <c r="Q123" s="4">
        <v>22.2</v>
      </c>
      <c r="R123" s="4">
        <v>6</v>
      </c>
      <c r="S123" s="4">
        <v>18.59</v>
      </c>
      <c r="T123" s="4">
        <v>-18.59</v>
      </c>
      <c r="U123" s="4">
        <v>1.96</v>
      </c>
      <c r="V123" s="4">
        <v>43.8</v>
      </c>
      <c r="W123" s="4">
        <v>9.9700000000000006</v>
      </c>
      <c r="X123" s="4">
        <v>23.85</v>
      </c>
      <c r="Y123" s="4">
        <v>5.47</v>
      </c>
      <c r="Z123" s="4">
        <v>25.29</v>
      </c>
      <c r="AA123" s="4">
        <v>-2.1800000000000002</v>
      </c>
      <c r="AB123" s="4">
        <v>12.15</v>
      </c>
      <c r="AC123" s="4">
        <v>-47.64</v>
      </c>
      <c r="AD123" s="4">
        <v>160</v>
      </c>
      <c r="AE123" s="4">
        <v>1460</v>
      </c>
      <c r="AF123" s="4">
        <v>13.4</v>
      </c>
      <c r="AG123" s="4">
        <v>0.15</v>
      </c>
      <c r="AH123" s="4">
        <v>14.03</v>
      </c>
      <c r="AI123" s="4">
        <v>151.4</v>
      </c>
      <c r="AJ123" s="4">
        <v>60</v>
      </c>
      <c r="AK123" s="4">
        <v>9</v>
      </c>
      <c r="AL123" s="4">
        <v>9</v>
      </c>
      <c r="AM123" s="4">
        <v>0.05</v>
      </c>
      <c r="AN123" s="4">
        <v>96</v>
      </c>
      <c r="AO123" s="4">
        <v>96.44</v>
      </c>
      <c r="AP123" s="4">
        <v>277713.8</v>
      </c>
      <c r="AQ123" s="4">
        <v>172101.2</v>
      </c>
      <c r="AR123" s="4" t="s">
        <v>562</v>
      </c>
      <c r="AS123" s="5">
        <f t="shared" si="0"/>
        <v>6.0281164383561627</v>
      </c>
    </row>
    <row r="124" spans="1:45" ht="14.25" customHeight="1" x14ac:dyDescent="0.55000000000000004">
      <c r="A124" s="4">
        <v>0</v>
      </c>
      <c r="B124" s="4">
        <v>6</v>
      </c>
      <c r="C124" s="4">
        <v>55.15</v>
      </c>
      <c r="D124" s="4">
        <v>7.8</v>
      </c>
      <c r="E124" s="4" t="s">
        <v>2507</v>
      </c>
      <c r="F124" s="4" t="s">
        <v>2508</v>
      </c>
      <c r="G124" s="4" t="s">
        <v>2333</v>
      </c>
      <c r="H124" s="4" t="s">
        <v>2509</v>
      </c>
      <c r="I124" s="4">
        <v>0</v>
      </c>
      <c r="J124" s="4">
        <v>359.89</v>
      </c>
      <c r="K124" s="4">
        <f t="shared" si="4"/>
        <v>31.78</v>
      </c>
      <c r="L124" s="4">
        <f t="shared" si="5"/>
        <v>14.28</v>
      </c>
      <c r="M124" s="4">
        <f t="shared" si="6"/>
        <v>17.5</v>
      </c>
      <c r="N124" s="4">
        <v>6.62</v>
      </c>
      <c r="O124" s="4">
        <v>0</v>
      </c>
      <c r="P124" s="4">
        <v>87</v>
      </c>
      <c r="Q124" s="4">
        <v>20</v>
      </c>
      <c r="R124" s="4">
        <v>6</v>
      </c>
      <c r="S124" s="4">
        <v>18.399999999999999</v>
      </c>
      <c r="T124" s="4">
        <v>-18.399999999999999</v>
      </c>
      <c r="U124" s="4">
        <v>0.15</v>
      </c>
      <c r="V124" s="4">
        <v>35.29</v>
      </c>
      <c r="W124" s="4">
        <v>10.17</v>
      </c>
      <c r="X124" s="4">
        <v>11.46</v>
      </c>
      <c r="Y124" s="4">
        <v>6.89</v>
      </c>
      <c r="Z124" s="4">
        <v>43.4</v>
      </c>
      <c r="AA124" s="4">
        <v>-2.48</v>
      </c>
      <c r="AB124" s="4">
        <v>12.75</v>
      </c>
      <c r="AC124" s="4">
        <v>-48.4</v>
      </c>
      <c r="AD124" s="4">
        <v>160</v>
      </c>
      <c r="AE124" s="4">
        <v>1460</v>
      </c>
      <c r="AF124" s="4">
        <v>13.4</v>
      </c>
      <c r="AG124" s="4">
        <v>0.15</v>
      </c>
      <c r="AH124" s="4">
        <v>-15.83</v>
      </c>
      <c r="AI124" s="4">
        <v>151.4</v>
      </c>
      <c r="AJ124" s="4">
        <v>60</v>
      </c>
      <c r="AK124" s="4">
        <v>9</v>
      </c>
      <c r="AL124" s="4">
        <v>9</v>
      </c>
      <c r="AM124" s="4">
        <v>0.05</v>
      </c>
      <c r="AN124" s="4">
        <v>96</v>
      </c>
      <c r="AO124" s="4">
        <v>96.44</v>
      </c>
      <c r="AP124" s="4">
        <v>497004.71</v>
      </c>
      <c r="AQ124" s="4">
        <v>172101.2</v>
      </c>
      <c r="AR124" s="4" t="s">
        <v>567</v>
      </c>
      <c r="AS124" s="5">
        <f t="shared" si="0"/>
        <v>18.544720890410961</v>
      </c>
    </row>
    <row r="125" spans="1:45" ht="14.25" customHeight="1" x14ac:dyDescent="0.55000000000000004">
      <c r="A125" s="4">
        <v>0</v>
      </c>
      <c r="B125" s="4">
        <v>6</v>
      </c>
      <c r="C125" s="4">
        <v>59.15</v>
      </c>
      <c r="D125" s="4">
        <v>7.8</v>
      </c>
      <c r="E125" s="4" t="s">
        <v>2338</v>
      </c>
      <c r="F125" s="4" t="s">
        <v>2510</v>
      </c>
      <c r="G125" s="4" t="s">
        <v>2333</v>
      </c>
      <c r="H125" s="4" t="s">
        <v>2511</v>
      </c>
      <c r="I125" s="4">
        <v>0</v>
      </c>
      <c r="J125" s="4">
        <v>35</v>
      </c>
      <c r="K125" s="4">
        <f t="shared" si="4"/>
        <v>20.84</v>
      </c>
      <c r="L125" s="4">
        <f t="shared" si="5"/>
        <v>14.28</v>
      </c>
      <c r="M125" s="4">
        <f t="shared" si="6"/>
        <v>6.5600000000000005</v>
      </c>
      <c r="N125" s="4">
        <v>6.3</v>
      </c>
      <c r="O125" s="4">
        <v>0</v>
      </c>
      <c r="P125" s="4">
        <v>69</v>
      </c>
      <c r="Q125" s="4">
        <v>22.6</v>
      </c>
      <c r="R125" s="4">
        <v>6</v>
      </c>
      <c r="S125" s="4">
        <v>18.57</v>
      </c>
      <c r="T125" s="4">
        <v>-18.57</v>
      </c>
      <c r="U125" s="4">
        <v>1.69</v>
      </c>
      <c r="V125" s="4">
        <v>37.86</v>
      </c>
      <c r="W125" s="4">
        <v>8.6199999999999992</v>
      </c>
      <c r="X125" s="4">
        <v>20.62</v>
      </c>
      <c r="Y125" s="4">
        <v>4.7300000000000004</v>
      </c>
      <c r="Z125" s="4">
        <v>28.45</v>
      </c>
      <c r="AA125" s="4">
        <v>-2.2999999999999998</v>
      </c>
      <c r="AB125" s="4">
        <v>12.39</v>
      </c>
      <c r="AC125" s="4">
        <v>-47.74</v>
      </c>
      <c r="AD125" s="4">
        <v>160</v>
      </c>
      <c r="AE125" s="4">
        <v>1460</v>
      </c>
      <c r="AF125" s="4">
        <v>13.4</v>
      </c>
      <c r="AG125" s="4">
        <v>0.15</v>
      </c>
      <c r="AH125" s="4">
        <v>19.420000000000002</v>
      </c>
      <c r="AI125" s="4">
        <v>151.4</v>
      </c>
      <c r="AJ125" s="4">
        <v>60</v>
      </c>
      <c r="AK125" s="4">
        <v>9</v>
      </c>
      <c r="AL125" s="4">
        <v>9</v>
      </c>
      <c r="AM125" s="4">
        <v>0.05</v>
      </c>
      <c r="AN125" s="4">
        <v>96</v>
      </c>
      <c r="AO125" s="4">
        <v>96.44</v>
      </c>
      <c r="AP125" s="4">
        <v>329619.71000000002</v>
      </c>
      <c r="AQ125" s="4">
        <v>172101.2</v>
      </c>
      <c r="AR125" s="4" t="s">
        <v>572</v>
      </c>
      <c r="AS125" s="5">
        <f t="shared" si="0"/>
        <v>8.9907825342465753</v>
      </c>
    </row>
    <row r="126" spans="1:45" ht="14.25" customHeight="1" x14ac:dyDescent="0.55000000000000004">
      <c r="A126" s="4">
        <v>0</v>
      </c>
      <c r="B126" s="4">
        <v>6</v>
      </c>
      <c r="C126" s="4">
        <v>69.02</v>
      </c>
      <c r="D126" s="4">
        <v>7.8</v>
      </c>
      <c r="E126" s="4" t="s">
        <v>2333</v>
      </c>
      <c r="F126" s="4" t="s">
        <v>2512</v>
      </c>
      <c r="G126" s="4" t="s">
        <v>2333</v>
      </c>
      <c r="H126" s="4" t="s">
        <v>2513</v>
      </c>
      <c r="I126" s="4">
        <v>0</v>
      </c>
      <c r="J126" s="4">
        <v>35</v>
      </c>
      <c r="K126" s="4">
        <f t="shared" si="4"/>
        <v>18.43</v>
      </c>
      <c r="L126" s="4">
        <f t="shared" si="5"/>
        <v>18.43</v>
      </c>
      <c r="M126" s="4">
        <f t="shared" si="6"/>
        <v>0</v>
      </c>
      <c r="N126" s="4">
        <v>6.3</v>
      </c>
      <c r="O126" s="4">
        <v>0</v>
      </c>
      <c r="P126" s="4">
        <v>94</v>
      </c>
      <c r="Q126" s="4">
        <v>18.7</v>
      </c>
      <c r="R126" s="4">
        <v>6</v>
      </c>
      <c r="S126" s="4">
        <v>17.97</v>
      </c>
      <c r="T126" s="4">
        <v>-17.97</v>
      </c>
      <c r="U126" s="4">
        <v>1.97</v>
      </c>
      <c r="V126" s="4">
        <v>44.18</v>
      </c>
      <c r="W126" s="4">
        <v>10.06</v>
      </c>
      <c r="X126" s="4">
        <v>24.06</v>
      </c>
      <c r="Y126" s="4">
        <v>5.52</v>
      </c>
      <c r="Z126" s="4">
        <v>3.77</v>
      </c>
      <c r="AA126" s="4">
        <v>-2.17</v>
      </c>
      <c r="AB126" s="4">
        <v>12.14</v>
      </c>
      <c r="AC126" s="4">
        <v>-50.11</v>
      </c>
      <c r="AD126" s="4">
        <v>160</v>
      </c>
      <c r="AE126" s="4">
        <v>1460</v>
      </c>
      <c r="AF126" s="4">
        <v>13.4</v>
      </c>
      <c r="AG126" s="4">
        <v>0.15</v>
      </c>
      <c r="AH126" s="4">
        <v>13.79</v>
      </c>
      <c r="AI126" s="4">
        <v>22.71</v>
      </c>
      <c r="AJ126" s="4">
        <v>60</v>
      </c>
      <c r="AK126" s="4">
        <v>9</v>
      </c>
      <c r="AL126" s="4">
        <v>9</v>
      </c>
      <c r="AM126" s="4">
        <v>0.33</v>
      </c>
      <c r="AN126" s="4">
        <v>96</v>
      </c>
      <c r="AO126" s="4">
        <v>98.93</v>
      </c>
      <c r="AP126" s="4">
        <v>275664.44</v>
      </c>
      <c r="AQ126" s="4">
        <v>275664.44</v>
      </c>
      <c r="AR126" s="4" t="s">
        <v>577</v>
      </c>
      <c r="AS126" s="5">
        <f t="shared" si="0"/>
        <v>0</v>
      </c>
    </row>
    <row r="127" spans="1:45" ht="14.25" customHeight="1" x14ac:dyDescent="0.55000000000000004">
      <c r="A127" s="4">
        <v>0</v>
      </c>
      <c r="B127" s="4">
        <v>6</v>
      </c>
      <c r="C127" s="4">
        <v>63.5</v>
      </c>
      <c r="D127" s="4">
        <v>7.8</v>
      </c>
      <c r="E127" s="4" t="s">
        <v>2333</v>
      </c>
      <c r="F127" s="4" t="s">
        <v>2514</v>
      </c>
      <c r="G127" s="4" t="s">
        <v>2333</v>
      </c>
      <c r="H127" s="4" t="s">
        <v>2515</v>
      </c>
      <c r="I127" s="4">
        <v>0</v>
      </c>
      <c r="J127" s="4">
        <v>35</v>
      </c>
      <c r="K127" s="4">
        <f t="shared" si="4"/>
        <v>19.48</v>
      </c>
      <c r="L127" s="4">
        <f t="shared" si="5"/>
        <v>19.48</v>
      </c>
      <c r="M127" s="4">
        <f t="shared" si="6"/>
        <v>0</v>
      </c>
      <c r="N127" s="4">
        <v>6.3</v>
      </c>
      <c r="O127" s="4">
        <v>0</v>
      </c>
      <c r="P127" s="4">
        <v>70</v>
      </c>
      <c r="Q127" s="4">
        <v>22.5</v>
      </c>
      <c r="R127" s="4">
        <v>6</v>
      </c>
      <c r="S127" s="4">
        <v>18.61</v>
      </c>
      <c r="T127" s="4">
        <v>-18.61</v>
      </c>
      <c r="U127" s="4">
        <v>1.81</v>
      </c>
      <c r="V127" s="4">
        <v>40.64</v>
      </c>
      <c r="W127" s="4">
        <v>9.25</v>
      </c>
      <c r="X127" s="4">
        <v>22.14</v>
      </c>
      <c r="Y127" s="4">
        <v>5.08</v>
      </c>
      <c r="Z127" s="4">
        <v>3.28</v>
      </c>
      <c r="AA127" s="4">
        <v>-2.2400000000000002</v>
      </c>
      <c r="AB127" s="4">
        <v>12.27</v>
      </c>
      <c r="AC127" s="4">
        <v>-47.58</v>
      </c>
      <c r="AD127" s="4">
        <v>160</v>
      </c>
      <c r="AE127" s="4">
        <v>1460</v>
      </c>
      <c r="AF127" s="4">
        <v>13.4</v>
      </c>
      <c r="AG127" s="4">
        <v>0.15</v>
      </c>
      <c r="AH127" s="4">
        <v>16.46</v>
      </c>
      <c r="AI127" s="4">
        <v>18.7</v>
      </c>
      <c r="AJ127" s="4">
        <v>60</v>
      </c>
      <c r="AK127" s="4">
        <v>9</v>
      </c>
      <c r="AL127" s="4">
        <v>9</v>
      </c>
      <c r="AM127" s="4">
        <v>0.4</v>
      </c>
      <c r="AN127" s="4">
        <v>96</v>
      </c>
      <c r="AO127" s="4">
        <v>99.56</v>
      </c>
      <c r="AP127" s="4">
        <v>299142.34999999998</v>
      </c>
      <c r="AQ127" s="4">
        <v>299142.34999999998</v>
      </c>
      <c r="AR127" s="4" t="s">
        <v>581</v>
      </c>
      <c r="AS127" s="5">
        <f t="shared" si="0"/>
        <v>0</v>
      </c>
    </row>
    <row r="128" spans="1:45" ht="14.25" customHeight="1" x14ac:dyDescent="0.55000000000000004">
      <c r="A128" s="4">
        <v>0</v>
      </c>
      <c r="B128" s="4">
        <v>6</v>
      </c>
      <c r="C128" s="4">
        <v>57.65</v>
      </c>
      <c r="D128" s="4">
        <v>7.8</v>
      </c>
      <c r="E128" s="4" t="s">
        <v>2516</v>
      </c>
      <c r="F128" s="4" t="s">
        <v>2517</v>
      </c>
      <c r="G128" s="4" t="s">
        <v>2333</v>
      </c>
      <c r="H128" s="4" t="s">
        <v>2518</v>
      </c>
      <c r="I128" s="4">
        <v>0</v>
      </c>
      <c r="J128" s="4">
        <v>525.21</v>
      </c>
      <c r="K128" s="4">
        <f t="shared" si="4"/>
        <v>36.25</v>
      </c>
      <c r="L128" s="4">
        <f t="shared" si="5"/>
        <v>14.28</v>
      </c>
      <c r="M128" s="4">
        <f t="shared" si="6"/>
        <v>21.97</v>
      </c>
      <c r="N128" s="4">
        <v>6.79</v>
      </c>
      <c r="O128" s="4">
        <v>0</v>
      </c>
      <c r="P128" s="4">
        <v>88</v>
      </c>
      <c r="Q128" s="4">
        <v>19.3</v>
      </c>
      <c r="R128" s="4">
        <v>6</v>
      </c>
      <c r="S128" s="4">
        <v>17.84</v>
      </c>
      <c r="T128" s="4">
        <v>-17.84</v>
      </c>
      <c r="U128" s="4">
        <v>0.11</v>
      </c>
      <c r="V128" s="4">
        <v>36.9</v>
      </c>
      <c r="W128" s="4">
        <v>10.71</v>
      </c>
      <c r="X128" s="4">
        <v>11.7</v>
      </c>
      <c r="Y128" s="4">
        <v>7.29</v>
      </c>
      <c r="Z128" s="4">
        <v>49.5</v>
      </c>
      <c r="AA128" s="4">
        <v>-2.4500000000000002</v>
      </c>
      <c r="AB128" s="4">
        <v>12.69</v>
      </c>
      <c r="AC128" s="4">
        <v>-50.69</v>
      </c>
      <c r="AD128" s="4">
        <v>160</v>
      </c>
      <c r="AE128" s="4">
        <v>1460</v>
      </c>
      <c r="AF128" s="4">
        <v>13.4</v>
      </c>
      <c r="AG128" s="4">
        <v>0.15</v>
      </c>
      <c r="AH128" s="4">
        <v>-15.06</v>
      </c>
      <c r="AI128" s="4">
        <v>151.4</v>
      </c>
      <c r="AJ128" s="4">
        <v>60</v>
      </c>
      <c r="AK128" s="4">
        <v>9</v>
      </c>
      <c r="AL128" s="4">
        <v>9</v>
      </c>
      <c r="AM128" s="4">
        <v>0.05</v>
      </c>
      <c r="AN128" s="4">
        <v>96</v>
      </c>
      <c r="AO128" s="4">
        <v>96.44</v>
      </c>
      <c r="AP128" s="4">
        <v>540836.03</v>
      </c>
      <c r="AQ128" s="4">
        <v>172101.2</v>
      </c>
      <c r="AR128" s="4" t="s">
        <v>1593</v>
      </c>
      <c r="AS128" s="5">
        <f t="shared" si="0"/>
        <v>21.046508561643837</v>
      </c>
    </row>
    <row r="129" spans="1:45" ht="14.25" customHeight="1" x14ac:dyDescent="0.55000000000000004">
      <c r="A129" s="4">
        <v>0</v>
      </c>
      <c r="B129" s="4">
        <v>6</v>
      </c>
      <c r="C129" s="4">
        <v>55.87</v>
      </c>
      <c r="D129" s="4">
        <v>7.8</v>
      </c>
      <c r="E129" s="4" t="s">
        <v>2338</v>
      </c>
      <c r="F129" s="4" t="s">
        <v>2519</v>
      </c>
      <c r="G129" s="4" t="s">
        <v>2333</v>
      </c>
      <c r="H129" s="4" t="s">
        <v>2520</v>
      </c>
      <c r="I129" s="4">
        <v>0</v>
      </c>
      <c r="J129" s="4">
        <v>35</v>
      </c>
      <c r="K129" s="4">
        <f t="shared" si="4"/>
        <v>22.77</v>
      </c>
      <c r="L129" s="4">
        <f t="shared" si="5"/>
        <v>14.28</v>
      </c>
      <c r="M129" s="4">
        <f t="shared" si="6"/>
        <v>8.49</v>
      </c>
      <c r="N129" s="4">
        <v>6.3</v>
      </c>
      <c r="O129" s="4">
        <v>0</v>
      </c>
      <c r="P129" s="4">
        <v>82</v>
      </c>
      <c r="Q129" s="4">
        <v>20.7</v>
      </c>
      <c r="R129" s="4">
        <v>6</v>
      </c>
      <c r="S129" s="4">
        <v>18.45</v>
      </c>
      <c r="T129" s="4">
        <v>-18.45</v>
      </c>
      <c r="U129" s="4">
        <v>1.6</v>
      </c>
      <c r="V129" s="4">
        <v>35.75</v>
      </c>
      <c r="W129" s="4">
        <v>8.14</v>
      </c>
      <c r="X129" s="4">
        <v>19.47</v>
      </c>
      <c r="Y129" s="4">
        <v>4.47</v>
      </c>
      <c r="Z129" s="4">
        <v>31.09</v>
      </c>
      <c r="AA129" s="4">
        <v>-2.34</v>
      </c>
      <c r="AB129" s="4">
        <v>12.49</v>
      </c>
      <c r="AC129" s="4">
        <v>-48.18</v>
      </c>
      <c r="AD129" s="4">
        <v>160</v>
      </c>
      <c r="AE129" s="4">
        <v>1460</v>
      </c>
      <c r="AF129" s="4">
        <v>13.4</v>
      </c>
      <c r="AG129" s="4">
        <v>0.15</v>
      </c>
      <c r="AH129" s="4">
        <v>22.48</v>
      </c>
      <c r="AI129" s="4">
        <v>151.4</v>
      </c>
      <c r="AJ129" s="4">
        <v>60</v>
      </c>
      <c r="AK129" s="4">
        <v>9</v>
      </c>
      <c r="AL129" s="4">
        <v>9</v>
      </c>
      <c r="AM129" s="4">
        <v>0.05</v>
      </c>
      <c r="AN129" s="4">
        <v>96</v>
      </c>
      <c r="AO129" s="4">
        <v>96.44</v>
      </c>
      <c r="AP129" s="4">
        <v>372931.02</v>
      </c>
      <c r="AQ129" s="4">
        <v>172101.2</v>
      </c>
      <c r="AR129" s="4" t="s">
        <v>585</v>
      </c>
      <c r="AS129" s="5">
        <f t="shared" si="0"/>
        <v>11.462889269406393</v>
      </c>
    </row>
    <row r="130" spans="1:45" ht="14.25" customHeight="1" x14ac:dyDescent="0.55000000000000004">
      <c r="A130" s="4">
        <v>0</v>
      </c>
      <c r="B130" s="4">
        <v>6</v>
      </c>
      <c r="C130" s="4">
        <v>62.02</v>
      </c>
      <c r="D130" s="4">
        <v>7.8</v>
      </c>
      <c r="E130" s="4" t="s">
        <v>2521</v>
      </c>
      <c r="F130" s="4" t="s">
        <v>2522</v>
      </c>
      <c r="G130" s="4" t="s">
        <v>2333</v>
      </c>
      <c r="H130" s="4" t="s">
        <v>2523</v>
      </c>
      <c r="I130" s="4">
        <v>0</v>
      </c>
      <c r="J130" s="4">
        <v>91.84</v>
      </c>
      <c r="K130" s="4">
        <f t="shared" si="4"/>
        <v>19.86</v>
      </c>
      <c r="L130" s="4">
        <f t="shared" si="5"/>
        <v>14.28</v>
      </c>
      <c r="M130" s="4">
        <f t="shared" si="6"/>
        <v>5.58</v>
      </c>
      <c r="N130" s="4">
        <v>6.36</v>
      </c>
      <c r="O130" s="4">
        <v>0</v>
      </c>
      <c r="P130" s="4">
        <v>91</v>
      </c>
      <c r="Q130" s="4">
        <v>19.3</v>
      </c>
      <c r="R130" s="4">
        <v>6</v>
      </c>
      <c r="S130" s="4">
        <v>18.2</v>
      </c>
      <c r="T130" s="4">
        <v>-18.2</v>
      </c>
      <c r="U130" s="4">
        <v>0.68</v>
      </c>
      <c r="V130" s="4">
        <v>39.69</v>
      </c>
      <c r="W130" s="4">
        <v>10.69</v>
      </c>
      <c r="X130" s="4">
        <v>15.63</v>
      </c>
      <c r="Y130" s="4">
        <v>6.87</v>
      </c>
      <c r="Z130" s="4">
        <v>27.12</v>
      </c>
      <c r="AA130" s="4">
        <v>-2.3199999999999998</v>
      </c>
      <c r="AB130" s="4">
        <v>12.45</v>
      </c>
      <c r="AC130" s="4">
        <v>-49.17</v>
      </c>
      <c r="AD130" s="4">
        <v>160</v>
      </c>
      <c r="AE130" s="4">
        <v>1460</v>
      </c>
      <c r="AF130" s="4">
        <v>13.4</v>
      </c>
      <c r="AG130" s="4">
        <v>0.15</v>
      </c>
      <c r="AH130" s="4">
        <v>-41.28</v>
      </c>
      <c r="AI130" s="4">
        <v>151.4</v>
      </c>
      <c r="AJ130" s="4">
        <v>60</v>
      </c>
      <c r="AK130" s="4">
        <v>9</v>
      </c>
      <c r="AL130" s="4">
        <v>9</v>
      </c>
      <c r="AM130" s="4">
        <v>0.05</v>
      </c>
      <c r="AN130" s="4">
        <v>96</v>
      </c>
      <c r="AO130" s="4">
        <v>96.44</v>
      </c>
      <c r="AP130" s="4">
        <v>299233.78000000003</v>
      </c>
      <c r="AQ130" s="4">
        <v>172101.2</v>
      </c>
      <c r="AR130" s="4" t="s">
        <v>589</v>
      </c>
      <c r="AS130" s="5">
        <f t="shared" si="0"/>
        <v>7.2564257990867587</v>
      </c>
    </row>
    <row r="131" spans="1:45" ht="14.25" customHeight="1" x14ac:dyDescent="0.55000000000000004">
      <c r="A131" s="4">
        <v>0</v>
      </c>
      <c r="B131" s="4">
        <v>6</v>
      </c>
      <c r="C131" s="4">
        <v>80.44</v>
      </c>
      <c r="D131" s="4">
        <v>7.8</v>
      </c>
      <c r="E131" s="4" t="s">
        <v>2338</v>
      </c>
      <c r="F131" s="4" t="s">
        <v>2524</v>
      </c>
      <c r="G131" s="4" t="s">
        <v>2333</v>
      </c>
      <c r="H131" s="4" t="s">
        <v>2525</v>
      </c>
      <c r="I131" s="4">
        <v>0</v>
      </c>
      <c r="J131" s="4">
        <v>35</v>
      </c>
      <c r="K131" s="4">
        <f t="shared" ref="K131:K194" si="7">IF(E131=0,0,
VALUE(MID(E131,2,FIND(",",E131)-2))+
VALUE(MID(F131,2,FIND(",",F131)-2))+
VALUE(MID(G131,2,FIND(",",G131)-2))
)</f>
        <v>17.190000000000001</v>
      </c>
      <c r="L131" s="4">
        <f t="shared" ref="L131:L194" si="8">IF(E131=0,0,
VALUE(MID(E131,FIND(",",E131)+1,FIND("]",E131)-FIND(",",E131)-1))+
VALUE(MID(F131,FIND(",",F131)+1,FIND("]",F131)-FIND(",",F131)-1))+
VALUE(MID(G131,FIND(",",G131)+1,FIND("]",G131)-FIND(",",G131)-1))
)</f>
        <v>14.28</v>
      </c>
      <c r="M131" s="4">
        <f t="shared" ref="M131:M194" si="9">(K131-L131)</f>
        <v>2.9100000000000019</v>
      </c>
      <c r="N131" s="4">
        <v>6.3</v>
      </c>
      <c r="O131" s="4">
        <v>0</v>
      </c>
      <c r="P131" s="4">
        <v>82</v>
      </c>
      <c r="Q131" s="4">
        <v>21.2</v>
      </c>
      <c r="R131" s="4">
        <v>6</v>
      </c>
      <c r="S131" s="4">
        <v>18.940000000000001</v>
      </c>
      <c r="T131" s="4">
        <v>-18.940000000000001</v>
      </c>
      <c r="U131" s="4">
        <v>2.2999999999999998</v>
      </c>
      <c r="V131" s="4">
        <v>51.48</v>
      </c>
      <c r="W131" s="4">
        <v>11.72</v>
      </c>
      <c r="X131" s="4">
        <v>28.04</v>
      </c>
      <c r="Y131" s="4">
        <v>6.44</v>
      </c>
      <c r="Z131" s="4">
        <v>23.47</v>
      </c>
      <c r="AA131" s="4">
        <v>-2.04</v>
      </c>
      <c r="AB131" s="4">
        <v>11.88</v>
      </c>
      <c r="AC131" s="4">
        <v>-46.38</v>
      </c>
      <c r="AD131" s="4">
        <v>160</v>
      </c>
      <c r="AE131" s="4">
        <v>1460</v>
      </c>
      <c r="AF131" s="4">
        <v>13.4</v>
      </c>
      <c r="AG131" s="4">
        <v>0.15</v>
      </c>
      <c r="AH131" s="4">
        <v>10.32</v>
      </c>
      <c r="AI131" s="4">
        <v>151.4</v>
      </c>
      <c r="AJ131" s="4">
        <v>60</v>
      </c>
      <c r="AK131" s="4">
        <v>9</v>
      </c>
      <c r="AL131" s="4">
        <v>9</v>
      </c>
      <c r="AM131" s="4">
        <v>0.05</v>
      </c>
      <c r="AN131" s="4">
        <v>96</v>
      </c>
      <c r="AO131" s="4">
        <v>96.44</v>
      </c>
      <c r="AP131" s="4">
        <v>247859.01</v>
      </c>
      <c r="AQ131" s="4">
        <v>172101.2</v>
      </c>
      <c r="AR131" s="4" t="s">
        <v>1604</v>
      </c>
      <c r="AS131" s="5">
        <f t="shared" si="0"/>
        <v>4.3240759132420088</v>
      </c>
    </row>
    <row r="132" spans="1:45" ht="14.25" customHeight="1" x14ac:dyDescent="0.55000000000000004">
      <c r="A132" s="4">
        <v>0</v>
      </c>
      <c r="B132" s="4">
        <v>6</v>
      </c>
      <c r="C132" s="4">
        <v>55.04</v>
      </c>
      <c r="D132" s="4">
        <v>7.8</v>
      </c>
      <c r="E132" s="4" t="s">
        <v>2526</v>
      </c>
      <c r="F132" s="4" t="s">
        <v>2527</v>
      </c>
      <c r="G132" s="4" t="s">
        <v>2333</v>
      </c>
      <c r="H132" s="4" t="s">
        <v>2528</v>
      </c>
      <c r="I132" s="4">
        <v>0</v>
      </c>
      <c r="J132" s="4">
        <v>241.91</v>
      </c>
      <c r="K132" s="4">
        <f t="shared" si="7"/>
        <v>23.64</v>
      </c>
      <c r="L132" s="4">
        <f t="shared" si="8"/>
        <v>14.28</v>
      </c>
      <c r="M132" s="4">
        <f t="shared" si="9"/>
        <v>9.3600000000000012</v>
      </c>
      <c r="N132" s="4">
        <v>6.51</v>
      </c>
      <c r="O132" s="4">
        <v>0</v>
      </c>
      <c r="P132" s="4">
        <v>89</v>
      </c>
      <c r="Q132" s="4">
        <v>20.2</v>
      </c>
      <c r="R132" s="4">
        <v>6</v>
      </c>
      <c r="S132" s="4">
        <v>18.84</v>
      </c>
      <c r="T132" s="4">
        <v>-18.84</v>
      </c>
      <c r="U132" s="4">
        <v>0.23</v>
      </c>
      <c r="V132" s="4">
        <v>35.229999999999997</v>
      </c>
      <c r="W132" s="4">
        <v>10.039999999999999</v>
      </c>
      <c r="X132" s="4">
        <v>11.84</v>
      </c>
      <c r="Y132" s="4">
        <v>6.74</v>
      </c>
      <c r="Z132" s="4">
        <v>32.28</v>
      </c>
      <c r="AA132" s="4">
        <v>-2.4700000000000002</v>
      </c>
      <c r="AB132" s="4">
        <v>12.73</v>
      </c>
      <c r="AC132" s="4">
        <v>-46.72</v>
      </c>
      <c r="AD132" s="4">
        <v>160</v>
      </c>
      <c r="AE132" s="4">
        <v>1460</v>
      </c>
      <c r="AF132" s="4">
        <v>13.4</v>
      </c>
      <c r="AG132" s="4">
        <v>0.15</v>
      </c>
      <c r="AH132" s="4">
        <v>-17.350000000000001</v>
      </c>
      <c r="AI132" s="4">
        <v>151.4</v>
      </c>
      <c r="AJ132" s="4">
        <v>60</v>
      </c>
      <c r="AK132" s="4">
        <v>9</v>
      </c>
      <c r="AL132" s="4">
        <v>9</v>
      </c>
      <c r="AM132" s="4">
        <v>0.05</v>
      </c>
      <c r="AN132" s="4">
        <v>96</v>
      </c>
      <c r="AO132" s="4">
        <v>96.44</v>
      </c>
      <c r="AP132" s="4">
        <v>355411.38</v>
      </c>
      <c r="AQ132" s="4">
        <v>172101.2</v>
      </c>
      <c r="AR132" s="4" t="s">
        <v>594</v>
      </c>
      <c r="AS132" s="5">
        <f t="shared" si="0"/>
        <v>10.462909817351598</v>
      </c>
    </row>
    <row r="133" spans="1:45" ht="14.25" customHeight="1" x14ac:dyDescent="0.55000000000000004">
      <c r="A133" s="4">
        <v>0</v>
      </c>
      <c r="B133" s="4">
        <v>6</v>
      </c>
      <c r="C133" s="4">
        <v>57.52</v>
      </c>
      <c r="D133" s="4">
        <v>7.8</v>
      </c>
      <c r="E133" s="4" t="s">
        <v>2529</v>
      </c>
      <c r="F133" s="4" t="s">
        <v>2530</v>
      </c>
      <c r="G133" s="4" t="s">
        <v>2333</v>
      </c>
      <c r="H133" s="4" t="s">
        <v>2531</v>
      </c>
      <c r="I133" s="4">
        <v>0</v>
      </c>
      <c r="J133" s="4">
        <v>165.79</v>
      </c>
      <c r="K133" s="4">
        <f t="shared" si="7"/>
        <v>21.619999999999997</v>
      </c>
      <c r="L133" s="4">
        <f t="shared" si="8"/>
        <v>14.28</v>
      </c>
      <c r="M133" s="4">
        <f t="shared" si="9"/>
        <v>7.3399999999999981</v>
      </c>
      <c r="N133" s="4">
        <v>6.43</v>
      </c>
      <c r="O133" s="4">
        <v>0</v>
      </c>
      <c r="P133" s="4">
        <v>91</v>
      </c>
      <c r="Q133" s="4">
        <v>19.899999999999999</v>
      </c>
      <c r="R133" s="4">
        <v>6</v>
      </c>
      <c r="S133" s="4">
        <v>18.79</v>
      </c>
      <c r="T133" s="4">
        <v>-18.79</v>
      </c>
      <c r="U133" s="4">
        <v>0.35</v>
      </c>
      <c r="V133" s="4">
        <v>36.81</v>
      </c>
      <c r="W133" s="4">
        <v>10.33</v>
      </c>
      <c r="X133" s="4">
        <v>12.97</v>
      </c>
      <c r="Y133" s="4">
        <v>6.86</v>
      </c>
      <c r="Z133" s="4">
        <v>29.52</v>
      </c>
      <c r="AA133" s="4">
        <v>-2.42</v>
      </c>
      <c r="AB133" s="4">
        <v>12.63</v>
      </c>
      <c r="AC133" s="4">
        <v>-46.89</v>
      </c>
      <c r="AD133" s="4">
        <v>160</v>
      </c>
      <c r="AE133" s="4">
        <v>1460</v>
      </c>
      <c r="AF133" s="4">
        <v>13.4</v>
      </c>
      <c r="AG133" s="4">
        <v>0.15</v>
      </c>
      <c r="AH133" s="4">
        <v>-20.52</v>
      </c>
      <c r="AI133" s="4">
        <v>151.4</v>
      </c>
      <c r="AJ133" s="4">
        <v>60</v>
      </c>
      <c r="AK133" s="4">
        <v>9</v>
      </c>
      <c r="AL133" s="4">
        <v>9</v>
      </c>
      <c r="AM133" s="4">
        <v>0.05</v>
      </c>
      <c r="AN133" s="4">
        <v>96</v>
      </c>
      <c r="AO133" s="4">
        <v>96.44</v>
      </c>
      <c r="AP133" s="4">
        <v>325833.92</v>
      </c>
      <c r="AQ133" s="4">
        <v>172101.2</v>
      </c>
      <c r="AR133" s="4" t="s">
        <v>598</v>
      </c>
      <c r="AS133" s="5">
        <f t="shared" si="0"/>
        <v>8.7746986301369851</v>
      </c>
    </row>
    <row r="134" spans="1:45" ht="14.25" customHeight="1" x14ac:dyDescent="0.55000000000000004">
      <c r="A134" s="4">
        <v>0</v>
      </c>
      <c r="B134" s="4">
        <v>6</v>
      </c>
      <c r="C134" s="4">
        <v>55.5</v>
      </c>
      <c r="D134" s="4">
        <v>7.8</v>
      </c>
      <c r="E134" s="4" t="s">
        <v>2532</v>
      </c>
      <c r="F134" s="4" t="s">
        <v>2533</v>
      </c>
      <c r="G134" s="4" t="s">
        <v>2333</v>
      </c>
      <c r="H134" s="4" t="s">
        <v>2534</v>
      </c>
      <c r="I134" s="4">
        <v>0</v>
      </c>
      <c r="J134" s="4">
        <v>151.76</v>
      </c>
      <c r="K134" s="4">
        <f t="shared" si="7"/>
        <v>23.119999999999997</v>
      </c>
      <c r="L134" s="4">
        <f t="shared" si="8"/>
        <v>14.28</v>
      </c>
      <c r="M134" s="4">
        <f t="shared" si="9"/>
        <v>8.8399999999999981</v>
      </c>
      <c r="N134" s="4">
        <v>6.42</v>
      </c>
      <c r="O134" s="4">
        <v>0</v>
      </c>
      <c r="P134" s="4">
        <v>69</v>
      </c>
      <c r="Q134" s="4">
        <v>21.8</v>
      </c>
      <c r="R134" s="4">
        <v>6</v>
      </c>
      <c r="S134" s="4">
        <v>17.829999999999998</v>
      </c>
      <c r="T134" s="4">
        <v>-17.829999999999998</v>
      </c>
      <c r="U134" s="4">
        <v>0.37</v>
      </c>
      <c r="V134" s="4">
        <v>35.520000000000003</v>
      </c>
      <c r="W134" s="4">
        <v>9.92</v>
      </c>
      <c r="X134" s="4">
        <v>12.69</v>
      </c>
      <c r="Y134" s="4">
        <v>6.56</v>
      </c>
      <c r="Z134" s="4">
        <v>31.57</v>
      </c>
      <c r="AA134" s="4">
        <v>-2.44</v>
      </c>
      <c r="AB134" s="4">
        <v>12.69</v>
      </c>
      <c r="AC134" s="4">
        <v>-50.74</v>
      </c>
      <c r="AD134" s="4">
        <v>160</v>
      </c>
      <c r="AE134" s="4">
        <v>1460</v>
      </c>
      <c r="AF134" s="4">
        <v>13.4</v>
      </c>
      <c r="AG134" s="4">
        <v>0.15</v>
      </c>
      <c r="AH134" s="4">
        <v>-21.13</v>
      </c>
      <c r="AI134" s="4">
        <v>151.4</v>
      </c>
      <c r="AJ134" s="4">
        <v>60</v>
      </c>
      <c r="AK134" s="4">
        <v>9</v>
      </c>
      <c r="AL134" s="4">
        <v>9</v>
      </c>
      <c r="AM134" s="4">
        <v>0.05</v>
      </c>
      <c r="AN134" s="4">
        <v>96</v>
      </c>
      <c r="AO134" s="4">
        <v>96.44</v>
      </c>
      <c r="AP134" s="4">
        <v>360375.44</v>
      </c>
      <c r="AQ134" s="4">
        <v>172101.2</v>
      </c>
      <c r="AR134" s="4" t="s">
        <v>603</v>
      </c>
      <c r="AS134" s="5">
        <f t="shared" si="0"/>
        <v>10.746246575342465</v>
      </c>
    </row>
    <row r="135" spans="1:45" ht="14.25" customHeight="1" x14ac:dyDescent="0.55000000000000004">
      <c r="A135" s="4">
        <v>0</v>
      </c>
      <c r="B135" s="4">
        <v>6</v>
      </c>
      <c r="C135" s="4">
        <v>53.91</v>
      </c>
      <c r="D135" s="4">
        <v>7.8</v>
      </c>
      <c r="E135" s="4" t="s">
        <v>2535</v>
      </c>
      <c r="F135" s="4" t="s">
        <v>2536</v>
      </c>
      <c r="G135" s="4" t="s">
        <v>2333</v>
      </c>
      <c r="H135" s="4" t="s">
        <v>2537</v>
      </c>
      <c r="I135" s="4">
        <v>0</v>
      </c>
      <c r="J135" s="4">
        <v>334.17</v>
      </c>
      <c r="K135" s="4">
        <f t="shared" si="7"/>
        <v>26.67</v>
      </c>
      <c r="L135" s="4">
        <f t="shared" si="8"/>
        <v>14.28</v>
      </c>
      <c r="M135" s="4">
        <f t="shared" si="9"/>
        <v>12.390000000000002</v>
      </c>
      <c r="N135" s="4">
        <v>6.6</v>
      </c>
      <c r="O135" s="4">
        <v>0</v>
      </c>
      <c r="P135" s="4">
        <v>67</v>
      </c>
      <c r="Q135" s="4">
        <v>22.7</v>
      </c>
      <c r="R135" s="4">
        <v>6</v>
      </c>
      <c r="S135" s="4">
        <v>18.39</v>
      </c>
      <c r="T135" s="4">
        <v>-18.39</v>
      </c>
      <c r="U135" s="4">
        <v>0.16</v>
      </c>
      <c r="V135" s="4">
        <v>34.5</v>
      </c>
      <c r="W135" s="4">
        <v>9.93</v>
      </c>
      <c r="X135" s="4">
        <v>11.27</v>
      </c>
      <c r="Y135" s="4">
        <v>6.71</v>
      </c>
      <c r="Z135" s="4">
        <v>36.42</v>
      </c>
      <c r="AA135" s="4">
        <v>-2.4900000000000002</v>
      </c>
      <c r="AB135" s="4">
        <v>12.79</v>
      </c>
      <c r="AC135" s="4">
        <v>-48.42</v>
      </c>
      <c r="AD135" s="4">
        <v>160</v>
      </c>
      <c r="AE135" s="4">
        <v>1460</v>
      </c>
      <c r="AF135" s="4">
        <v>13.4</v>
      </c>
      <c r="AG135" s="4">
        <v>0.15</v>
      </c>
      <c r="AH135" s="4">
        <v>-15.98</v>
      </c>
      <c r="AI135" s="4">
        <v>151.4</v>
      </c>
      <c r="AJ135" s="4">
        <v>60</v>
      </c>
      <c r="AK135" s="4">
        <v>9</v>
      </c>
      <c r="AL135" s="4">
        <v>9</v>
      </c>
      <c r="AM135" s="4">
        <v>0.05</v>
      </c>
      <c r="AN135" s="4">
        <v>96</v>
      </c>
      <c r="AO135" s="4">
        <v>96.44</v>
      </c>
      <c r="AP135" s="4">
        <v>400131.65</v>
      </c>
      <c r="AQ135" s="4">
        <v>172101.2</v>
      </c>
      <c r="AR135" s="4" t="s">
        <v>607</v>
      </c>
      <c r="AS135" s="5">
        <f t="shared" si="0"/>
        <v>13.015436643835617</v>
      </c>
    </row>
    <row r="136" spans="1:45" ht="14.25" customHeight="1" x14ac:dyDescent="0.55000000000000004">
      <c r="A136" s="4">
        <v>0</v>
      </c>
      <c r="B136" s="4">
        <v>6</v>
      </c>
      <c r="C136" s="4">
        <v>53.97</v>
      </c>
      <c r="D136" s="4">
        <v>7.8</v>
      </c>
      <c r="E136" s="4" t="s">
        <v>2538</v>
      </c>
      <c r="F136" s="4" t="s">
        <v>2539</v>
      </c>
      <c r="G136" s="4" t="s">
        <v>2333</v>
      </c>
      <c r="H136" s="4" t="s">
        <v>2540</v>
      </c>
      <c r="I136" s="4">
        <v>0</v>
      </c>
      <c r="J136" s="4">
        <v>307.25</v>
      </c>
      <c r="K136" s="4">
        <f t="shared" si="7"/>
        <v>26.13</v>
      </c>
      <c r="L136" s="4">
        <f t="shared" si="8"/>
        <v>14.28</v>
      </c>
      <c r="M136" s="4">
        <f t="shared" si="9"/>
        <v>11.85</v>
      </c>
      <c r="N136" s="4">
        <v>6.57</v>
      </c>
      <c r="O136" s="4">
        <v>0</v>
      </c>
      <c r="P136" s="4">
        <v>70</v>
      </c>
      <c r="Q136" s="4">
        <v>21.7</v>
      </c>
      <c r="R136" s="4">
        <v>6</v>
      </c>
      <c r="S136" s="4">
        <v>17.86</v>
      </c>
      <c r="T136" s="4">
        <v>-17.86</v>
      </c>
      <c r="U136" s="4">
        <v>0.18</v>
      </c>
      <c r="V136" s="4">
        <v>34.54</v>
      </c>
      <c r="W136" s="4">
        <v>9.92</v>
      </c>
      <c r="X136" s="4">
        <v>11.35</v>
      </c>
      <c r="Y136" s="4">
        <v>6.69</v>
      </c>
      <c r="Z136" s="4">
        <v>35.67</v>
      </c>
      <c r="AA136" s="4">
        <v>-2.4900000000000002</v>
      </c>
      <c r="AB136" s="4">
        <v>12.78</v>
      </c>
      <c r="AC136" s="4">
        <v>-50.57</v>
      </c>
      <c r="AD136" s="4">
        <v>160</v>
      </c>
      <c r="AE136" s="4">
        <v>1460</v>
      </c>
      <c r="AF136" s="4">
        <v>13.4</v>
      </c>
      <c r="AG136" s="4">
        <v>0.15</v>
      </c>
      <c r="AH136" s="4">
        <v>-16.260000000000002</v>
      </c>
      <c r="AI136" s="4">
        <v>151.4</v>
      </c>
      <c r="AJ136" s="4">
        <v>60</v>
      </c>
      <c r="AK136" s="4">
        <v>9</v>
      </c>
      <c r="AL136" s="4">
        <v>9</v>
      </c>
      <c r="AM136" s="4">
        <v>0.05</v>
      </c>
      <c r="AN136" s="4">
        <v>96</v>
      </c>
      <c r="AO136" s="4">
        <v>96.44</v>
      </c>
      <c r="AP136" s="4">
        <v>394335.25</v>
      </c>
      <c r="AQ136" s="4">
        <v>172101.2</v>
      </c>
      <c r="AR136" s="4" t="s">
        <v>612</v>
      </c>
      <c r="AS136" s="5">
        <f t="shared" si="0"/>
        <v>12.684591894977169</v>
      </c>
    </row>
    <row r="137" spans="1:45" ht="14.25" customHeight="1" x14ac:dyDescent="0.55000000000000004">
      <c r="A137" s="4">
        <v>0</v>
      </c>
      <c r="B137" s="4">
        <v>6</v>
      </c>
      <c r="C137" s="4">
        <v>54.08</v>
      </c>
      <c r="D137" s="4">
        <v>7.8</v>
      </c>
      <c r="E137" s="4" t="s">
        <v>2541</v>
      </c>
      <c r="F137" s="4" t="s">
        <v>2542</v>
      </c>
      <c r="G137" s="4" t="s">
        <v>2333</v>
      </c>
      <c r="H137" s="4" t="s">
        <v>2543</v>
      </c>
      <c r="I137" s="4">
        <v>0</v>
      </c>
      <c r="J137" s="4">
        <v>295.88</v>
      </c>
      <c r="K137" s="4">
        <f t="shared" si="7"/>
        <v>25.56</v>
      </c>
      <c r="L137" s="4">
        <f t="shared" si="8"/>
        <v>14.28</v>
      </c>
      <c r="M137" s="4">
        <f t="shared" si="9"/>
        <v>11.28</v>
      </c>
      <c r="N137" s="4">
        <v>6.56</v>
      </c>
      <c r="O137" s="4">
        <v>0</v>
      </c>
      <c r="P137" s="4">
        <v>71</v>
      </c>
      <c r="Q137" s="4">
        <v>21.7</v>
      </c>
      <c r="R137" s="4">
        <v>6</v>
      </c>
      <c r="S137" s="4">
        <v>17.989999999999998</v>
      </c>
      <c r="T137" s="4">
        <v>-17.989999999999998</v>
      </c>
      <c r="U137" s="4">
        <v>0.18</v>
      </c>
      <c r="V137" s="4">
        <v>34.61</v>
      </c>
      <c r="W137" s="4">
        <v>9.93</v>
      </c>
      <c r="X137" s="4">
        <v>11.41</v>
      </c>
      <c r="Y137" s="4">
        <v>6.7</v>
      </c>
      <c r="Z137" s="4">
        <v>34.909999999999997</v>
      </c>
      <c r="AA137" s="4">
        <v>-2.4900000000000002</v>
      </c>
      <c r="AB137" s="4">
        <v>12.77</v>
      </c>
      <c r="AC137" s="4">
        <v>-50.02</v>
      </c>
      <c r="AD137" s="4">
        <v>160</v>
      </c>
      <c r="AE137" s="4">
        <v>1460</v>
      </c>
      <c r="AF137" s="4">
        <v>13.4</v>
      </c>
      <c r="AG137" s="4">
        <v>0.15</v>
      </c>
      <c r="AH137" s="4">
        <v>-16.399999999999999</v>
      </c>
      <c r="AI137" s="4">
        <v>151.4</v>
      </c>
      <c r="AJ137" s="4">
        <v>60</v>
      </c>
      <c r="AK137" s="4">
        <v>9</v>
      </c>
      <c r="AL137" s="4">
        <v>9</v>
      </c>
      <c r="AM137" s="4">
        <v>0.05</v>
      </c>
      <c r="AN137" s="4">
        <v>96</v>
      </c>
      <c r="AO137" s="4">
        <v>96.44</v>
      </c>
      <c r="AP137" s="4">
        <v>385158.76</v>
      </c>
      <c r="AQ137" s="4">
        <v>172101.2</v>
      </c>
      <c r="AR137" s="4" t="s">
        <v>617</v>
      </c>
      <c r="AS137" s="5">
        <f t="shared" si="0"/>
        <v>12.160819634703197</v>
      </c>
    </row>
    <row r="138" spans="1:45" ht="14.25" customHeight="1" x14ac:dyDescent="0.55000000000000004">
      <c r="A138" s="4">
        <v>0</v>
      </c>
      <c r="B138" s="4">
        <v>6</v>
      </c>
      <c r="C138" s="4">
        <v>54</v>
      </c>
      <c r="D138" s="4">
        <v>7.8</v>
      </c>
      <c r="E138" s="4" t="s">
        <v>2544</v>
      </c>
      <c r="F138" s="4" t="s">
        <v>2545</v>
      </c>
      <c r="G138" s="4" t="s">
        <v>2333</v>
      </c>
      <c r="H138" s="4" t="s">
        <v>2546</v>
      </c>
      <c r="I138" s="4">
        <v>0</v>
      </c>
      <c r="J138" s="4">
        <v>271.77999999999997</v>
      </c>
      <c r="K138" s="4">
        <f t="shared" si="7"/>
        <v>25.909999999999997</v>
      </c>
      <c r="L138" s="4">
        <f t="shared" si="8"/>
        <v>14.28</v>
      </c>
      <c r="M138" s="4">
        <f t="shared" si="9"/>
        <v>11.629999999999997</v>
      </c>
      <c r="N138" s="4">
        <v>6.54</v>
      </c>
      <c r="O138" s="4">
        <v>0</v>
      </c>
      <c r="P138" s="4">
        <v>69</v>
      </c>
      <c r="Q138" s="4">
        <v>22</v>
      </c>
      <c r="R138" s="4">
        <v>6</v>
      </c>
      <c r="S138" s="4">
        <v>18.010000000000002</v>
      </c>
      <c r="T138" s="4">
        <v>-18.010000000000002</v>
      </c>
      <c r="U138" s="4">
        <v>0.2</v>
      </c>
      <c r="V138" s="4">
        <v>34.56</v>
      </c>
      <c r="W138" s="4">
        <v>9.89</v>
      </c>
      <c r="X138" s="4">
        <v>11.49</v>
      </c>
      <c r="Y138" s="4">
        <v>6.66</v>
      </c>
      <c r="Z138" s="4">
        <v>35.369999999999997</v>
      </c>
      <c r="AA138" s="4">
        <v>-2.4900000000000002</v>
      </c>
      <c r="AB138" s="4">
        <v>12.77</v>
      </c>
      <c r="AC138" s="4">
        <v>-49.95</v>
      </c>
      <c r="AD138" s="4">
        <v>160</v>
      </c>
      <c r="AE138" s="4">
        <v>1460</v>
      </c>
      <c r="AF138" s="4">
        <v>13.4</v>
      </c>
      <c r="AG138" s="4">
        <v>0.15</v>
      </c>
      <c r="AH138" s="4">
        <v>-16.73</v>
      </c>
      <c r="AI138" s="4">
        <v>151.4</v>
      </c>
      <c r="AJ138" s="4">
        <v>60</v>
      </c>
      <c r="AK138" s="4">
        <v>9</v>
      </c>
      <c r="AL138" s="4">
        <v>9</v>
      </c>
      <c r="AM138" s="4">
        <v>0.05</v>
      </c>
      <c r="AN138" s="4">
        <v>96</v>
      </c>
      <c r="AO138" s="4">
        <v>96.44</v>
      </c>
      <c r="AP138" s="4">
        <v>396884.95</v>
      </c>
      <c r="AQ138" s="4">
        <v>172101.2</v>
      </c>
      <c r="AR138" s="4" t="s">
        <v>622</v>
      </c>
      <c r="AS138" s="5">
        <f t="shared" si="0"/>
        <v>12.830122716894977</v>
      </c>
    </row>
    <row r="139" spans="1:45" ht="14.25" customHeight="1" x14ac:dyDescent="0.55000000000000004">
      <c r="A139" s="4">
        <v>0</v>
      </c>
      <c r="B139" s="4">
        <v>6</v>
      </c>
      <c r="C139" s="4">
        <v>61.55</v>
      </c>
      <c r="D139" s="4">
        <v>7.8</v>
      </c>
      <c r="E139" s="4" t="s">
        <v>2333</v>
      </c>
      <c r="F139" s="4" t="s">
        <v>802</v>
      </c>
      <c r="G139" s="4" t="s">
        <v>2333</v>
      </c>
      <c r="H139" s="4" t="s">
        <v>1920</v>
      </c>
      <c r="I139" s="4">
        <v>0</v>
      </c>
      <c r="J139" s="4">
        <v>35</v>
      </c>
      <c r="K139" s="4">
        <f t="shared" si="7"/>
        <v>20</v>
      </c>
      <c r="L139" s="4">
        <f t="shared" si="8"/>
        <v>20</v>
      </c>
      <c r="M139" s="4">
        <f t="shared" si="9"/>
        <v>0</v>
      </c>
      <c r="N139" s="4">
        <v>6.3</v>
      </c>
      <c r="O139" s="4">
        <v>0</v>
      </c>
      <c r="P139" s="4">
        <v>75</v>
      </c>
      <c r="Q139" s="4">
        <v>21.7</v>
      </c>
      <c r="R139" s="4">
        <v>6</v>
      </c>
      <c r="S139" s="4">
        <v>18.52</v>
      </c>
      <c r="T139" s="4">
        <v>-18.52</v>
      </c>
      <c r="U139" s="4">
        <v>1.76</v>
      </c>
      <c r="V139" s="4">
        <v>39.39</v>
      </c>
      <c r="W139" s="4">
        <v>8.9700000000000006</v>
      </c>
      <c r="X139" s="4">
        <v>21.45</v>
      </c>
      <c r="Y139" s="4">
        <v>4.92</v>
      </c>
      <c r="Z139" s="4">
        <v>3.1</v>
      </c>
      <c r="AA139" s="4">
        <v>-2.2599999999999998</v>
      </c>
      <c r="AB139" s="4">
        <v>12.33</v>
      </c>
      <c r="AC139" s="4">
        <v>-47.94</v>
      </c>
      <c r="AD139" s="4">
        <v>160</v>
      </c>
      <c r="AE139" s="4">
        <v>1460</v>
      </c>
      <c r="AF139" s="4">
        <v>13.4</v>
      </c>
      <c r="AG139" s="4">
        <v>0.15</v>
      </c>
      <c r="AH139" s="4">
        <v>17.670000000000002</v>
      </c>
      <c r="AI139" s="4">
        <v>17.190000000000001</v>
      </c>
      <c r="AJ139" s="4">
        <v>60</v>
      </c>
      <c r="AK139" s="4">
        <v>9</v>
      </c>
      <c r="AL139" s="4">
        <v>9</v>
      </c>
      <c r="AM139" s="4">
        <v>0.43</v>
      </c>
      <c r="AN139" s="4">
        <v>96</v>
      </c>
      <c r="AO139" s="4">
        <v>99.87</v>
      </c>
      <c r="AP139" s="4">
        <v>310846.65999999997</v>
      </c>
      <c r="AQ139" s="4">
        <v>310846.65999999997</v>
      </c>
      <c r="AR139" s="4" t="s">
        <v>627</v>
      </c>
      <c r="AS139" s="5">
        <f t="shared" si="0"/>
        <v>0</v>
      </c>
    </row>
    <row r="140" spans="1:45" ht="14.25" customHeight="1" x14ac:dyDescent="0.55000000000000004">
      <c r="A140" s="4">
        <v>0</v>
      </c>
      <c r="B140" s="4">
        <v>6</v>
      </c>
      <c r="C140" s="4">
        <v>58.21</v>
      </c>
      <c r="D140" s="4">
        <v>7.8</v>
      </c>
      <c r="E140" s="4" t="s">
        <v>2547</v>
      </c>
      <c r="F140" s="4" t="s">
        <v>2548</v>
      </c>
      <c r="G140" s="4" t="s">
        <v>2333</v>
      </c>
      <c r="H140" s="4" t="s">
        <v>2549</v>
      </c>
      <c r="I140" s="4">
        <v>0</v>
      </c>
      <c r="J140" s="4">
        <v>145.27000000000001</v>
      </c>
      <c r="K140" s="4">
        <f t="shared" si="7"/>
        <v>21.259999999999998</v>
      </c>
      <c r="L140" s="4">
        <f t="shared" si="8"/>
        <v>21.259999999999998</v>
      </c>
      <c r="M140" s="4">
        <f t="shared" si="9"/>
        <v>0</v>
      </c>
      <c r="N140" s="4">
        <v>6.41</v>
      </c>
      <c r="O140" s="4">
        <v>0</v>
      </c>
      <c r="P140" s="4">
        <v>71</v>
      </c>
      <c r="Q140" s="4">
        <v>21.6</v>
      </c>
      <c r="R140" s="4">
        <v>6</v>
      </c>
      <c r="S140" s="4">
        <v>17.899999999999999</v>
      </c>
      <c r="T140" s="4">
        <v>-17.899999999999999</v>
      </c>
      <c r="U140" s="4">
        <v>0.4</v>
      </c>
      <c r="V140" s="4">
        <v>37.25</v>
      </c>
      <c r="W140" s="4">
        <v>10.38</v>
      </c>
      <c r="X140" s="4">
        <v>13.4</v>
      </c>
      <c r="Y140" s="4">
        <v>6.85</v>
      </c>
      <c r="Z140" s="4">
        <v>2.76</v>
      </c>
      <c r="AA140" s="4">
        <v>-2.4</v>
      </c>
      <c r="AB140" s="4">
        <v>12.6</v>
      </c>
      <c r="AC140" s="4">
        <v>-50.42</v>
      </c>
      <c r="AD140" s="4">
        <v>160</v>
      </c>
      <c r="AE140" s="4">
        <v>1460</v>
      </c>
      <c r="AF140" s="4">
        <v>13.4</v>
      </c>
      <c r="AG140" s="4">
        <v>0.15</v>
      </c>
      <c r="AH140" s="4">
        <v>-22.36</v>
      </c>
      <c r="AI140" s="4">
        <v>14.37</v>
      </c>
      <c r="AJ140" s="4">
        <v>60</v>
      </c>
      <c r="AK140" s="4">
        <v>9</v>
      </c>
      <c r="AL140" s="4">
        <v>9</v>
      </c>
      <c r="AM140" s="4">
        <v>0.51</v>
      </c>
      <c r="AN140" s="4">
        <v>96</v>
      </c>
      <c r="AO140" s="4">
        <v>100.63</v>
      </c>
      <c r="AP140" s="4">
        <v>321406.12</v>
      </c>
      <c r="AQ140" s="4">
        <v>321406.12</v>
      </c>
      <c r="AR140" s="4" t="s">
        <v>631</v>
      </c>
      <c r="AS140" s="5">
        <f t="shared" si="0"/>
        <v>0</v>
      </c>
    </row>
    <row r="141" spans="1:45" ht="14.25" customHeight="1" x14ac:dyDescent="0.55000000000000004">
      <c r="A141" s="4">
        <v>0</v>
      </c>
      <c r="B141" s="4">
        <v>6</v>
      </c>
      <c r="C141" s="4">
        <v>53.91</v>
      </c>
      <c r="D141" s="4">
        <v>7.8</v>
      </c>
      <c r="E141" s="4" t="s">
        <v>2550</v>
      </c>
      <c r="F141" s="4" t="s">
        <v>2551</v>
      </c>
      <c r="G141" s="4" t="s">
        <v>2333</v>
      </c>
      <c r="H141" s="4" t="s">
        <v>2552</v>
      </c>
      <c r="I141" s="4">
        <v>0</v>
      </c>
      <c r="J141" s="4">
        <v>334.67</v>
      </c>
      <c r="K141" s="4">
        <f t="shared" si="7"/>
        <v>27.41</v>
      </c>
      <c r="L141" s="4">
        <f t="shared" si="8"/>
        <v>14.28</v>
      </c>
      <c r="M141" s="4">
        <f t="shared" si="9"/>
        <v>13.13</v>
      </c>
      <c r="N141" s="4">
        <v>6.6</v>
      </c>
      <c r="O141" s="4">
        <v>0</v>
      </c>
      <c r="P141" s="4">
        <v>69</v>
      </c>
      <c r="Q141" s="4">
        <v>22.4</v>
      </c>
      <c r="R141" s="4">
        <v>6</v>
      </c>
      <c r="S141" s="4">
        <v>18.38</v>
      </c>
      <c r="T141" s="4">
        <v>-18.38</v>
      </c>
      <c r="U141" s="4">
        <v>0.16</v>
      </c>
      <c r="V141" s="4">
        <v>34.5</v>
      </c>
      <c r="W141" s="4">
        <v>9.93</v>
      </c>
      <c r="X141" s="4">
        <v>11.26</v>
      </c>
      <c r="Y141" s="4">
        <v>6.71</v>
      </c>
      <c r="Z141" s="4">
        <v>37.43</v>
      </c>
      <c r="AA141" s="4">
        <v>-2.4900000000000002</v>
      </c>
      <c r="AB141" s="4">
        <v>12.79</v>
      </c>
      <c r="AC141" s="4">
        <v>-48.45</v>
      </c>
      <c r="AD141" s="4">
        <v>160</v>
      </c>
      <c r="AE141" s="4">
        <v>1460</v>
      </c>
      <c r="AF141" s="4">
        <v>13.4</v>
      </c>
      <c r="AG141" s="4">
        <v>0.15</v>
      </c>
      <c r="AH141" s="4">
        <v>-15.98</v>
      </c>
      <c r="AI141" s="4">
        <v>151.4</v>
      </c>
      <c r="AJ141" s="4">
        <v>60</v>
      </c>
      <c r="AK141" s="4">
        <v>9</v>
      </c>
      <c r="AL141" s="4">
        <v>9</v>
      </c>
      <c r="AM141" s="4">
        <v>0.05</v>
      </c>
      <c r="AN141" s="4">
        <v>96</v>
      </c>
      <c r="AO141" s="4">
        <v>96.44</v>
      </c>
      <c r="AP141" s="4">
        <v>414897.88</v>
      </c>
      <c r="AQ141" s="4">
        <v>172101.2</v>
      </c>
      <c r="AR141" s="4" t="s">
        <v>636</v>
      </c>
      <c r="AS141" s="5">
        <f t="shared" si="0"/>
        <v>13.85825799086758</v>
      </c>
    </row>
    <row r="142" spans="1:45" ht="14.25" customHeight="1" x14ac:dyDescent="0.55000000000000004">
      <c r="A142" s="4">
        <v>0</v>
      </c>
      <c r="B142" s="4">
        <v>6</v>
      </c>
      <c r="C142" s="4">
        <v>65.73</v>
      </c>
      <c r="D142" s="4">
        <v>7.8</v>
      </c>
      <c r="E142" s="4" t="s">
        <v>2553</v>
      </c>
      <c r="F142" s="4" t="s">
        <v>2554</v>
      </c>
      <c r="G142" s="4" t="s">
        <v>2333</v>
      </c>
      <c r="H142" s="4" t="s">
        <v>2555</v>
      </c>
      <c r="I142" s="4">
        <v>0</v>
      </c>
      <c r="J142" s="4">
        <v>48.27</v>
      </c>
      <c r="K142" s="4">
        <f t="shared" si="7"/>
        <v>19</v>
      </c>
      <c r="L142" s="4">
        <f t="shared" si="8"/>
        <v>19</v>
      </c>
      <c r="M142" s="4">
        <f t="shared" si="9"/>
        <v>0</v>
      </c>
      <c r="N142" s="4">
        <v>6.31</v>
      </c>
      <c r="O142" s="4">
        <v>0</v>
      </c>
      <c r="P142" s="4">
        <v>68</v>
      </c>
      <c r="Q142" s="4">
        <v>22</v>
      </c>
      <c r="R142" s="4">
        <v>6</v>
      </c>
      <c r="S142" s="4">
        <v>17.88</v>
      </c>
      <c r="T142" s="4">
        <v>-17.88</v>
      </c>
      <c r="U142" s="4">
        <v>1.36</v>
      </c>
      <c r="V142" s="4">
        <v>42.07</v>
      </c>
      <c r="W142" s="4">
        <v>10.35</v>
      </c>
      <c r="X142" s="4">
        <v>20.09</v>
      </c>
      <c r="Y142" s="4">
        <v>6.16</v>
      </c>
      <c r="Z142" s="4">
        <v>3.49</v>
      </c>
      <c r="AA142" s="4">
        <v>-2.23</v>
      </c>
      <c r="AB142" s="4">
        <v>12.26</v>
      </c>
      <c r="AC142" s="4">
        <v>-50.51</v>
      </c>
      <c r="AD142" s="4">
        <v>160</v>
      </c>
      <c r="AE142" s="4">
        <v>1460</v>
      </c>
      <c r="AF142" s="4">
        <v>13.4</v>
      </c>
      <c r="AG142" s="4">
        <v>0.15</v>
      </c>
      <c r="AH142" s="4">
        <v>37.06</v>
      </c>
      <c r="AI142" s="4">
        <v>20.350000000000001</v>
      </c>
      <c r="AJ142" s="4">
        <v>60</v>
      </c>
      <c r="AK142" s="4">
        <v>9</v>
      </c>
      <c r="AL142" s="4">
        <v>9</v>
      </c>
      <c r="AM142" s="4">
        <v>0.36</v>
      </c>
      <c r="AN142" s="4">
        <v>96</v>
      </c>
      <c r="AO142" s="4">
        <v>99.27</v>
      </c>
      <c r="AP142" s="4">
        <v>286439.8</v>
      </c>
      <c r="AQ142" s="4">
        <v>286439.8</v>
      </c>
      <c r="AR142" s="4" t="s">
        <v>641</v>
      </c>
      <c r="AS142" s="5">
        <f t="shared" si="0"/>
        <v>0</v>
      </c>
    </row>
    <row r="143" spans="1:45" ht="14.25" customHeight="1" x14ac:dyDescent="0.55000000000000004">
      <c r="A143" s="4">
        <v>0</v>
      </c>
      <c r="B143" s="4">
        <v>6</v>
      </c>
      <c r="C143" s="4">
        <v>58.39</v>
      </c>
      <c r="D143" s="4">
        <v>7.8</v>
      </c>
      <c r="E143" s="4" t="s">
        <v>2556</v>
      </c>
      <c r="F143" s="4" t="s">
        <v>2557</v>
      </c>
      <c r="G143" s="4" t="s">
        <v>2333</v>
      </c>
      <c r="H143" s="4" t="s">
        <v>2558</v>
      </c>
      <c r="I143" s="4">
        <v>0</v>
      </c>
      <c r="J143" s="4">
        <v>54.72</v>
      </c>
      <c r="K143" s="4">
        <f t="shared" si="7"/>
        <v>21.18</v>
      </c>
      <c r="L143" s="4">
        <f t="shared" si="8"/>
        <v>14.28</v>
      </c>
      <c r="M143" s="4">
        <f t="shared" si="9"/>
        <v>6.9</v>
      </c>
      <c r="N143" s="4">
        <v>6.32</v>
      </c>
      <c r="O143" s="4">
        <v>0</v>
      </c>
      <c r="P143" s="4">
        <v>67</v>
      </c>
      <c r="Q143" s="4">
        <v>22.3</v>
      </c>
      <c r="R143" s="4">
        <v>6</v>
      </c>
      <c r="S143" s="4">
        <v>18.02</v>
      </c>
      <c r="T143" s="4">
        <v>-18.02</v>
      </c>
      <c r="U143" s="4">
        <v>1.07</v>
      </c>
      <c r="V143" s="4">
        <v>37.369999999999997</v>
      </c>
      <c r="W143" s="4">
        <v>9.41</v>
      </c>
      <c r="X143" s="4">
        <v>17.07</v>
      </c>
      <c r="Y143" s="4">
        <v>5.72</v>
      </c>
      <c r="Z143" s="4">
        <v>28.91</v>
      </c>
      <c r="AA143" s="4">
        <v>-2.34</v>
      </c>
      <c r="AB143" s="4">
        <v>12.48</v>
      </c>
      <c r="AC143" s="4">
        <v>-49.9</v>
      </c>
      <c r="AD143" s="4">
        <v>160</v>
      </c>
      <c r="AE143" s="4">
        <v>1460</v>
      </c>
      <c r="AF143" s="4">
        <v>13.4</v>
      </c>
      <c r="AG143" s="4">
        <v>0.15</v>
      </c>
      <c r="AH143" s="4">
        <v>200.13</v>
      </c>
      <c r="AI143" s="4">
        <v>151.4</v>
      </c>
      <c r="AJ143" s="4">
        <v>60</v>
      </c>
      <c r="AK143" s="4">
        <v>9</v>
      </c>
      <c r="AL143" s="4">
        <v>9</v>
      </c>
      <c r="AM143" s="4">
        <v>0.05</v>
      </c>
      <c r="AN143" s="4">
        <v>96</v>
      </c>
      <c r="AO143" s="4">
        <v>96.44</v>
      </c>
      <c r="AP143" s="4">
        <v>334037.77</v>
      </c>
      <c r="AQ143" s="4">
        <v>172101.2</v>
      </c>
      <c r="AR143" s="4" t="s">
        <v>646</v>
      </c>
      <c r="AS143" s="5">
        <f t="shared" si="0"/>
        <v>9.2429549086757987</v>
      </c>
    </row>
    <row r="144" spans="1:45" ht="14.25" customHeight="1" x14ac:dyDescent="0.55000000000000004">
      <c r="A144" s="4">
        <v>0</v>
      </c>
      <c r="B144" s="4">
        <v>6</v>
      </c>
      <c r="C144" s="4">
        <v>53.94</v>
      </c>
      <c r="D144" s="4">
        <v>7.8</v>
      </c>
      <c r="E144" s="4" t="s">
        <v>2559</v>
      </c>
      <c r="F144" s="4" t="s">
        <v>2560</v>
      </c>
      <c r="G144" s="4" t="s">
        <v>2333</v>
      </c>
      <c r="H144" s="4" t="s">
        <v>2561</v>
      </c>
      <c r="I144" s="4">
        <v>0</v>
      </c>
      <c r="J144" s="4">
        <v>350.97</v>
      </c>
      <c r="K144" s="4">
        <f t="shared" si="7"/>
        <v>27.71</v>
      </c>
      <c r="L144" s="4">
        <f t="shared" si="8"/>
        <v>14.28</v>
      </c>
      <c r="M144" s="4">
        <f t="shared" si="9"/>
        <v>13.430000000000001</v>
      </c>
      <c r="N144" s="4">
        <v>6.61</v>
      </c>
      <c r="O144" s="4">
        <v>0</v>
      </c>
      <c r="P144" s="4">
        <v>70</v>
      </c>
      <c r="Q144" s="4">
        <v>22.5</v>
      </c>
      <c r="R144" s="4">
        <v>6</v>
      </c>
      <c r="S144" s="4">
        <v>18.61</v>
      </c>
      <c r="T144" s="4">
        <v>-18.61</v>
      </c>
      <c r="U144" s="4">
        <v>0.15</v>
      </c>
      <c r="V144" s="4">
        <v>34.520000000000003</v>
      </c>
      <c r="W144" s="4">
        <v>9.94</v>
      </c>
      <c r="X144" s="4">
        <v>11.23</v>
      </c>
      <c r="Y144" s="4">
        <v>6.73</v>
      </c>
      <c r="Z144" s="4">
        <v>37.83</v>
      </c>
      <c r="AA144" s="4">
        <v>-2.4900000000000002</v>
      </c>
      <c r="AB144" s="4">
        <v>12.79</v>
      </c>
      <c r="AC144" s="4">
        <v>-47.58</v>
      </c>
      <c r="AD144" s="4">
        <v>160</v>
      </c>
      <c r="AE144" s="4">
        <v>1460</v>
      </c>
      <c r="AF144" s="4">
        <v>13.4</v>
      </c>
      <c r="AG144" s="4">
        <v>0.15</v>
      </c>
      <c r="AH144" s="4">
        <v>-15.84</v>
      </c>
      <c r="AI144" s="4">
        <v>151.4</v>
      </c>
      <c r="AJ144" s="4">
        <v>60</v>
      </c>
      <c r="AK144" s="4">
        <v>9</v>
      </c>
      <c r="AL144" s="4">
        <v>9</v>
      </c>
      <c r="AM144" s="4">
        <v>0.05</v>
      </c>
      <c r="AN144" s="4">
        <v>96</v>
      </c>
      <c r="AO144" s="4">
        <v>96.44</v>
      </c>
      <c r="AP144" s="4">
        <v>417426.55</v>
      </c>
      <c r="AQ144" s="4">
        <v>172101.2</v>
      </c>
      <c r="AR144" s="4" t="s">
        <v>651</v>
      </c>
      <c r="AS144" s="5">
        <f t="shared" si="0"/>
        <v>14.002588470319633</v>
      </c>
    </row>
    <row r="145" spans="1:45" ht="14.25" customHeight="1" x14ac:dyDescent="0.55000000000000004">
      <c r="A145" s="4">
        <v>0</v>
      </c>
      <c r="B145" s="4">
        <v>6</v>
      </c>
      <c r="C145" s="4">
        <v>59.58</v>
      </c>
      <c r="D145" s="4">
        <v>7.8</v>
      </c>
      <c r="E145" s="4" t="s">
        <v>2562</v>
      </c>
      <c r="F145" s="4" t="s">
        <v>2563</v>
      </c>
      <c r="G145" s="4" t="s">
        <v>2333</v>
      </c>
      <c r="H145" s="4" t="s">
        <v>2564</v>
      </c>
      <c r="I145" s="4">
        <v>0</v>
      </c>
      <c r="J145" s="4">
        <v>100.72</v>
      </c>
      <c r="K145" s="4">
        <f t="shared" si="7"/>
        <v>20.669999999999998</v>
      </c>
      <c r="L145" s="4">
        <f t="shared" si="8"/>
        <v>14.28</v>
      </c>
      <c r="M145" s="4">
        <f t="shared" si="9"/>
        <v>6.3899999999999988</v>
      </c>
      <c r="N145" s="4">
        <v>6.37</v>
      </c>
      <c r="O145" s="4">
        <v>0</v>
      </c>
      <c r="P145" s="4">
        <v>92</v>
      </c>
      <c r="Q145" s="4">
        <v>19.899999999999999</v>
      </c>
      <c r="R145" s="4">
        <v>6</v>
      </c>
      <c r="S145" s="4">
        <v>18.920000000000002</v>
      </c>
      <c r="T145" s="4">
        <v>-18.920000000000002</v>
      </c>
      <c r="U145" s="4">
        <v>0.59</v>
      </c>
      <c r="V145" s="4">
        <v>38.130000000000003</v>
      </c>
      <c r="W145" s="4">
        <v>10.35</v>
      </c>
      <c r="X145" s="4">
        <v>14.7</v>
      </c>
      <c r="Y145" s="4">
        <v>6.7</v>
      </c>
      <c r="Z145" s="4">
        <v>28.22</v>
      </c>
      <c r="AA145" s="4">
        <v>-2.36</v>
      </c>
      <c r="AB145" s="4">
        <v>12.53</v>
      </c>
      <c r="AC145" s="4">
        <v>-46.44</v>
      </c>
      <c r="AD145" s="4">
        <v>160</v>
      </c>
      <c r="AE145" s="4">
        <v>1460</v>
      </c>
      <c r="AF145" s="4">
        <v>13.4</v>
      </c>
      <c r="AG145" s="4">
        <v>0.15</v>
      </c>
      <c r="AH145" s="4">
        <v>-32.81</v>
      </c>
      <c r="AI145" s="4">
        <v>151.4</v>
      </c>
      <c r="AJ145" s="4">
        <v>60</v>
      </c>
      <c r="AK145" s="4">
        <v>9</v>
      </c>
      <c r="AL145" s="4">
        <v>9</v>
      </c>
      <c r="AM145" s="4">
        <v>0.05</v>
      </c>
      <c r="AN145" s="4">
        <v>96</v>
      </c>
      <c r="AO145" s="4">
        <v>96.44</v>
      </c>
      <c r="AP145" s="4">
        <v>315540.27</v>
      </c>
      <c r="AQ145" s="4">
        <v>172101.2</v>
      </c>
      <c r="AR145" s="4" t="s">
        <v>1654</v>
      </c>
      <c r="AS145" s="5">
        <f t="shared" si="0"/>
        <v>8.187161529680365</v>
      </c>
    </row>
    <row r="146" spans="1:45" ht="14.25" customHeight="1" x14ac:dyDescent="0.55000000000000004">
      <c r="A146" s="4">
        <v>0</v>
      </c>
      <c r="B146" s="4">
        <v>6</v>
      </c>
      <c r="C146" s="4">
        <v>54.84</v>
      </c>
      <c r="D146" s="4">
        <v>7.8</v>
      </c>
      <c r="E146" s="4" t="s">
        <v>2565</v>
      </c>
      <c r="F146" s="4" t="s">
        <v>2566</v>
      </c>
      <c r="G146" s="4" t="s">
        <v>2333</v>
      </c>
      <c r="H146" s="4" t="s">
        <v>2567</v>
      </c>
      <c r="I146" s="4">
        <v>0</v>
      </c>
      <c r="J146" s="4">
        <v>242.2</v>
      </c>
      <c r="K146" s="4">
        <f t="shared" si="7"/>
        <v>23.9</v>
      </c>
      <c r="L146" s="4">
        <f t="shared" si="8"/>
        <v>14.28</v>
      </c>
      <c r="M146" s="4">
        <f t="shared" si="9"/>
        <v>9.6199999999999992</v>
      </c>
      <c r="N146" s="4">
        <v>6.51</v>
      </c>
      <c r="O146" s="4">
        <v>0</v>
      </c>
      <c r="P146" s="4">
        <v>71</v>
      </c>
      <c r="Q146" s="4">
        <v>21.8</v>
      </c>
      <c r="R146" s="4">
        <v>6</v>
      </c>
      <c r="S146" s="4">
        <v>18.09</v>
      </c>
      <c r="T146" s="4">
        <v>-18.09</v>
      </c>
      <c r="U146" s="4">
        <v>0.23</v>
      </c>
      <c r="V146" s="4">
        <v>35.1</v>
      </c>
      <c r="W146" s="4">
        <v>10.01</v>
      </c>
      <c r="X146" s="4">
        <v>11.8</v>
      </c>
      <c r="Y146" s="4">
        <v>6.72</v>
      </c>
      <c r="Z146" s="4">
        <v>32.64</v>
      </c>
      <c r="AA146" s="4">
        <v>-2.4700000000000002</v>
      </c>
      <c r="AB146" s="4">
        <v>12.74</v>
      </c>
      <c r="AC146" s="4">
        <v>-49.64</v>
      </c>
      <c r="AD146" s="4">
        <v>160</v>
      </c>
      <c r="AE146" s="4">
        <v>1460</v>
      </c>
      <c r="AF146" s="4">
        <v>13.4</v>
      </c>
      <c r="AG146" s="4">
        <v>0.15</v>
      </c>
      <c r="AH146" s="4">
        <v>-17.329999999999998</v>
      </c>
      <c r="AI146" s="4">
        <v>151.4</v>
      </c>
      <c r="AJ146" s="4">
        <v>60</v>
      </c>
      <c r="AK146" s="4">
        <v>9</v>
      </c>
      <c r="AL146" s="4">
        <v>9</v>
      </c>
      <c r="AM146" s="4">
        <v>0.05</v>
      </c>
      <c r="AN146" s="4">
        <v>96</v>
      </c>
      <c r="AO146" s="4">
        <v>96.44</v>
      </c>
      <c r="AP146" s="4">
        <v>360900.74</v>
      </c>
      <c r="AQ146" s="4">
        <v>172101.2</v>
      </c>
      <c r="AR146" s="4" t="s">
        <v>656</v>
      </c>
      <c r="AS146" s="5">
        <f t="shared" si="0"/>
        <v>10.776229452054793</v>
      </c>
    </row>
    <row r="147" spans="1:45" ht="14.25" customHeight="1" x14ac:dyDescent="0.55000000000000004">
      <c r="A147" s="4">
        <v>0</v>
      </c>
      <c r="B147" s="4">
        <v>6</v>
      </c>
      <c r="C147" s="4">
        <v>53.91</v>
      </c>
      <c r="D147" s="4">
        <v>7.8</v>
      </c>
      <c r="E147" s="4" t="s">
        <v>2568</v>
      </c>
      <c r="F147" s="4" t="s">
        <v>2569</v>
      </c>
      <c r="G147" s="4" t="s">
        <v>2333</v>
      </c>
      <c r="H147" s="4" t="s">
        <v>2570</v>
      </c>
      <c r="I147" s="4">
        <v>0</v>
      </c>
      <c r="J147" s="4">
        <v>306.97000000000003</v>
      </c>
      <c r="K147" s="4">
        <f t="shared" si="7"/>
        <v>26.8</v>
      </c>
      <c r="L147" s="4">
        <f t="shared" si="8"/>
        <v>14.28</v>
      </c>
      <c r="M147" s="4">
        <f t="shared" si="9"/>
        <v>12.520000000000001</v>
      </c>
      <c r="N147" s="4">
        <v>6.57</v>
      </c>
      <c r="O147" s="4">
        <v>0</v>
      </c>
      <c r="P147" s="4">
        <v>68</v>
      </c>
      <c r="Q147" s="4">
        <v>22.1</v>
      </c>
      <c r="R147" s="4">
        <v>6</v>
      </c>
      <c r="S147" s="4">
        <v>17.97</v>
      </c>
      <c r="T147" s="4">
        <v>-17.97</v>
      </c>
      <c r="U147" s="4">
        <v>0.18</v>
      </c>
      <c r="V147" s="4">
        <v>34.5</v>
      </c>
      <c r="W147" s="4">
        <v>9.9</v>
      </c>
      <c r="X147" s="4">
        <v>11.34</v>
      </c>
      <c r="Y147" s="4">
        <v>6.69</v>
      </c>
      <c r="Z147" s="4">
        <v>36.6</v>
      </c>
      <c r="AA147" s="4">
        <v>-2.4900000000000002</v>
      </c>
      <c r="AB147" s="4">
        <v>12.78</v>
      </c>
      <c r="AC147" s="4">
        <v>-50.12</v>
      </c>
      <c r="AD147" s="4">
        <v>160</v>
      </c>
      <c r="AE147" s="4">
        <v>1460</v>
      </c>
      <c r="AF147" s="4">
        <v>13.4</v>
      </c>
      <c r="AG147" s="4">
        <v>0.15</v>
      </c>
      <c r="AH147" s="4">
        <v>-16.260000000000002</v>
      </c>
      <c r="AI147" s="4">
        <v>151.4</v>
      </c>
      <c r="AJ147" s="4">
        <v>60</v>
      </c>
      <c r="AK147" s="4">
        <v>9</v>
      </c>
      <c r="AL147" s="4">
        <v>9</v>
      </c>
      <c r="AM147" s="4">
        <v>0.05</v>
      </c>
      <c r="AN147" s="4">
        <v>96</v>
      </c>
      <c r="AO147" s="4">
        <v>96.44</v>
      </c>
      <c r="AP147" s="4">
        <v>408345.28</v>
      </c>
      <c r="AQ147" s="4">
        <v>172101.2</v>
      </c>
      <c r="AR147" s="4" t="s">
        <v>1662</v>
      </c>
      <c r="AS147" s="5">
        <f t="shared" si="0"/>
        <v>13.484251141552512</v>
      </c>
    </row>
    <row r="148" spans="1:45" ht="14.25" customHeight="1" x14ac:dyDescent="0.55000000000000004">
      <c r="A148" s="4">
        <v>0</v>
      </c>
      <c r="B148" s="4">
        <v>6</v>
      </c>
      <c r="C148" s="4">
        <v>54.04</v>
      </c>
      <c r="D148" s="4">
        <v>7.8</v>
      </c>
      <c r="E148" s="4" t="s">
        <v>2571</v>
      </c>
      <c r="F148" s="4" t="s">
        <v>2572</v>
      </c>
      <c r="G148" s="4" t="s">
        <v>2333</v>
      </c>
      <c r="H148" s="4" t="s">
        <v>2573</v>
      </c>
      <c r="I148" s="4">
        <v>0</v>
      </c>
      <c r="J148" s="4">
        <v>298.36</v>
      </c>
      <c r="K148" s="4">
        <f t="shared" si="7"/>
        <v>25.72</v>
      </c>
      <c r="L148" s="4">
        <f t="shared" si="8"/>
        <v>14.28</v>
      </c>
      <c r="M148" s="4">
        <f t="shared" si="9"/>
        <v>11.44</v>
      </c>
      <c r="N148" s="4">
        <v>6.56</v>
      </c>
      <c r="O148" s="4">
        <v>0</v>
      </c>
      <c r="P148" s="4">
        <v>70</v>
      </c>
      <c r="Q148" s="4">
        <v>22.5</v>
      </c>
      <c r="R148" s="4">
        <v>6</v>
      </c>
      <c r="S148" s="4">
        <v>18.61</v>
      </c>
      <c r="T148" s="4">
        <v>-18.61</v>
      </c>
      <c r="U148" s="4">
        <v>0.18</v>
      </c>
      <c r="V148" s="4">
        <v>34.590000000000003</v>
      </c>
      <c r="W148" s="4">
        <v>9.92</v>
      </c>
      <c r="X148" s="4">
        <v>11.4</v>
      </c>
      <c r="Y148" s="4">
        <v>6.69</v>
      </c>
      <c r="Z148" s="4">
        <v>35.11</v>
      </c>
      <c r="AA148" s="4">
        <v>-2.4900000000000002</v>
      </c>
      <c r="AB148" s="4">
        <v>12.78</v>
      </c>
      <c r="AC148" s="4">
        <v>-47.58</v>
      </c>
      <c r="AD148" s="4">
        <v>160</v>
      </c>
      <c r="AE148" s="4">
        <v>1460</v>
      </c>
      <c r="AF148" s="4">
        <v>13.4</v>
      </c>
      <c r="AG148" s="4">
        <v>0.15</v>
      </c>
      <c r="AH148" s="4">
        <v>-16.37</v>
      </c>
      <c r="AI148" s="4">
        <v>151.4</v>
      </c>
      <c r="AJ148" s="4">
        <v>60</v>
      </c>
      <c r="AK148" s="4">
        <v>9</v>
      </c>
      <c r="AL148" s="4">
        <v>9</v>
      </c>
      <c r="AM148" s="4">
        <v>0.05</v>
      </c>
      <c r="AN148" s="4">
        <v>96</v>
      </c>
      <c r="AO148" s="4">
        <v>96.44</v>
      </c>
      <c r="AP148" s="4">
        <v>387766.86</v>
      </c>
      <c r="AQ148" s="4">
        <v>172101.2</v>
      </c>
      <c r="AR148" s="4" t="s">
        <v>661</v>
      </c>
      <c r="AS148" s="5">
        <f t="shared" si="0"/>
        <v>12.309683789954336</v>
      </c>
    </row>
    <row r="149" spans="1:45" ht="14.25" customHeight="1" x14ac:dyDescent="0.55000000000000004">
      <c r="A149" s="4">
        <v>0</v>
      </c>
      <c r="B149" s="4">
        <v>6</v>
      </c>
      <c r="C149" s="4">
        <v>65.27</v>
      </c>
      <c r="D149" s="4">
        <v>7.8</v>
      </c>
      <c r="E149" s="4" t="s">
        <v>2338</v>
      </c>
      <c r="F149" s="4" t="s">
        <v>2574</v>
      </c>
      <c r="G149" s="4" t="s">
        <v>2333</v>
      </c>
      <c r="H149" s="4" t="s">
        <v>2575</v>
      </c>
      <c r="I149" s="4">
        <v>0</v>
      </c>
      <c r="J149" s="4">
        <v>35</v>
      </c>
      <c r="K149" s="4">
        <f t="shared" si="7"/>
        <v>19.09</v>
      </c>
      <c r="L149" s="4">
        <f t="shared" si="8"/>
        <v>14.28</v>
      </c>
      <c r="M149" s="4">
        <f t="shared" si="9"/>
        <v>4.8100000000000005</v>
      </c>
      <c r="N149" s="4">
        <v>6.3</v>
      </c>
      <c r="O149" s="4">
        <v>0</v>
      </c>
      <c r="P149" s="4">
        <v>80</v>
      </c>
      <c r="Q149" s="4">
        <v>21.1</v>
      </c>
      <c r="R149" s="4">
        <v>6</v>
      </c>
      <c r="S149" s="4">
        <v>18.59</v>
      </c>
      <c r="T149" s="4">
        <v>-18.59</v>
      </c>
      <c r="U149" s="4">
        <v>1.86</v>
      </c>
      <c r="V149" s="4">
        <v>41.77</v>
      </c>
      <c r="W149" s="4">
        <v>9.51</v>
      </c>
      <c r="X149" s="4">
        <v>22.75</v>
      </c>
      <c r="Y149" s="4">
        <v>5.22</v>
      </c>
      <c r="Z149" s="4">
        <v>26.06</v>
      </c>
      <c r="AA149" s="4">
        <v>-2.21</v>
      </c>
      <c r="AB149" s="4">
        <v>12.23</v>
      </c>
      <c r="AC149" s="4">
        <v>-47.67</v>
      </c>
      <c r="AD149" s="4">
        <v>160</v>
      </c>
      <c r="AE149" s="4">
        <v>1460</v>
      </c>
      <c r="AF149" s="4">
        <v>13.4</v>
      </c>
      <c r="AG149" s="4">
        <v>0.15</v>
      </c>
      <c r="AH149" s="4">
        <v>15.5</v>
      </c>
      <c r="AI149" s="4">
        <v>151.4</v>
      </c>
      <c r="AJ149" s="4">
        <v>60</v>
      </c>
      <c r="AK149" s="4">
        <v>9</v>
      </c>
      <c r="AL149" s="4">
        <v>9</v>
      </c>
      <c r="AM149" s="4">
        <v>0.05</v>
      </c>
      <c r="AN149" s="4">
        <v>96</v>
      </c>
      <c r="AO149" s="4">
        <v>96.44</v>
      </c>
      <c r="AP149" s="4">
        <v>290407.37</v>
      </c>
      <c r="AQ149" s="4">
        <v>172101.2</v>
      </c>
      <c r="AR149" s="4" t="s">
        <v>665</v>
      </c>
      <c r="AS149" s="5">
        <f t="shared" si="0"/>
        <v>6.7526352739726017</v>
      </c>
    </row>
    <row r="150" spans="1:45" ht="14.25" customHeight="1" x14ac:dyDescent="0.55000000000000004">
      <c r="A150" s="4">
        <v>0</v>
      </c>
      <c r="B150" s="4">
        <v>6</v>
      </c>
      <c r="C150" s="4">
        <v>54.12</v>
      </c>
      <c r="D150" s="4">
        <v>7.8</v>
      </c>
      <c r="E150" s="4" t="s">
        <v>2576</v>
      </c>
      <c r="F150" s="4" t="s">
        <v>2577</v>
      </c>
      <c r="G150" s="4" t="s">
        <v>2333</v>
      </c>
      <c r="H150" s="4" t="s">
        <v>2578</v>
      </c>
      <c r="I150" s="4">
        <v>0</v>
      </c>
      <c r="J150" s="4">
        <v>236.64</v>
      </c>
      <c r="K150" s="4">
        <f t="shared" si="7"/>
        <v>25.42</v>
      </c>
      <c r="L150" s="4">
        <f t="shared" si="8"/>
        <v>14.28</v>
      </c>
      <c r="M150" s="4">
        <f t="shared" si="9"/>
        <v>11.140000000000002</v>
      </c>
      <c r="N150" s="4">
        <v>6.5</v>
      </c>
      <c r="O150" s="4">
        <v>0</v>
      </c>
      <c r="P150" s="4">
        <v>74</v>
      </c>
      <c r="Q150" s="4">
        <v>21.9</v>
      </c>
      <c r="R150" s="4">
        <v>6</v>
      </c>
      <c r="S150" s="4">
        <v>18.57</v>
      </c>
      <c r="T150" s="4">
        <v>-18.57</v>
      </c>
      <c r="U150" s="4">
        <v>0.23</v>
      </c>
      <c r="V150" s="4">
        <v>34.64</v>
      </c>
      <c r="W150" s="4">
        <v>9.8699999999999992</v>
      </c>
      <c r="X150" s="4">
        <v>11.67</v>
      </c>
      <c r="Y150" s="4">
        <v>6.62</v>
      </c>
      <c r="Z150" s="4">
        <v>34.71</v>
      </c>
      <c r="AA150" s="4">
        <v>-2.48</v>
      </c>
      <c r="AB150" s="4">
        <v>12.76</v>
      </c>
      <c r="AC150" s="4">
        <v>-47.72</v>
      </c>
      <c r="AD150" s="4">
        <v>160</v>
      </c>
      <c r="AE150" s="4">
        <v>1460</v>
      </c>
      <c r="AF150" s="4">
        <v>13.4</v>
      </c>
      <c r="AG150" s="4">
        <v>0.15</v>
      </c>
      <c r="AH150" s="4">
        <v>-17.38</v>
      </c>
      <c r="AI150" s="4">
        <v>151.4</v>
      </c>
      <c r="AJ150" s="4">
        <v>60</v>
      </c>
      <c r="AK150" s="4">
        <v>9</v>
      </c>
      <c r="AL150" s="4">
        <v>9</v>
      </c>
      <c r="AM150" s="4">
        <v>0.05</v>
      </c>
      <c r="AN150" s="4">
        <v>96</v>
      </c>
      <c r="AO150" s="4">
        <v>96.44</v>
      </c>
      <c r="AP150" s="4">
        <v>393576.98</v>
      </c>
      <c r="AQ150" s="4">
        <v>172101.2</v>
      </c>
      <c r="AR150" s="4" t="s">
        <v>1673</v>
      </c>
      <c r="AS150" s="5">
        <f t="shared" si="0"/>
        <v>12.641311643835614</v>
      </c>
    </row>
    <row r="151" spans="1:45" ht="14.25" customHeight="1" x14ac:dyDescent="0.55000000000000004">
      <c r="A151" s="4">
        <v>0</v>
      </c>
      <c r="B151" s="4">
        <v>6</v>
      </c>
      <c r="C151" s="4">
        <v>62.8</v>
      </c>
      <c r="D151" s="4">
        <v>7.8</v>
      </c>
      <c r="E151" s="4" t="s">
        <v>2579</v>
      </c>
      <c r="F151" s="4" t="s">
        <v>2580</v>
      </c>
      <c r="G151" s="4" t="s">
        <v>2333</v>
      </c>
      <c r="H151" s="4" t="s">
        <v>2581</v>
      </c>
      <c r="I151" s="4">
        <v>0</v>
      </c>
      <c r="J151" s="4">
        <v>42.62</v>
      </c>
      <c r="K151" s="4">
        <f t="shared" si="7"/>
        <v>19.650000000000002</v>
      </c>
      <c r="L151" s="4">
        <f t="shared" si="8"/>
        <v>14.28</v>
      </c>
      <c r="M151" s="4">
        <f t="shared" si="9"/>
        <v>5.3700000000000028</v>
      </c>
      <c r="N151" s="4">
        <v>6.31</v>
      </c>
      <c r="O151" s="4">
        <v>0</v>
      </c>
      <c r="P151" s="4">
        <v>92</v>
      </c>
      <c r="Q151" s="4">
        <v>20</v>
      </c>
      <c r="R151" s="4">
        <v>6</v>
      </c>
      <c r="S151" s="4">
        <v>19.02</v>
      </c>
      <c r="T151" s="4">
        <v>-19.02</v>
      </c>
      <c r="U151" s="4">
        <v>1.47</v>
      </c>
      <c r="V151" s="4">
        <v>40.19</v>
      </c>
      <c r="W151" s="4">
        <v>9.6300000000000008</v>
      </c>
      <c r="X151" s="4">
        <v>20.14</v>
      </c>
      <c r="Y151" s="4">
        <v>5.58</v>
      </c>
      <c r="Z151" s="4">
        <v>26.84</v>
      </c>
      <c r="AA151" s="4">
        <v>-2.2599999999999998</v>
      </c>
      <c r="AB151" s="4">
        <v>12.32</v>
      </c>
      <c r="AC151" s="4">
        <v>-46.09</v>
      </c>
      <c r="AD151" s="4">
        <v>160</v>
      </c>
      <c r="AE151" s="4">
        <v>1460</v>
      </c>
      <c r="AF151" s="4">
        <v>13.4</v>
      </c>
      <c r="AG151" s="4">
        <v>0.15</v>
      </c>
      <c r="AH151" s="4">
        <v>28.3</v>
      </c>
      <c r="AI151" s="4">
        <v>151.4</v>
      </c>
      <c r="AJ151" s="4">
        <v>60</v>
      </c>
      <c r="AK151" s="4">
        <v>9</v>
      </c>
      <c r="AL151" s="4">
        <v>9</v>
      </c>
      <c r="AM151" s="4">
        <v>0.05</v>
      </c>
      <c r="AN151" s="4">
        <v>96</v>
      </c>
      <c r="AO151" s="4">
        <v>96.44</v>
      </c>
      <c r="AP151" s="4">
        <v>301934.17</v>
      </c>
      <c r="AQ151" s="4">
        <v>172101.2</v>
      </c>
      <c r="AR151" s="4" t="s">
        <v>1678</v>
      </c>
      <c r="AS151" s="5">
        <f t="shared" si="0"/>
        <v>7.4105576484018245</v>
      </c>
    </row>
    <row r="152" spans="1:45" ht="14.25" customHeight="1" x14ac:dyDescent="0.55000000000000004">
      <c r="A152" s="4">
        <v>0</v>
      </c>
      <c r="B152" s="4">
        <v>6</v>
      </c>
      <c r="C152" s="4">
        <v>53.92</v>
      </c>
      <c r="D152" s="4">
        <v>7.8</v>
      </c>
      <c r="E152" s="4" t="s">
        <v>2582</v>
      </c>
      <c r="F152" s="4" t="s">
        <v>2583</v>
      </c>
      <c r="G152" s="4" t="s">
        <v>2333</v>
      </c>
      <c r="H152" s="4" t="s">
        <v>2584</v>
      </c>
      <c r="I152" s="4">
        <v>0</v>
      </c>
      <c r="J152" s="4">
        <v>319.22000000000003</v>
      </c>
      <c r="K152" s="4">
        <f t="shared" si="7"/>
        <v>26.49</v>
      </c>
      <c r="L152" s="4">
        <f t="shared" si="8"/>
        <v>14.28</v>
      </c>
      <c r="M152" s="4">
        <f t="shared" si="9"/>
        <v>12.209999999999999</v>
      </c>
      <c r="N152" s="4">
        <v>6.58</v>
      </c>
      <c r="O152" s="4">
        <v>0</v>
      </c>
      <c r="P152" s="4">
        <v>73</v>
      </c>
      <c r="Q152" s="4">
        <v>21.5</v>
      </c>
      <c r="R152" s="4">
        <v>6</v>
      </c>
      <c r="S152" s="4">
        <v>18.07</v>
      </c>
      <c r="T152" s="4">
        <v>-18.07</v>
      </c>
      <c r="U152" s="4">
        <v>0.17</v>
      </c>
      <c r="V152" s="4">
        <v>34.51</v>
      </c>
      <c r="W152" s="4">
        <v>9.92</v>
      </c>
      <c r="X152" s="4">
        <v>11.31</v>
      </c>
      <c r="Y152" s="4">
        <v>6.7</v>
      </c>
      <c r="Z152" s="4">
        <v>36.18</v>
      </c>
      <c r="AA152" s="4">
        <v>-2.4900000000000002</v>
      </c>
      <c r="AB152" s="4">
        <v>12.78</v>
      </c>
      <c r="AC152" s="4">
        <v>-49.72</v>
      </c>
      <c r="AD152" s="4">
        <v>160</v>
      </c>
      <c r="AE152" s="4">
        <v>1460</v>
      </c>
      <c r="AF152" s="4">
        <v>13.4</v>
      </c>
      <c r="AG152" s="4">
        <v>0.15</v>
      </c>
      <c r="AH152" s="4">
        <v>-16.13</v>
      </c>
      <c r="AI152" s="4">
        <v>151.4</v>
      </c>
      <c r="AJ152" s="4">
        <v>60</v>
      </c>
      <c r="AK152" s="4">
        <v>9</v>
      </c>
      <c r="AL152" s="4">
        <v>9</v>
      </c>
      <c r="AM152" s="4">
        <v>0.05</v>
      </c>
      <c r="AN152" s="4">
        <v>96</v>
      </c>
      <c r="AO152" s="4">
        <v>96.44</v>
      </c>
      <c r="AP152" s="4">
        <v>399593.52</v>
      </c>
      <c r="AQ152" s="4">
        <v>172101.2</v>
      </c>
      <c r="AR152" s="4" t="s">
        <v>670</v>
      </c>
      <c r="AS152" s="5">
        <f t="shared" si="0"/>
        <v>12.984721461187215</v>
      </c>
    </row>
    <row r="153" spans="1:45" ht="14.25" customHeight="1" x14ac:dyDescent="0.55000000000000004">
      <c r="A153" s="4">
        <v>0</v>
      </c>
      <c r="B153" s="4">
        <v>6</v>
      </c>
      <c r="C153" s="4">
        <v>54.42</v>
      </c>
      <c r="D153" s="4">
        <v>7.8</v>
      </c>
      <c r="E153" s="4" t="s">
        <v>2585</v>
      </c>
      <c r="F153" s="4" t="s">
        <v>2586</v>
      </c>
      <c r="G153" s="4" t="s">
        <v>2333</v>
      </c>
      <c r="H153" s="4" t="s">
        <v>2587</v>
      </c>
      <c r="I153" s="4">
        <v>0</v>
      </c>
      <c r="J153" s="4">
        <v>222.35</v>
      </c>
      <c r="K153" s="4">
        <f t="shared" si="7"/>
        <v>24.64</v>
      </c>
      <c r="L153" s="4">
        <f t="shared" si="8"/>
        <v>14.28</v>
      </c>
      <c r="M153" s="4">
        <f t="shared" si="9"/>
        <v>10.360000000000001</v>
      </c>
      <c r="N153" s="4">
        <v>6.49</v>
      </c>
      <c r="O153" s="4">
        <v>0</v>
      </c>
      <c r="P153" s="4">
        <v>68</v>
      </c>
      <c r="Q153" s="4">
        <v>22</v>
      </c>
      <c r="R153" s="4">
        <v>6</v>
      </c>
      <c r="S153" s="4">
        <v>17.88</v>
      </c>
      <c r="T153" s="4">
        <v>-17.88</v>
      </c>
      <c r="U153" s="4">
        <v>0.24</v>
      </c>
      <c r="V153" s="4">
        <v>34.83</v>
      </c>
      <c r="W153" s="4">
        <v>9.9</v>
      </c>
      <c r="X153" s="4">
        <v>11.82</v>
      </c>
      <c r="Y153" s="4">
        <v>6.63</v>
      </c>
      <c r="Z153" s="4">
        <v>33.630000000000003</v>
      </c>
      <c r="AA153" s="4">
        <v>-2.4700000000000002</v>
      </c>
      <c r="AB153" s="4">
        <v>12.75</v>
      </c>
      <c r="AC153" s="4">
        <v>-50.51</v>
      </c>
      <c r="AD153" s="4">
        <v>160</v>
      </c>
      <c r="AE153" s="4">
        <v>1460</v>
      </c>
      <c r="AF153" s="4">
        <v>13.4</v>
      </c>
      <c r="AG153" s="4">
        <v>0.15</v>
      </c>
      <c r="AH153" s="4">
        <v>-17.75</v>
      </c>
      <c r="AI153" s="4">
        <v>151.4</v>
      </c>
      <c r="AJ153" s="4">
        <v>60</v>
      </c>
      <c r="AK153" s="4">
        <v>9</v>
      </c>
      <c r="AL153" s="4">
        <v>9</v>
      </c>
      <c r="AM153" s="4">
        <v>0.05</v>
      </c>
      <c r="AN153" s="4">
        <v>96</v>
      </c>
      <c r="AO153" s="4">
        <v>96.44</v>
      </c>
      <c r="AP153" s="4">
        <v>379807.99</v>
      </c>
      <c r="AQ153" s="4">
        <v>172101.2</v>
      </c>
      <c r="AR153" s="4" t="s">
        <v>675</v>
      </c>
      <c r="AS153" s="5">
        <f t="shared" si="0"/>
        <v>11.855410388127853</v>
      </c>
    </row>
    <row r="154" spans="1:45" ht="14.25" customHeight="1" x14ac:dyDescent="0.55000000000000004">
      <c r="A154" s="4">
        <v>0</v>
      </c>
      <c r="B154" s="4">
        <v>6</v>
      </c>
      <c r="C154" s="4">
        <v>62.19</v>
      </c>
      <c r="D154" s="4">
        <v>7.8</v>
      </c>
      <c r="E154" s="4" t="s">
        <v>2338</v>
      </c>
      <c r="F154" s="4" t="s">
        <v>2588</v>
      </c>
      <c r="G154" s="4" t="s">
        <v>2333</v>
      </c>
      <c r="H154" s="4" t="s">
        <v>2589</v>
      </c>
      <c r="I154" s="4">
        <v>0</v>
      </c>
      <c r="J154" s="4">
        <v>35</v>
      </c>
      <c r="K154" s="4">
        <f t="shared" si="7"/>
        <v>19.82</v>
      </c>
      <c r="L154" s="4">
        <f t="shared" si="8"/>
        <v>14.28</v>
      </c>
      <c r="M154" s="4">
        <f t="shared" si="9"/>
        <v>5.5400000000000009</v>
      </c>
      <c r="N154" s="4">
        <v>6.3</v>
      </c>
      <c r="O154" s="4">
        <v>0</v>
      </c>
      <c r="P154" s="4">
        <v>79</v>
      </c>
      <c r="Q154" s="4">
        <v>21.5</v>
      </c>
      <c r="R154" s="4">
        <v>6</v>
      </c>
      <c r="S154" s="4">
        <v>18.84</v>
      </c>
      <c r="T154" s="4">
        <v>-18.84</v>
      </c>
      <c r="U154" s="4">
        <v>1.78</v>
      </c>
      <c r="V154" s="4">
        <v>39.799999999999997</v>
      </c>
      <c r="W154" s="4">
        <v>9.06</v>
      </c>
      <c r="X154" s="4">
        <v>21.68</v>
      </c>
      <c r="Y154" s="4">
        <v>4.9800000000000004</v>
      </c>
      <c r="Z154" s="4">
        <v>27.06</v>
      </c>
      <c r="AA154" s="4">
        <v>-2.25</v>
      </c>
      <c r="AB154" s="4">
        <v>12.31</v>
      </c>
      <c r="AC154" s="4">
        <v>-46.73</v>
      </c>
      <c r="AD154" s="4">
        <v>160</v>
      </c>
      <c r="AE154" s="4">
        <v>1460</v>
      </c>
      <c r="AF154" s="4">
        <v>13.4</v>
      </c>
      <c r="AG154" s="4">
        <v>0.15</v>
      </c>
      <c r="AH154" s="4">
        <v>17.25</v>
      </c>
      <c r="AI154" s="4">
        <v>151.4</v>
      </c>
      <c r="AJ154" s="4">
        <v>60</v>
      </c>
      <c r="AK154" s="4">
        <v>9</v>
      </c>
      <c r="AL154" s="4">
        <v>9</v>
      </c>
      <c r="AM154" s="4">
        <v>0.05</v>
      </c>
      <c r="AN154" s="4">
        <v>96</v>
      </c>
      <c r="AO154" s="4">
        <v>96.44</v>
      </c>
      <c r="AP154" s="4">
        <v>306708.42</v>
      </c>
      <c r="AQ154" s="4">
        <v>172101.2</v>
      </c>
      <c r="AR154" s="4" t="s">
        <v>679</v>
      </c>
      <c r="AS154" s="5">
        <f t="shared" si="0"/>
        <v>7.6830605022831033</v>
      </c>
    </row>
    <row r="155" spans="1:45" ht="14.25" customHeight="1" x14ac:dyDescent="0.55000000000000004">
      <c r="A155" s="4">
        <v>0</v>
      </c>
      <c r="B155" s="4">
        <v>6</v>
      </c>
      <c r="C155" s="4">
        <v>53.92</v>
      </c>
      <c r="D155" s="4">
        <v>7.8</v>
      </c>
      <c r="E155" s="4" t="s">
        <v>2590</v>
      </c>
      <c r="F155" s="4" t="s">
        <v>2591</v>
      </c>
      <c r="G155" s="4" t="s">
        <v>2333</v>
      </c>
      <c r="H155" s="4" t="s">
        <v>2592</v>
      </c>
      <c r="I155" s="4">
        <v>0</v>
      </c>
      <c r="J155" s="4">
        <v>307.52999999999997</v>
      </c>
      <c r="K155" s="4">
        <f t="shared" si="7"/>
        <v>26.549999999999997</v>
      </c>
      <c r="L155" s="4">
        <f t="shared" si="8"/>
        <v>14.28</v>
      </c>
      <c r="M155" s="4">
        <f t="shared" si="9"/>
        <v>12.269999999999998</v>
      </c>
      <c r="N155" s="4">
        <v>6.57</v>
      </c>
      <c r="O155" s="4">
        <v>0</v>
      </c>
      <c r="P155" s="4">
        <v>73</v>
      </c>
      <c r="Q155" s="4">
        <v>21.8</v>
      </c>
      <c r="R155" s="4">
        <v>6</v>
      </c>
      <c r="S155" s="4">
        <v>18.350000000000001</v>
      </c>
      <c r="T155" s="4">
        <v>-18.350000000000001</v>
      </c>
      <c r="U155" s="4">
        <v>0.18</v>
      </c>
      <c r="V155" s="4">
        <v>34.51</v>
      </c>
      <c r="W155" s="4">
        <v>9.91</v>
      </c>
      <c r="X155" s="4">
        <v>11.34</v>
      </c>
      <c r="Y155" s="4">
        <v>6.69</v>
      </c>
      <c r="Z155" s="4">
        <v>36.25</v>
      </c>
      <c r="AA155" s="4">
        <v>-2.4900000000000002</v>
      </c>
      <c r="AB155" s="4">
        <v>12.78</v>
      </c>
      <c r="AC155" s="4">
        <v>-48.59</v>
      </c>
      <c r="AD155" s="4">
        <v>160</v>
      </c>
      <c r="AE155" s="4">
        <v>1460</v>
      </c>
      <c r="AF155" s="4">
        <v>13.4</v>
      </c>
      <c r="AG155" s="4">
        <v>0.15</v>
      </c>
      <c r="AH155" s="4">
        <v>-16.25</v>
      </c>
      <c r="AI155" s="4">
        <v>151.4</v>
      </c>
      <c r="AJ155" s="4">
        <v>60</v>
      </c>
      <c r="AK155" s="4">
        <v>9</v>
      </c>
      <c r="AL155" s="4">
        <v>9</v>
      </c>
      <c r="AM155" s="4">
        <v>0.05</v>
      </c>
      <c r="AN155" s="4">
        <v>96</v>
      </c>
      <c r="AO155" s="4">
        <v>96.44</v>
      </c>
      <c r="AP155" s="4">
        <v>402959.59</v>
      </c>
      <c r="AQ155" s="4">
        <v>172101.2</v>
      </c>
      <c r="AR155" s="4" t="s">
        <v>683</v>
      </c>
      <c r="AS155" s="5">
        <f t="shared" si="0"/>
        <v>13.176848744292238</v>
      </c>
    </row>
    <row r="156" spans="1:45" ht="14.25" customHeight="1" x14ac:dyDescent="0.55000000000000004">
      <c r="A156" s="4">
        <v>0</v>
      </c>
      <c r="B156" s="4">
        <v>6</v>
      </c>
      <c r="C156" s="4">
        <v>62.01</v>
      </c>
      <c r="D156" s="4">
        <v>7.8</v>
      </c>
      <c r="E156" s="4" t="s">
        <v>2338</v>
      </c>
      <c r="F156" s="4" t="s">
        <v>2593</v>
      </c>
      <c r="G156" s="4" t="s">
        <v>2333</v>
      </c>
      <c r="H156" s="4" t="s">
        <v>2594</v>
      </c>
      <c r="I156" s="4">
        <v>0</v>
      </c>
      <c r="J156" s="4">
        <v>35</v>
      </c>
      <c r="K156" s="4">
        <f t="shared" si="7"/>
        <v>19.87</v>
      </c>
      <c r="L156" s="4">
        <f t="shared" si="8"/>
        <v>14.28</v>
      </c>
      <c r="M156" s="4">
        <f t="shared" si="9"/>
        <v>5.5900000000000016</v>
      </c>
      <c r="N156" s="4">
        <v>6.3</v>
      </c>
      <c r="O156" s="4">
        <v>0</v>
      </c>
      <c r="P156" s="4">
        <v>76</v>
      </c>
      <c r="Q156" s="4">
        <v>21.8</v>
      </c>
      <c r="R156" s="4">
        <v>6</v>
      </c>
      <c r="S156" s="4">
        <v>18.739999999999998</v>
      </c>
      <c r="T156" s="4">
        <v>-18.739999999999998</v>
      </c>
      <c r="U156" s="4">
        <v>1.77</v>
      </c>
      <c r="V156" s="4">
        <v>39.69</v>
      </c>
      <c r="W156" s="4">
        <v>9.0399999999999991</v>
      </c>
      <c r="X156" s="4">
        <v>21.62</v>
      </c>
      <c r="Y156" s="4">
        <v>4.96</v>
      </c>
      <c r="Z156" s="4">
        <v>27.13</v>
      </c>
      <c r="AA156" s="4">
        <v>-2.2599999999999998</v>
      </c>
      <c r="AB156" s="4">
        <v>12.31</v>
      </c>
      <c r="AC156" s="4">
        <v>-47.1</v>
      </c>
      <c r="AD156" s="4">
        <v>160</v>
      </c>
      <c r="AE156" s="4">
        <v>1460</v>
      </c>
      <c r="AF156" s="4">
        <v>13.4</v>
      </c>
      <c r="AG156" s="4">
        <v>0.15</v>
      </c>
      <c r="AH156" s="4">
        <v>17.37</v>
      </c>
      <c r="AI156" s="4">
        <v>151.4</v>
      </c>
      <c r="AJ156" s="4">
        <v>60</v>
      </c>
      <c r="AK156" s="4">
        <v>9</v>
      </c>
      <c r="AL156" s="4">
        <v>9</v>
      </c>
      <c r="AM156" s="4">
        <v>0.05</v>
      </c>
      <c r="AN156" s="4">
        <v>96</v>
      </c>
      <c r="AO156" s="4">
        <v>96.44</v>
      </c>
      <c r="AP156" s="4">
        <v>307836.48</v>
      </c>
      <c r="AQ156" s="4">
        <v>172101.2</v>
      </c>
      <c r="AR156" s="4" t="s">
        <v>687</v>
      </c>
      <c r="AS156" s="5">
        <f t="shared" si="0"/>
        <v>7.7474474885844735</v>
      </c>
    </row>
    <row r="157" spans="1:45" ht="14.25" customHeight="1" x14ac:dyDescent="0.55000000000000004">
      <c r="A157" s="4">
        <v>0</v>
      </c>
      <c r="B157" s="4">
        <v>6</v>
      </c>
      <c r="C157" s="4">
        <v>64.58</v>
      </c>
      <c r="D157" s="4">
        <v>7.8</v>
      </c>
      <c r="E157" s="4" t="s">
        <v>2338</v>
      </c>
      <c r="F157" s="4" t="s">
        <v>2595</v>
      </c>
      <c r="G157" s="4" t="s">
        <v>2333</v>
      </c>
      <c r="H157" s="4" t="s">
        <v>2596</v>
      </c>
      <c r="I157" s="4">
        <v>0</v>
      </c>
      <c r="J157" s="4">
        <v>35</v>
      </c>
      <c r="K157" s="4">
        <f t="shared" si="7"/>
        <v>19.23</v>
      </c>
      <c r="L157" s="4">
        <f t="shared" si="8"/>
        <v>14.28</v>
      </c>
      <c r="M157" s="4">
        <f t="shared" si="9"/>
        <v>4.9500000000000011</v>
      </c>
      <c r="N157" s="4">
        <v>6.3</v>
      </c>
      <c r="O157" s="4">
        <v>0</v>
      </c>
      <c r="P157" s="4">
        <v>84</v>
      </c>
      <c r="Q157" s="4">
        <v>21.2</v>
      </c>
      <c r="R157" s="4">
        <v>6</v>
      </c>
      <c r="S157" s="4">
        <v>19.190000000000001</v>
      </c>
      <c r="T157" s="4">
        <v>-19.190000000000001</v>
      </c>
      <c r="U157" s="4">
        <v>1.85</v>
      </c>
      <c r="V157" s="4">
        <v>41.33</v>
      </c>
      <c r="W157" s="4">
        <v>9.41</v>
      </c>
      <c r="X157" s="4">
        <v>22.51</v>
      </c>
      <c r="Y157" s="4">
        <v>5.17</v>
      </c>
      <c r="Z157" s="4">
        <v>26.26</v>
      </c>
      <c r="AA157" s="4">
        <v>-2.2200000000000002</v>
      </c>
      <c r="AB157" s="4">
        <v>12.25</v>
      </c>
      <c r="AC157" s="4">
        <v>-45.49</v>
      </c>
      <c r="AD157" s="4">
        <v>160</v>
      </c>
      <c r="AE157" s="4">
        <v>1460</v>
      </c>
      <c r="AF157" s="4">
        <v>13.4</v>
      </c>
      <c r="AG157" s="4">
        <v>0.15</v>
      </c>
      <c r="AH157" s="4">
        <v>15.86</v>
      </c>
      <c r="AI157" s="4">
        <v>151.4</v>
      </c>
      <c r="AJ157" s="4">
        <v>60</v>
      </c>
      <c r="AK157" s="4">
        <v>9</v>
      </c>
      <c r="AL157" s="4">
        <v>9</v>
      </c>
      <c r="AM157" s="4">
        <v>0.05</v>
      </c>
      <c r="AN157" s="4">
        <v>96</v>
      </c>
      <c r="AO157" s="4">
        <v>96.44</v>
      </c>
      <c r="AP157" s="4">
        <v>293634.12</v>
      </c>
      <c r="AQ157" s="4">
        <v>172101.2</v>
      </c>
      <c r="AR157" s="4" t="s">
        <v>692</v>
      </c>
      <c r="AS157" s="5">
        <f t="shared" si="0"/>
        <v>6.9368105022831044</v>
      </c>
    </row>
    <row r="158" spans="1:45" ht="14.25" customHeight="1" x14ac:dyDescent="0.55000000000000004">
      <c r="A158" s="4">
        <v>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f t="shared" si="7"/>
        <v>0</v>
      </c>
      <c r="L158" s="4">
        <f t="shared" si="8"/>
        <v>0</v>
      </c>
      <c r="M158" s="4">
        <f t="shared" si="9"/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5">
        <f t="shared" si="0"/>
        <v>0</v>
      </c>
    </row>
    <row r="159" spans="1:45" ht="14.25" customHeight="1" x14ac:dyDescent="0.55000000000000004">
      <c r="A159" s="4">
        <v>0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f t="shared" si="7"/>
        <v>0</v>
      </c>
      <c r="L159" s="4">
        <f t="shared" si="8"/>
        <v>0</v>
      </c>
      <c r="M159" s="4">
        <f t="shared" si="9"/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5">
        <f t="shared" si="0"/>
        <v>0</v>
      </c>
    </row>
    <row r="160" spans="1:45" ht="14.25" customHeight="1" x14ac:dyDescent="0.55000000000000004">
      <c r="A160" s="4">
        <v>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f t="shared" si="7"/>
        <v>0</v>
      </c>
      <c r="L160" s="4">
        <f t="shared" si="8"/>
        <v>0</v>
      </c>
      <c r="M160" s="4">
        <f t="shared" si="9"/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5">
        <f t="shared" si="0"/>
        <v>0</v>
      </c>
    </row>
    <row r="161" spans="1:45" ht="14.25" customHeight="1" x14ac:dyDescent="0.55000000000000004">
      <c r="A161" s="4">
        <v>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f t="shared" si="7"/>
        <v>0</v>
      </c>
      <c r="L161" s="4">
        <f t="shared" si="8"/>
        <v>0</v>
      </c>
      <c r="M161" s="4">
        <f t="shared" si="9"/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5">
        <f t="shared" si="0"/>
        <v>0</v>
      </c>
    </row>
    <row r="162" spans="1:45" ht="14.25" customHeight="1" x14ac:dyDescent="0.55000000000000004">
      <c r="A162" s="4">
        <v>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f t="shared" si="7"/>
        <v>0</v>
      </c>
      <c r="L162" s="4">
        <f t="shared" si="8"/>
        <v>0</v>
      </c>
      <c r="M162" s="4">
        <f t="shared" si="9"/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5">
        <f t="shared" si="0"/>
        <v>0</v>
      </c>
    </row>
    <row r="163" spans="1:45" ht="14.25" customHeight="1" x14ac:dyDescent="0.55000000000000004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f t="shared" si="7"/>
        <v>0</v>
      </c>
      <c r="L163" s="4">
        <f t="shared" si="8"/>
        <v>0</v>
      </c>
      <c r="M163" s="4">
        <f t="shared" si="9"/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5">
        <f t="shared" si="0"/>
        <v>0</v>
      </c>
    </row>
    <row r="164" spans="1:45" ht="14.25" customHeight="1" x14ac:dyDescent="0.55000000000000004">
      <c r="A164" s="4">
        <v>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f t="shared" si="7"/>
        <v>0</v>
      </c>
      <c r="L164" s="4">
        <f t="shared" si="8"/>
        <v>0</v>
      </c>
      <c r="M164" s="4">
        <f t="shared" si="9"/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5">
        <f t="shared" si="0"/>
        <v>0</v>
      </c>
    </row>
    <row r="165" spans="1:45" ht="14.25" customHeight="1" x14ac:dyDescent="0.55000000000000004">
      <c r="A165" s="4">
        <v>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f t="shared" si="7"/>
        <v>0</v>
      </c>
      <c r="L165" s="4">
        <f t="shared" si="8"/>
        <v>0</v>
      </c>
      <c r="M165" s="4">
        <f t="shared" si="9"/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5">
        <f t="shared" si="0"/>
        <v>0</v>
      </c>
    </row>
    <row r="166" spans="1:45" ht="14.25" customHeight="1" x14ac:dyDescent="0.55000000000000004">
      <c r="A166" s="4">
        <v>0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f t="shared" si="7"/>
        <v>0</v>
      </c>
      <c r="L166" s="4">
        <f t="shared" si="8"/>
        <v>0</v>
      </c>
      <c r="M166" s="4">
        <f t="shared" si="9"/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5">
        <f t="shared" si="0"/>
        <v>0</v>
      </c>
    </row>
    <row r="167" spans="1:45" ht="14.25" customHeight="1" x14ac:dyDescent="0.55000000000000004">
      <c r="A167" s="4">
        <v>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f t="shared" si="7"/>
        <v>0</v>
      </c>
      <c r="L167" s="4">
        <f t="shared" si="8"/>
        <v>0</v>
      </c>
      <c r="M167" s="4">
        <f t="shared" si="9"/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5">
        <f t="shared" si="0"/>
        <v>0</v>
      </c>
    </row>
    <row r="168" spans="1:45" ht="14.25" customHeight="1" x14ac:dyDescent="0.55000000000000004">
      <c r="A168" s="4">
        <v>0</v>
      </c>
      <c r="B168" s="4">
        <v>6</v>
      </c>
      <c r="C168" s="4">
        <v>583.14</v>
      </c>
      <c r="D168" s="4">
        <v>7.8</v>
      </c>
      <c r="E168" s="4" t="s">
        <v>2338</v>
      </c>
      <c r="F168" s="4" t="s">
        <v>2597</v>
      </c>
      <c r="G168" s="4" t="s">
        <v>2333</v>
      </c>
      <c r="H168" s="4" t="s">
        <v>2598</v>
      </c>
      <c r="I168" s="4">
        <v>0</v>
      </c>
      <c r="J168" s="4">
        <v>35</v>
      </c>
      <c r="K168" s="4">
        <f t="shared" si="7"/>
        <v>13.88</v>
      </c>
      <c r="L168" s="4">
        <f t="shared" si="8"/>
        <v>14.28</v>
      </c>
      <c r="M168" s="4">
        <f t="shared" si="9"/>
        <v>-0.39999999999999858</v>
      </c>
      <c r="N168" s="4">
        <v>6.3</v>
      </c>
      <c r="O168" s="4">
        <v>0</v>
      </c>
      <c r="P168" s="4">
        <v>64</v>
      </c>
      <c r="Q168" s="4">
        <v>22.1</v>
      </c>
      <c r="R168" s="4">
        <v>6</v>
      </c>
      <c r="S168" s="4">
        <v>17.440000000000001</v>
      </c>
      <c r="T168" s="4">
        <v>-17.440000000000001</v>
      </c>
      <c r="U168" s="4">
        <v>16.66</v>
      </c>
      <c r="V168" s="4">
        <v>373.21</v>
      </c>
      <c r="W168" s="4">
        <v>84.97</v>
      </c>
      <c r="X168" s="4">
        <v>203.27</v>
      </c>
      <c r="Y168" s="4">
        <v>46.65</v>
      </c>
      <c r="Z168" s="4">
        <v>18.95</v>
      </c>
      <c r="AA168" s="4">
        <v>-0.41</v>
      </c>
      <c r="AB168" s="4">
        <v>8.61</v>
      </c>
      <c r="AC168" s="4">
        <v>-52.46</v>
      </c>
      <c r="AD168" s="4">
        <v>160</v>
      </c>
      <c r="AE168" s="4">
        <v>1460</v>
      </c>
      <c r="AF168" s="4">
        <v>13.4</v>
      </c>
      <c r="AG168" s="4">
        <v>0.15</v>
      </c>
      <c r="AH168" s="4">
        <v>0.86</v>
      </c>
      <c r="AI168" s="4">
        <v>151.4</v>
      </c>
      <c r="AJ168" s="4">
        <v>60</v>
      </c>
      <c r="AK168" s="4">
        <v>9</v>
      </c>
      <c r="AL168" s="4">
        <v>9</v>
      </c>
      <c r="AM168" s="4">
        <v>0.05</v>
      </c>
      <c r="AN168" s="4">
        <v>96</v>
      </c>
      <c r="AO168" s="4">
        <v>96.44</v>
      </c>
      <c r="AP168" s="4">
        <v>173488.58</v>
      </c>
      <c r="AQ168" s="4">
        <v>172101.2</v>
      </c>
      <c r="AR168" s="4" t="s">
        <v>1732</v>
      </c>
      <c r="AS168" s="5">
        <f t="shared" si="0"/>
        <v>7.9188356164382162E-2</v>
      </c>
    </row>
    <row r="169" spans="1:45" ht="14.25" customHeight="1" x14ac:dyDescent="0.55000000000000004">
      <c r="A169" s="4">
        <v>0</v>
      </c>
      <c r="B169" s="4">
        <v>6</v>
      </c>
      <c r="C169" s="4">
        <v>83.71</v>
      </c>
      <c r="D169" s="4">
        <v>7.8</v>
      </c>
      <c r="E169" s="4" t="s">
        <v>2338</v>
      </c>
      <c r="F169" s="4" t="s">
        <v>2599</v>
      </c>
      <c r="G169" s="4" t="s">
        <v>2333</v>
      </c>
      <c r="H169" s="4" t="s">
        <v>2600</v>
      </c>
      <c r="I169" s="4">
        <v>0</v>
      </c>
      <c r="J169" s="4">
        <v>35</v>
      </c>
      <c r="K169" s="4">
        <f t="shared" si="7"/>
        <v>16.95</v>
      </c>
      <c r="L169" s="4">
        <f t="shared" si="8"/>
        <v>14.28</v>
      </c>
      <c r="M169" s="4">
        <f t="shared" si="9"/>
        <v>2.67</v>
      </c>
      <c r="N169" s="4">
        <v>6.3</v>
      </c>
      <c r="O169" s="4">
        <v>0</v>
      </c>
      <c r="P169" s="4">
        <v>70</v>
      </c>
      <c r="Q169" s="4">
        <v>22.2</v>
      </c>
      <c r="R169" s="4">
        <v>6</v>
      </c>
      <c r="S169" s="4">
        <v>18.329999999999998</v>
      </c>
      <c r="T169" s="4">
        <v>-18.329999999999998</v>
      </c>
      <c r="U169" s="4">
        <v>2.39</v>
      </c>
      <c r="V169" s="4">
        <v>53.57</v>
      </c>
      <c r="W169" s="4">
        <v>12.2</v>
      </c>
      <c r="X169" s="4">
        <v>29.18</v>
      </c>
      <c r="Y169" s="4">
        <v>6.7</v>
      </c>
      <c r="Z169" s="4">
        <v>23.15</v>
      </c>
      <c r="AA169" s="4">
        <v>-2.0099999999999998</v>
      </c>
      <c r="AB169" s="4">
        <v>11.82</v>
      </c>
      <c r="AC169" s="4">
        <v>-48.66</v>
      </c>
      <c r="AD169" s="4">
        <v>160</v>
      </c>
      <c r="AE169" s="4">
        <v>1460</v>
      </c>
      <c r="AF169" s="4">
        <v>13.4</v>
      </c>
      <c r="AG169" s="4">
        <v>0.15</v>
      </c>
      <c r="AH169" s="4">
        <v>9.6300000000000008</v>
      </c>
      <c r="AI169" s="4">
        <v>151.4</v>
      </c>
      <c r="AJ169" s="4">
        <v>60</v>
      </c>
      <c r="AK169" s="4">
        <v>9</v>
      </c>
      <c r="AL169" s="4">
        <v>9</v>
      </c>
      <c r="AM169" s="4">
        <v>0.05</v>
      </c>
      <c r="AN169" s="4">
        <v>96</v>
      </c>
      <c r="AO169" s="4">
        <v>96.44</v>
      </c>
      <c r="AP169" s="4">
        <v>242487.05</v>
      </c>
      <c r="AQ169" s="4">
        <v>172101.2</v>
      </c>
      <c r="AR169" s="4" t="s">
        <v>743</v>
      </c>
      <c r="AS169" s="5">
        <f t="shared" si="0"/>
        <v>4.0174571917808208</v>
      </c>
    </row>
    <row r="170" spans="1:45" ht="14.25" customHeight="1" x14ac:dyDescent="0.55000000000000004">
      <c r="A170" s="4">
        <v>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f t="shared" si="7"/>
        <v>0</v>
      </c>
      <c r="L170" s="4">
        <f t="shared" si="8"/>
        <v>0</v>
      </c>
      <c r="M170" s="4">
        <f t="shared" si="9"/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5">
        <f t="shared" si="0"/>
        <v>0</v>
      </c>
    </row>
    <row r="171" spans="1:45" ht="14.25" customHeight="1" x14ac:dyDescent="0.55000000000000004">
      <c r="A171" s="4">
        <v>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f t="shared" si="7"/>
        <v>0</v>
      </c>
      <c r="L171" s="4">
        <f t="shared" si="8"/>
        <v>0</v>
      </c>
      <c r="M171" s="4">
        <f t="shared" si="9"/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5">
        <f t="shared" si="0"/>
        <v>0</v>
      </c>
    </row>
    <row r="172" spans="1:45" ht="14.25" customHeight="1" x14ac:dyDescent="0.55000000000000004">
      <c r="A172" s="4">
        <v>0</v>
      </c>
      <c r="B172" s="4">
        <v>6</v>
      </c>
      <c r="C172" s="4">
        <v>164.99</v>
      </c>
      <c r="D172" s="4">
        <v>7.8</v>
      </c>
      <c r="E172" s="4" t="s">
        <v>2338</v>
      </c>
      <c r="F172" s="4" t="s">
        <v>2601</v>
      </c>
      <c r="G172" s="4" t="s">
        <v>2333</v>
      </c>
      <c r="H172" s="4" t="s">
        <v>2602</v>
      </c>
      <c r="I172" s="4">
        <v>0</v>
      </c>
      <c r="J172" s="4">
        <v>35</v>
      </c>
      <c r="K172" s="4">
        <f t="shared" si="7"/>
        <v>14.88</v>
      </c>
      <c r="L172" s="4">
        <f t="shared" si="8"/>
        <v>14.28</v>
      </c>
      <c r="M172" s="4">
        <f t="shared" si="9"/>
        <v>0.60000000000000142</v>
      </c>
      <c r="N172" s="4">
        <v>6.3</v>
      </c>
      <c r="O172" s="4">
        <v>0</v>
      </c>
      <c r="P172" s="4">
        <v>75</v>
      </c>
      <c r="Q172" s="4">
        <v>21.6</v>
      </c>
      <c r="R172" s="4">
        <v>6</v>
      </c>
      <c r="S172" s="4">
        <v>18.420000000000002</v>
      </c>
      <c r="T172" s="4">
        <v>-18.420000000000002</v>
      </c>
      <c r="U172" s="4">
        <v>4.71</v>
      </c>
      <c r="V172" s="4">
        <v>105.6</v>
      </c>
      <c r="W172" s="4">
        <v>24.04</v>
      </c>
      <c r="X172" s="4">
        <v>57.51</v>
      </c>
      <c r="Y172" s="4">
        <v>13.2</v>
      </c>
      <c r="Z172" s="4">
        <v>20.309999999999999</v>
      </c>
      <c r="AA172" s="4">
        <v>-1.45</v>
      </c>
      <c r="AB172" s="4">
        <v>10.7</v>
      </c>
      <c r="AC172" s="4">
        <v>-48.31</v>
      </c>
      <c r="AD172" s="4">
        <v>160</v>
      </c>
      <c r="AE172" s="4">
        <v>1460</v>
      </c>
      <c r="AF172" s="4">
        <v>13.4</v>
      </c>
      <c r="AG172" s="4">
        <v>0.15</v>
      </c>
      <c r="AH172" s="4">
        <v>3.61</v>
      </c>
      <c r="AI172" s="4">
        <v>151.4</v>
      </c>
      <c r="AJ172" s="4">
        <v>60</v>
      </c>
      <c r="AK172" s="4">
        <v>9</v>
      </c>
      <c r="AL172" s="4">
        <v>9</v>
      </c>
      <c r="AM172" s="4">
        <v>0.05</v>
      </c>
      <c r="AN172" s="4">
        <v>96</v>
      </c>
      <c r="AO172" s="4">
        <v>96.44</v>
      </c>
      <c r="AP172" s="4">
        <v>195949.53</v>
      </c>
      <c r="AQ172" s="4">
        <v>172101.2</v>
      </c>
      <c r="AR172" s="4" t="s">
        <v>757</v>
      </c>
      <c r="AS172" s="5">
        <f t="shared" si="0"/>
        <v>1.3612060502283099</v>
      </c>
    </row>
    <row r="173" spans="1:45" ht="14.25" customHeight="1" x14ac:dyDescent="0.55000000000000004">
      <c r="A173" s="4">
        <v>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f t="shared" si="7"/>
        <v>0</v>
      </c>
      <c r="L173" s="4">
        <f t="shared" si="8"/>
        <v>0</v>
      </c>
      <c r="M173" s="4">
        <f t="shared" si="9"/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5">
        <f t="shared" si="0"/>
        <v>0</v>
      </c>
    </row>
    <row r="174" spans="1:45" ht="14.25" customHeight="1" x14ac:dyDescent="0.55000000000000004">
      <c r="A174" s="4">
        <v>0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f t="shared" si="7"/>
        <v>0</v>
      </c>
      <c r="L174" s="4">
        <f t="shared" si="8"/>
        <v>0</v>
      </c>
      <c r="M174" s="4">
        <f t="shared" si="9"/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5">
        <f t="shared" si="0"/>
        <v>0</v>
      </c>
    </row>
    <row r="175" spans="1:45" ht="14.25" customHeight="1" x14ac:dyDescent="0.55000000000000004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f t="shared" si="7"/>
        <v>0</v>
      </c>
      <c r="L175" s="4">
        <f t="shared" si="8"/>
        <v>0</v>
      </c>
      <c r="M175" s="4">
        <f t="shared" si="9"/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5">
        <f t="shared" si="0"/>
        <v>0</v>
      </c>
    </row>
    <row r="176" spans="1:45" ht="14.25" customHeight="1" x14ac:dyDescent="0.55000000000000004">
      <c r="A176" s="4">
        <v>0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f t="shared" si="7"/>
        <v>0</v>
      </c>
      <c r="L176" s="4">
        <f t="shared" si="8"/>
        <v>0</v>
      </c>
      <c r="M176" s="4">
        <f t="shared" si="9"/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5">
        <f t="shared" si="0"/>
        <v>0</v>
      </c>
    </row>
    <row r="177" spans="1:45" ht="14.25" customHeight="1" x14ac:dyDescent="0.55000000000000004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f t="shared" si="7"/>
        <v>0</v>
      </c>
      <c r="L177" s="4">
        <f t="shared" si="8"/>
        <v>0</v>
      </c>
      <c r="M177" s="4">
        <f t="shared" si="9"/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5">
        <f t="shared" si="0"/>
        <v>0</v>
      </c>
    </row>
    <row r="178" spans="1:45" ht="14.25" customHeight="1" x14ac:dyDescent="0.55000000000000004">
      <c r="A178" s="4">
        <v>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f t="shared" si="7"/>
        <v>0</v>
      </c>
      <c r="L178" s="4">
        <f t="shared" si="8"/>
        <v>0</v>
      </c>
      <c r="M178" s="4">
        <f t="shared" si="9"/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5">
        <f t="shared" si="0"/>
        <v>0</v>
      </c>
    </row>
    <row r="179" spans="1:45" ht="14.25" customHeight="1" x14ac:dyDescent="0.55000000000000004">
      <c r="A179" s="4">
        <v>0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f t="shared" si="7"/>
        <v>0</v>
      </c>
      <c r="L179" s="4">
        <f t="shared" si="8"/>
        <v>0</v>
      </c>
      <c r="M179" s="4">
        <f t="shared" si="9"/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5">
        <f t="shared" si="0"/>
        <v>0</v>
      </c>
    </row>
    <row r="180" spans="1:45" ht="14.25" customHeight="1" x14ac:dyDescent="0.55000000000000004">
      <c r="A180" s="4">
        <v>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f t="shared" si="7"/>
        <v>0</v>
      </c>
      <c r="L180" s="4">
        <f t="shared" si="8"/>
        <v>0</v>
      </c>
      <c r="M180" s="4">
        <f t="shared" si="9"/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5">
        <f t="shared" si="0"/>
        <v>0</v>
      </c>
    </row>
    <row r="181" spans="1:45" ht="14.25" customHeight="1" x14ac:dyDescent="0.55000000000000004">
      <c r="A181" s="4">
        <v>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f t="shared" si="7"/>
        <v>0</v>
      </c>
      <c r="L181" s="4">
        <f t="shared" si="8"/>
        <v>0</v>
      </c>
      <c r="M181" s="4">
        <f t="shared" si="9"/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5">
        <f t="shared" si="0"/>
        <v>0</v>
      </c>
    </row>
    <row r="182" spans="1:45" ht="14.25" customHeight="1" x14ac:dyDescent="0.55000000000000004">
      <c r="A182" s="4">
        <v>0</v>
      </c>
      <c r="B182" s="4">
        <v>6</v>
      </c>
      <c r="C182" s="4">
        <v>103.52</v>
      </c>
      <c r="D182" s="4">
        <v>7.8</v>
      </c>
      <c r="E182" s="4" t="s">
        <v>2338</v>
      </c>
      <c r="F182" s="4" t="s">
        <v>2603</v>
      </c>
      <c r="G182" s="4" t="s">
        <v>2333</v>
      </c>
      <c r="H182" s="4" t="s">
        <v>2604</v>
      </c>
      <c r="I182" s="4">
        <v>0</v>
      </c>
      <c r="J182" s="4">
        <v>35</v>
      </c>
      <c r="K182" s="4">
        <f t="shared" si="7"/>
        <v>16</v>
      </c>
      <c r="L182" s="4">
        <f t="shared" si="8"/>
        <v>14.28</v>
      </c>
      <c r="M182" s="4">
        <f t="shared" si="9"/>
        <v>1.7200000000000006</v>
      </c>
      <c r="N182" s="4">
        <v>6.3</v>
      </c>
      <c r="O182" s="4">
        <v>0</v>
      </c>
      <c r="P182" s="4">
        <v>73</v>
      </c>
      <c r="Q182" s="4">
        <v>22.1</v>
      </c>
      <c r="R182" s="4">
        <v>6</v>
      </c>
      <c r="S182" s="4">
        <v>18.63</v>
      </c>
      <c r="T182" s="4">
        <v>-18.63</v>
      </c>
      <c r="U182" s="4">
        <v>2.96</v>
      </c>
      <c r="V182" s="4">
        <v>66.25</v>
      </c>
      <c r="W182" s="4">
        <v>15.08</v>
      </c>
      <c r="X182" s="4">
        <v>36.08</v>
      </c>
      <c r="Y182" s="4">
        <v>8.2799999999999994</v>
      </c>
      <c r="Z182" s="4">
        <v>21.85</v>
      </c>
      <c r="AA182" s="4">
        <v>-1.83</v>
      </c>
      <c r="AB182" s="4">
        <v>11.47</v>
      </c>
      <c r="AC182" s="4">
        <v>-47.5</v>
      </c>
      <c r="AD182" s="4">
        <v>160</v>
      </c>
      <c r="AE182" s="4">
        <v>1460</v>
      </c>
      <c r="AF182" s="4">
        <v>13.4</v>
      </c>
      <c r="AG182" s="4">
        <v>0.15</v>
      </c>
      <c r="AH182" s="4">
        <v>6.85</v>
      </c>
      <c r="AI182" s="4">
        <v>151.4</v>
      </c>
      <c r="AJ182" s="4">
        <v>60</v>
      </c>
      <c r="AK182" s="4">
        <v>9</v>
      </c>
      <c r="AL182" s="4">
        <v>9</v>
      </c>
      <c r="AM182" s="4">
        <v>0.05</v>
      </c>
      <c r="AN182" s="4">
        <v>96</v>
      </c>
      <c r="AO182" s="4">
        <v>96.44</v>
      </c>
      <c r="AP182" s="4">
        <v>221105.89</v>
      </c>
      <c r="AQ182" s="4">
        <v>172101.2</v>
      </c>
      <c r="AR182" s="4" t="s">
        <v>804</v>
      </c>
      <c r="AS182" s="5">
        <f t="shared" si="0"/>
        <v>2.7970713470319635</v>
      </c>
    </row>
    <row r="183" spans="1:45" ht="14.25" customHeight="1" x14ac:dyDescent="0.55000000000000004">
      <c r="A183" s="4">
        <v>0</v>
      </c>
      <c r="B183" s="4">
        <v>6</v>
      </c>
      <c r="C183" s="4">
        <v>72.48</v>
      </c>
      <c r="D183" s="4">
        <v>7.8</v>
      </c>
      <c r="E183" s="4" t="s">
        <v>2333</v>
      </c>
      <c r="F183" s="4" t="s">
        <v>2605</v>
      </c>
      <c r="G183" s="4" t="s">
        <v>2333</v>
      </c>
      <c r="H183" s="4" t="s">
        <v>2606</v>
      </c>
      <c r="I183" s="4">
        <v>0</v>
      </c>
      <c r="J183" s="4">
        <v>35</v>
      </c>
      <c r="K183" s="4">
        <f t="shared" si="7"/>
        <v>17.97</v>
      </c>
      <c r="L183" s="4">
        <f t="shared" si="8"/>
        <v>17.97</v>
      </c>
      <c r="M183" s="4">
        <f t="shared" si="9"/>
        <v>0</v>
      </c>
      <c r="N183" s="4">
        <v>6.3</v>
      </c>
      <c r="O183" s="4">
        <v>0</v>
      </c>
      <c r="P183" s="4">
        <v>68</v>
      </c>
      <c r="Q183" s="4">
        <v>22.1</v>
      </c>
      <c r="R183" s="4">
        <v>6</v>
      </c>
      <c r="S183" s="4">
        <v>17.97</v>
      </c>
      <c r="T183" s="4">
        <v>-17.97</v>
      </c>
      <c r="U183" s="4">
        <v>2.0699999999999998</v>
      </c>
      <c r="V183" s="4">
        <v>46.38</v>
      </c>
      <c r="W183" s="4">
        <v>10.56</v>
      </c>
      <c r="X183" s="4">
        <v>25.26</v>
      </c>
      <c r="Y183" s="4">
        <v>5.8</v>
      </c>
      <c r="Z183" s="4">
        <v>4.07</v>
      </c>
      <c r="AA183" s="4">
        <v>-2.13</v>
      </c>
      <c r="AB183" s="4">
        <v>12.06</v>
      </c>
      <c r="AC183" s="4">
        <v>-50.12</v>
      </c>
      <c r="AD183" s="4">
        <v>160</v>
      </c>
      <c r="AE183" s="4">
        <v>1460</v>
      </c>
      <c r="AF183" s="4">
        <v>13.4</v>
      </c>
      <c r="AG183" s="4">
        <v>0.15</v>
      </c>
      <c r="AH183" s="4">
        <v>12.52</v>
      </c>
      <c r="AI183" s="4">
        <v>25.1</v>
      </c>
      <c r="AJ183" s="4">
        <v>60</v>
      </c>
      <c r="AK183" s="4">
        <v>9</v>
      </c>
      <c r="AL183" s="4">
        <v>9</v>
      </c>
      <c r="AM183" s="4">
        <v>0.28999999999999998</v>
      </c>
      <c r="AN183" s="4">
        <v>96</v>
      </c>
      <c r="AO183" s="4">
        <v>98.65</v>
      </c>
      <c r="AP183" s="4">
        <v>265230.67</v>
      </c>
      <c r="AQ183" s="4">
        <v>265230.67</v>
      </c>
      <c r="AR183" s="4" t="s">
        <v>807</v>
      </c>
      <c r="AS183" s="5">
        <f t="shared" si="0"/>
        <v>0</v>
      </c>
    </row>
    <row r="184" spans="1:45" ht="14.25" customHeight="1" x14ac:dyDescent="0.55000000000000004">
      <c r="A184" s="4">
        <v>0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f t="shared" si="7"/>
        <v>0</v>
      </c>
      <c r="L184" s="4">
        <f t="shared" si="8"/>
        <v>0</v>
      </c>
      <c r="M184" s="4">
        <f t="shared" si="9"/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5">
        <f t="shared" si="0"/>
        <v>0</v>
      </c>
    </row>
    <row r="185" spans="1:45" ht="14.25" customHeight="1" x14ac:dyDescent="0.55000000000000004">
      <c r="A185" s="4">
        <v>0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f t="shared" si="7"/>
        <v>0</v>
      </c>
      <c r="L185" s="4">
        <f t="shared" si="8"/>
        <v>0</v>
      </c>
      <c r="M185" s="4">
        <f t="shared" si="9"/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5">
        <f t="shared" si="0"/>
        <v>0</v>
      </c>
    </row>
    <row r="186" spans="1:45" ht="14.25" customHeight="1" x14ac:dyDescent="0.55000000000000004">
      <c r="A186" s="4">
        <v>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f t="shared" si="7"/>
        <v>0</v>
      </c>
      <c r="L186" s="4">
        <f t="shared" si="8"/>
        <v>0</v>
      </c>
      <c r="M186" s="4">
        <f t="shared" si="9"/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5">
        <f t="shared" si="0"/>
        <v>0</v>
      </c>
    </row>
    <row r="187" spans="1:45" ht="14.25" customHeight="1" x14ac:dyDescent="0.55000000000000004">
      <c r="A187" s="4">
        <v>0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f t="shared" si="7"/>
        <v>0</v>
      </c>
      <c r="L187" s="4">
        <f t="shared" si="8"/>
        <v>0</v>
      </c>
      <c r="M187" s="4">
        <f t="shared" si="9"/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5">
        <f t="shared" si="0"/>
        <v>0</v>
      </c>
    </row>
    <row r="188" spans="1:45" ht="14.25" customHeight="1" x14ac:dyDescent="0.55000000000000004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f t="shared" si="7"/>
        <v>0</v>
      </c>
      <c r="L188" s="4">
        <f t="shared" si="8"/>
        <v>0</v>
      </c>
      <c r="M188" s="4">
        <f t="shared" si="9"/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5">
        <f t="shared" si="0"/>
        <v>0</v>
      </c>
    </row>
    <row r="189" spans="1:45" ht="14.25" customHeight="1" x14ac:dyDescent="0.55000000000000004">
      <c r="A189" s="4">
        <v>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f t="shared" si="7"/>
        <v>0</v>
      </c>
      <c r="L189" s="4">
        <f t="shared" si="8"/>
        <v>0</v>
      </c>
      <c r="M189" s="4">
        <f t="shared" si="9"/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5">
        <f t="shared" si="0"/>
        <v>0</v>
      </c>
    </row>
    <row r="190" spans="1:45" ht="14.25" customHeight="1" x14ac:dyDescent="0.55000000000000004">
      <c r="A190" s="4">
        <v>0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f t="shared" si="7"/>
        <v>0</v>
      </c>
      <c r="L190" s="4">
        <f t="shared" si="8"/>
        <v>0</v>
      </c>
      <c r="M190" s="4">
        <f t="shared" si="9"/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5">
        <f t="shared" si="0"/>
        <v>0</v>
      </c>
    </row>
    <row r="191" spans="1:45" ht="14.25" customHeight="1" x14ac:dyDescent="0.55000000000000004">
      <c r="A191" s="4">
        <v>0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f t="shared" si="7"/>
        <v>0</v>
      </c>
      <c r="L191" s="4">
        <f t="shared" si="8"/>
        <v>0</v>
      </c>
      <c r="M191" s="4">
        <f t="shared" si="9"/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5">
        <f t="shared" si="0"/>
        <v>0</v>
      </c>
    </row>
    <row r="192" spans="1:45" ht="14.25" customHeight="1" x14ac:dyDescent="0.55000000000000004">
      <c r="A192" s="4">
        <v>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f t="shared" si="7"/>
        <v>0</v>
      </c>
      <c r="L192" s="4">
        <f t="shared" si="8"/>
        <v>0</v>
      </c>
      <c r="M192" s="4">
        <f t="shared" si="9"/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5">
        <f t="shared" si="0"/>
        <v>0</v>
      </c>
    </row>
    <row r="193" spans="1:45" ht="14.25" customHeight="1" x14ac:dyDescent="0.55000000000000004">
      <c r="A193" s="4">
        <v>0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f t="shared" si="7"/>
        <v>0</v>
      </c>
      <c r="L193" s="4">
        <f t="shared" si="8"/>
        <v>0</v>
      </c>
      <c r="M193" s="4">
        <f t="shared" si="9"/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5">
        <f t="shared" si="0"/>
        <v>0</v>
      </c>
    </row>
    <row r="194" spans="1:45" ht="14.25" customHeight="1" x14ac:dyDescent="0.55000000000000004">
      <c r="A194" s="4">
        <v>0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f t="shared" si="7"/>
        <v>0</v>
      </c>
      <c r="L194" s="4">
        <f t="shared" si="8"/>
        <v>0</v>
      </c>
      <c r="M194" s="4">
        <f t="shared" si="9"/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5">
        <f t="shared" si="0"/>
        <v>0</v>
      </c>
    </row>
    <row r="195" spans="1:45" ht="14.25" customHeight="1" x14ac:dyDescent="0.55000000000000004">
      <c r="A195" s="4">
        <v>0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f t="shared" ref="K195:K251" si="10">IF(E195=0,0,
VALUE(MID(E195,2,FIND(",",E195)-2))+
VALUE(MID(F195,2,FIND(",",F195)-2))+
VALUE(MID(G195,2,FIND(",",G195)-2))
)</f>
        <v>0</v>
      </c>
      <c r="L195" s="4">
        <f t="shared" ref="L195:L250" si="11">IF(E195=0,0,
VALUE(MID(E195,FIND(",",E195)+1,FIND("]",E195)-FIND(",",E195)-1))+
VALUE(MID(F195,FIND(",",F195)+1,FIND("]",F195)-FIND(",",F195)-1))+
VALUE(MID(G195,FIND(",",G195)+1,FIND("]",G195)-FIND(",",G195)-1))
)</f>
        <v>0</v>
      </c>
      <c r="M195" s="4">
        <f t="shared" ref="M195:M251" si="12">(K195-L195)</f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5">
        <f t="shared" si="0"/>
        <v>0</v>
      </c>
    </row>
    <row r="196" spans="1:45" ht="14.25" customHeight="1" x14ac:dyDescent="0.55000000000000004">
      <c r="A196" s="4">
        <v>0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f t="shared" si="10"/>
        <v>0</v>
      </c>
      <c r="L196" s="4">
        <f t="shared" si="11"/>
        <v>0</v>
      </c>
      <c r="M196" s="4">
        <f t="shared" si="12"/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5">
        <f t="shared" si="0"/>
        <v>0</v>
      </c>
    </row>
    <row r="197" spans="1:45" ht="14.25" customHeight="1" x14ac:dyDescent="0.55000000000000004">
      <c r="A197" s="4">
        <v>0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f t="shared" si="10"/>
        <v>0</v>
      </c>
      <c r="L197" s="4">
        <f t="shared" si="11"/>
        <v>0</v>
      </c>
      <c r="M197" s="4">
        <f t="shared" si="12"/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5">
        <f t="shared" si="0"/>
        <v>0</v>
      </c>
    </row>
    <row r="198" spans="1:45" ht="14.25" customHeight="1" x14ac:dyDescent="0.55000000000000004">
      <c r="A198" s="4">
        <v>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f t="shared" si="10"/>
        <v>0</v>
      </c>
      <c r="L198" s="4">
        <f t="shared" si="11"/>
        <v>0</v>
      </c>
      <c r="M198" s="4">
        <f t="shared" si="12"/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5">
        <f t="shared" si="0"/>
        <v>0</v>
      </c>
    </row>
    <row r="199" spans="1:45" ht="14.25" customHeight="1" x14ac:dyDescent="0.55000000000000004">
      <c r="A199" s="4">
        <v>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f t="shared" si="10"/>
        <v>0</v>
      </c>
      <c r="L199" s="4">
        <f t="shared" si="11"/>
        <v>0</v>
      </c>
      <c r="M199" s="4">
        <f t="shared" si="12"/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5">
        <f t="shared" si="0"/>
        <v>0</v>
      </c>
    </row>
    <row r="200" spans="1:45" ht="14.25" customHeight="1" x14ac:dyDescent="0.55000000000000004">
      <c r="A200" s="4">
        <v>0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f t="shared" si="10"/>
        <v>0</v>
      </c>
      <c r="L200" s="4">
        <f t="shared" si="11"/>
        <v>0</v>
      </c>
      <c r="M200" s="4">
        <f t="shared" si="12"/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5">
        <f t="shared" si="0"/>
        <v>0</v>
      </c>
    </row>
    <row r="201" spans="1:45" ht="14.25" customHeight="1" x14ac:dyDescent="0.55000000000000004">
      <c r="A201" s="4">
        <v>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f t="shared" si="10"/>
        <v>0</v>
      </c>
      <c r="L201" s="4">
        <f t="shared" si="11"/>
        <v>0</v>
      </c>
      <c r="M201" s="4">
        <f t="shared" si="12"/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5">
        <f t="shared" si="0"/>
        <v>0</v>
      </c>
    </row>
    <row r="202" spans="1:45" ht="14.25" customHeight="1" x14ac:dyDescent="0.55000000000000004">
      <c r="A202" s="4">
        <v>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f t="shared" si="10"/>
        <v>0</v>
      </c>
      <c r="L202" s="4">
        <f t="shared" si="11"/>
        <v>0</v>
      </c>
      <c r="M202" s="4">
        <f t="shared" si="12"/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5">
        <f t="shared" si="0"/>
        <v>0</v>
      </c>
    </row>
    <row r="203" spans="1:45" ht="14.25" customHeight="1" x14ac:dyDescent="0.55000000000000004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f t="shared" si="10"/>
        <v>0</v>
      </c>
      <c r="L203" s="4">
        <f t="shared" si="11"/>
        <v>0</v>
      </c>
      <c r="M203" s="4">
        <f t="shared" si="12"/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5">
        <f t="shared" si="0"/>
        <v>0</v>
      </c>
    </row>
    <row r="204" spans="1:45" ht="14.25" customHeight="1" x14ac:dyDescent="0.55000000000000004">
      <c r="A204" s="4">
        <v>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f t="shared" si="10"/>
        <v>0</v>
      </c>
      <c r="L204" s="4">
        <f t="shared" si="11"/>
        <v>0</v>
      </c>
      <c r="M204" s="4">
        <f t="shared" si="12"/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5">
        <f t="shared" si="0"/>
        <v>0</v>
      </c>
    </row>
    <row r="205" spans="1:45" ht="14.25" customHeight="1" x14ac:dyDescent="0.55000000000000004">
      <c r="A205" s="4">
        <v>0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f t="shared" si="10"/>
        <v>0</v>
      </c>
      <c r="L205" s="4">
        <f t="shared" si="11"/>
        <v>0</v>
      </c>
      <c r="M205" s="4">
        <f t="shared" si="12"/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5">
        <f t="shared" si="0"/>
        <v>0</v>
      </c>
    </row>
    <row r="206" spans="1:45" ht="14.25" customHeight="1" x14ac:dyDescent="0.55000000000000004">
      <c r="A206" s="4">
        <v>0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f t="shared" si="10"/>
        <v>0</v>
      </c>
      <c r="L206" s="4">
        <f t="shared" si="11"/>
        <v>0</v>
      </c>
      <c r="M206" s="4">
        <f t="shared" si="12"/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5">
        <f t="shared" si="0"/>
        <v>0</v>
      </c>
    </row>
    <row r="207" spans="1:45" ht="14.25" customHeight="1" x14ac:dyDescent="0.55000000000000004">
      <c r="A207" s="4">
        <v>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f t="shared" si="10"/>
        <v>0</v>
      </c>
      <c r="L207" s="4">
        <f t="shared" si="11"/>
        <v>0</v>
      </c>
      <c r="M207" s="4">
        <f t="shared" si="12"/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5">
        <f t="shared" si="0"/>
        <v>0</v>
      </c>
    </row>
    <row r="208" spans="1:45" ht="14.25" customHeight="1" x14ac:dyDescent="0.55000000000000004">
      <c r="A208" s="4">
        <v>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f t="shared" si="10"/>
        <v>0</v>
      </c>
      <c r="L208" s="4">
        <f t="shared" si="11"/>
        <v>0</v>
      </c>
      <c r="M208" s="4">
        <f t="shared" si="12"/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5">
        <f t="shared" si="0"/>
        <v>0</v>
      </c>
    </row>
    <row r="209" spans="1:45" ht="14.25" customHeight="1" x14ac:dyDescent="0.55000000000000004">
      <c r="A209" s="4">
        <v>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f t="shared" si="10"/>
        <v>0</v>
      </c>
      <c r="L209" s="4">
        <f t="shared" si="11"/>
        <v>0</v>
      </c>
      <c r="M209" s="4">
        <f t="shared" si="12"/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5">
        <f t="shared" si="0"/>
        <v>0</v>
      </c>
    </row>
    <row r="210" spans="1:45" ht="14.25" customHeight="1" x14ac:dyDescent="0.55000000000000004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f t="shared" si="10"/>
        <v>0</v>
      </c>
      <c r="L210" s="4">
        <f t="shared" si="11"/>
        <v>0</v>
      </c>
      <c r="M210" s="4">
        <f t="shared" si="12"/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5">
        <f t="shared" si="0"/>
        <v>0</v>
      </c>
    </row>
    <row r="211" spans="1:45" ht="14.25" customHeight="1" x14ac:dyDescent="0.55000000000000004">
      <c r="A211" s="4">
        <v>0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f t="shared" si="10"/>
        <v>0</v>
      </c>
      <c r="L211" s="4">
        <f t="shared" si="11"/>
        <v>0</v>
      </c>
      <c r="M211" s="4">
        <f t="shared" si="12"/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5">
        <f t="shared" si="0"/>
        <v>0</v>
      </c>
    </row>
    <row r="212" spans="1:45" ht="14.25" customHeight="1" x14ac:dyDescent="0.55000000000000004">
      <c r="A212" s="4">
        <v>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f t="shared" si="10"/>
        <v>0</v>
      </c>
      <c r="L212" s="4">
        <f t="shared" si="11"/>
        <v>0</v>
      </c>
      <c r="M212" s="4">
        <f t="shared" si="12"/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5">
        <f t="shared" si="0"/>
        <v>0</v>
      </c>
    </row>
    <row r="213" spans="1:45" ht="14.25" customHeight="1" x14ac:dyDescent="0.55000000000000004">
      <c r="A213" s="4">
        <v>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f t="shared" si="10"/>
        <v>0</v>
      </c>
      <c r="L213" s="4">
        <f t="shared" si="11"/>
        <v>0</v>
      </c>
      <c r="M213" s="4">
        <f t="shared" si="12"/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5">
        <f t="shared" si="0"/>
        <v>0</v>
      </c>
    </row>
    <row r="214" spans="1:45" ht="14.25" customHeight="1" x14ac:dyDescent="0.55000000000000004">
      <c r="A214" s="4">
        <v>0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f t="shared" si="10"/>
        <v>0</v>
      </c>
      <c r="L214" s="4">
        <f t="shared" si="11"/>
        <v>0</v>
      </c>
      <c r="M214" s="4">
        <f t="shared" si="12"/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5">
        <f t="shared" si="0"/>
        <v>0</v>
      </c>
    </row>
    <row r="215" spans="1:45" ht="14.25" customHeight="1" x14ac:dyDescent="0.55000000000000004">
      <c r="A215" s="4">
        <v>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f t="shared" si="10"/>
        <v>0</v>
      </c>
      <c r="L215" s="4">
        <f t="shared" si="11"/>
        <v>0</v>
      </c>
      <c r="M215" s="4">
        <f t="shared" si="12"/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5">
        <f t="shared" si="0"/>
        <v>0</v>
      </c>
    </row>
    <row r="216" spans="1:45" ht="14.25" customHeight="1" x14ac:dyDescent="0.55000000000000004">
      <c r="A216" s="4">
        <v>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f t="shared" si="10"/>
        <v>0</v>
      </c>
      <c r="L216" s="4">
        <f t="shared" si="11"/>
        <v>0</v>
      </c>
      <c r="M216" s="4">
        <f t="shared" si="12"/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5">
        <f t="shared" si="0"/>
        <v>0</v>
      </c>
    </row>
    <row r="217" spans="1:45" ht="14.25" customHeight="1" x14ac:dyDescent="0.55000000000000004">
      <c r="A217" s="4">
        <v>0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f t="shared" si="10"/>
        <v>0</v>
      </c>
      <c r="L217" s="4">
        <f t="shared" si="11"/>
        <v>0</v>
      </c>
      <c r="M217" s="4">
        <f t="shared" si="12"/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5">
        <f t="shared" si="0"/>
        <v>0</v>
      </c>
    </row>
    <row r="218" spans="1:45" ht="14.25" customHeight="1" x14ac:dyDescent="0.55000000000000004">
      <c r="A218" s="4">
        <v>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f t="shared" si="10"/>
        <v>0</v>
      </c>
      <c r="L218" s="4">
        <f t="shared" si="11"/>
        <v>0</v>
      </c>
      <c r="M218" s="4">
        <f t="shared" si="12"/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5">
        <f t="shared" si="0"/>
        <v>0</v>
      </c>
    </row>
    <row r="219" spans="1:45" ht="14.25" customHeight="1" x14ac:dyDescent="0.55000000000000004">
      <c r="A219" s="4">
        <v>0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f t="shared" si="10"/>
        <v>0</v>
      </c>
      <c r="L219" s="4">
        <f t="shared" si="11"/>
        <v>0</v>
      </c>
      <c r="M219" s="4">
        <f t="shared" si="12"/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5">
        <f t="shared" si="0"/>
        <v>0</v>
      </c>
    </row>
    <row r="220" spans="1:45" ht="14.25" customHeight="1" x14ac:dyDescent="0.55000000000000004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f t="shared" si="10"/>
        <v>0</v>
      </c>
      <c r="L220" s="4">
        <f t="shared" si="11"/>
        <v>0</v>
      </c>
      <c r="M220" s="4">
        <f t="shared" si="12"/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5">
        <f t="shared" si="0"/>
        <v>0</v>
      </c>
    </row>
    <row r="221" spans="1:45" ht="14.25" customHeight="1" x14ac:dyDescent="0.55000000000000004">
      <c r="A221" s="4">
        <v>0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f t="shared" si="10"/>
        <v>0</v>
      </c>
      <c r="L221" s="4">
        <f t="shared" si="11"/>
        <v>0</v>
      </c>
      <c r="M221" s="4">
        <f t="shared" si="12"/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5">
        <f t="shared" si="0"/>
        <v>0</v>
      </c>
    </row>
    <row r="222" spans="1:45" ht="14.25" customHeight="1" x14ac:dyDescent="0.55000000000000004">
      <c r="A222" s="4">
        <v>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f t="shared" si="10"/>
        <v>0</v>
      </c>
      <c r="L222" s="4">
        <f t="shared" si="11"/>
        <v>0</v>
      </c>
      <c r="M222" s="4">
        <f t="shared" si="12"/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5">
        <f t="shared" si="0"/>
        <v>0</v>
      </c>
    </row>
    <row r="223" spans="1:45" ht="14.25" customHeight="1" x14ac:dyDescent="0.55000000000000004">
      <c r="A223" s="4">
        <v>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f t="shared" si="10"/>
        <v>0</v>
      </c>
      <c r="L223" s="4">
        <f t="shared" si="11"/>
        <v>0</v>
      </c>
      <c r="M223" s="4">
        <f t="shared" si="12"/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5">
        <f t="shared" si="0"/>
        <v>0</v>
      </c>
    </row>
    <row r="224" spans="1:45" ht="14.25" customHeight="1" x14ac:dyDescent="0.55000000000000004">
      <c r="A224" s="4">
        <v>0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f t="shared" si="10"/>
        <v>0</v>
      </c>
      <c r="L224" s="4">
        <f t="shared" si="11"/>
        <v>0</v>
      </c>
      <c r="M224" s="4">
        <f t="shared" si="12"/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5">
        <f t="shared" si="0"/>
        <v>0</v>
      </c>
    </row>
    <row r="225" spans="1:45" ht="14.25" customHeight="1" x14ac:dyDescent="0.55000000000000004">
      <c r="A225" s="4">
        <v>0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f t="shared" si="10"/>
        <v>0</v>
      </c>
      <c r="L225" s="4">
        <f t="shared" si="11"/>
        <v>0</v>
      </c>
      <c r="M225" s="4">
        <f t="shared" si="12"/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5">
        <f t="shared" si="0"/>
        <v>0</v>
      </c>
    </row>
    <row r="226" spans="1:45" ht="14.25" customHeight="1" x14ac:dyDescent="0.55000000000000004">
      <c r="A226" s="4">
        <v>0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f t="shared" si="10"/>
        <v>0</v>
      </c>
      <c r="L226" s="4">
        <f t="shared" si="11"/>
        <v>0</v>
      </c>
      <c r="M226" s="4">
        <f t="shared" si="12"/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5">
        <f t="shared" si="0"/>
        <v>0</v>
      </c>
    </row>
    <row r="227" spans="1:45" ht="14.25" customHeight="1" x14ac:dyDescent="0.55000000000000004">
      <c r="A227" s="4">
        <v>0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f t="shared" si="10"/>
        <v>0</v>
      </c>
      <c r="L227" s="4">
        <f t="shared" si="11"/>
        <v>0</v>
      </c>
      <c r="M227" s="4">
        <f t="shared" si="12"/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5">
        <f t="shared" si="0"/>
        <v>0</v>
      </c>
    </row>
    <row r="228" spans="1:45" ht="14.25" customHeight="1" x14ac:dyDescent="0.55000000000000004">
      <c r="A228" s="4">
        <v>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f t="shared" si="10"/>
        <v>0</v>
      </c>
      <c r="L228" s="4">
        <f t="shared" si="11"/>
        <v>0</v>
      </c>
      <c r="M228" s="4">
        <f t="shared" si="12"/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5">
        <f t="shared" si="0"/>
        <v>0</v>
      </c>
    </row>
    <row r="229" spans="1:45" ht="14.25" customHeight="1" x14ac:dyDescent="0.55000000000000004">
      <c r="A229" s="4">
        <v>0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f t="shared" si="10"/>
        <v>0</v>
      </c>
      <c r="L229" s="4">
        <f t="shared" si="11"/>
        <v>0</v>
      </c>
      <c r="M229" s="4">
        <f t="shared" si="12"/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5">
        <f t="shared" si="0"/>
        <v>0</v>
      </c>
    </row>
    <row r="230" spans="1:45" ht="14.25" customHeight="1" x14ac:dyDescent="0.55000000000000004">
      <c r="A230" s="4">
        <v>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f t="shared" si="10"/>
        <v>0</v>
      </c>
      <c r="L230" s="4">
        <f t="shared" si="11"/>
        <v>0</v>
      </c>
      <c r="M230" s="4">
        <f t="shared" si="12"/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5">
        <f t="shared" si="0"/>
        <v>0</v>
      </c>
    </row>
    <row r="231" spans="1:45" ht="14.25" customHeight="1" x14ac:dyDescent="0.55000000000000004">
      <c r="A231" s="4">
        <v>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f t="shared" si="10"/>
        <v>0</v>
      </c>
      <c r="L231" s="4">
        <f t="shared" si="11"/>
        <v>0</v>
      </c>
      <c r="M231" s="4">
        <f t="shared" si="12"/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5">
        <f t="shared" si="0"/>
        <v>0</v>
      </c>
    </row>
    <row r="232" spans="1:45" ht="14.25" customHeight="1" x14ac:dyDescent="0.55000000000000004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f t="shared" si="10"/>
        <v>0</v>
      </c>
      <c r="L232" s="4">
        <f t="shared" si="11"/>
        <v>0</v>
      </c>
      <c r="M232" s="4">
        <f t="shared" si="12"/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5">
        <f t="shared" si="0"/>
        <v>0</v>
      </c>
    </row>
    <row r="233" spans="1:45" ht="14.25" customHeight="1" x14ac:dyDescent="0.55000000000000004">
      <c r="A233" s="4">
        <v>0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f t="shared" si="10"/>
        <v>0</v>
      </c>
      <c r="L233" s="4">
        <f t="shared" si="11"/>
        <v>0</v>
      </c>
      <c r="M233" s="4">
        <f t="shared" si="12"/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5">
        <f t="shared" si="0"/>
        <v>0</v>
      </c>
    </row>
    <row r="234" spans="1:45" ht="14.25" customHeight="1" x14ac:dyDescent="0.55000000000000004">
      <c r="A234" s="4">
        <v>0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f t="shared" si="10"/>
        <v>0</v>
      </c>
      <c r="L234" s="4">
        <f t="shared" si="11"/>
        <v>0</v>
      </c>
      <c r="M234" s="4">
        <f t="shared" si="12"/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5">
        <f t="shared" si="0"/>
        <v>0</v>
      </c>
    </row>
    <row r="235" spans="1:45" ht="14.25" customHeight="1" x14ac:dyDescent="0.55000000000000004">
      <c r="A235" s="4">
        <v>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f t="shared" si="10"/>
        <v>0</v>
      </c>
      <c r="L235" s="4">
        <f t="shared" si="11"/>
        <v>0</v>
      </c>
      <c r="M235" s="4">
        <f t="shared" si="12"/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5">
        <f t="shared" si="0"/>
        <v>0</v>
      </c>
    </row>
    <row r="236" spans="1:45" ht="14.25" customHeight="1" x14ac:dyDescent="0.55000000000000004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f t="shared" si="10"/>
        <v>0</v>
      </c>
      <c r="L236" s="4">
        <f t="shared" si="11"/>
        <v>0</v>
      </c>
      <c r="M236" s="4">
        <f t="shared" si="12"/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5">
        <f t="shared" si="0"/>
        <v>0</v>
      </c>
    </row>
    <row r="237" spans="1:45" ht="14.25" customHeight="1" x14ac:dyDescent="0.55000000000000004">
      <c r="A237" s="4">
        <v>0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f t="shared" si="10"/>
        <v>0</v>
      </c>
      <c r="L237" s="4">
        <f t="shared" si="11"/>
        <v>0</v>
      </c>
      <c r="M237" s="4">
        <f t="shared" si="12"/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5">
        <f t="shared" si="0"/>
        <v>0</v>
      </c>
    </row>
    <row r="238" spans="1:45" ht="14.25" customHeight="1" x14ac:dyDescent="0.55000000000000004">
      <c r="A238" s="4">
        <v>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f t="shared" si="10"/>
        <v>0</v>
      </c>
      <c r="L238" s="4">
        <f t="shared" si="11"/>
        <v>0</v>
      </c>
      <c r="M238" s="4">
        <f t="shared" si="12"/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5">
        <f t="shared" si="0"/>
        <v>0</v>
      </c>
    </row>
    <row r="239" spans="1:45" ht="14.25" customHeight="1" x14ac:dyDescent="0.55000000000000004">
      <c r="A239" s="4">
        <v>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f t="shared" si="10"/>
        <v>0</v>
      </c>
      <c r="L239" s="4">
        <f t="shared" si="11"/>
        <v>0</v>
      </c>
      <c r="M239" s="4">
        <f t="shared" si="12"/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5">
        <f t="shared" si="0"/>
        <v>0</v>
      </c>
    </row>
    <row r="240" spans="1:45" ht="14.25" customHeight="1" x14ac:dyDescent="0.55000000000000004">
      <c r="A240" s="4">
        <v>0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f t="shared" si="10"/>
        <v>0</v>
      </c>
      <c r="L240" s="4">
        <f t="shared" si="11"/>
        <v>0</v>
      </c>
      <c r="M240" s="4">
        <f t="shared" si="12"/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5">
        <f t="shared" si="0"/>
        <v>0</v>
      </c>
    </row>
    <row r="241" spans="1:45" ht="14.25" customHeight="1" x14ac:dyDescent="0.55000000000000004">
      <c r="A241" s="4">
        <v>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f t="shared" si="10"/>
        <v>0</v>
      </c>
      <c r="L241" s="4">
        <f t="shared" si="11"/>
        <v>0</v>
      </c>
      <c r="M241" s="4">
        <f t="shared" si="12"/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5">
        <f t="shared" si="0"/>
        <v>0</v>
      </c>
    </row>
    <row r="242" spans="1:45" ht="14.25" customHeight="1" x14ac:dyDescent="0.55000000000000004">
      <c r="A242" s="4">
        <v>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f t="shared" si="10"/>
        <v>0</v>
      </c>
      <c r="L242" s="4">
        <f t="shared" si="11"/>
        <v>0</v>
      </c>
      <c r="M242" s="4">
        <f t="shared" si="12"/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5">
        <f t="shared" si="0"/>
        <v>0</v>
      </c>
    </row>
    <row r="243" spans="1:45" ht="14.25" customHeight="1" x14ac:dyDescent="0.55000000000000004">
      <c r="A243" s="4">
        <v>0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f t="shared" si="10"/>
        <v>0</v>
      </c>
      <c r="L243" s="4">
        <f t="shared" si="11"/>
        <v>0</v>
      </c>
      <c r="M243" s="4">
        <f t="shared" si="12"/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5">
        <f t="shared" si="0"/>
        <v>0</v>
      </c>
    </row>
    <row r="244" spans="1:45" ht="14.25" customHeight="1" x14ac:dyDescent="0.55000000000000004">
      <c r="A244" s="4">
        <v>0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f t="shared" si="10"/>
        <v>0</v>
      </c>
      <c r="L244" s="4">
        <f t="shared" si="11"/>
        <v>0</v>
      </c>
      <c r="M244" s="4">
        <f t="shared" si="12"/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5">
        <f t="shared" si="0"/>
        <v>0</v>
      </c>
    </row>
    <row r="245" spans="1:45" ht="14.25" customHeight="1" x14ac:dyDescent="0.55000000000000004">
      <c r="A245" s="4">
        <v>0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f t="shared" si="10"/>
        <v>0</v>
      </c>
      <c r="L245" s="4">
        <f t="shared" si="11"/>
        <v>0</v>
      </c>
      <c r="M245" s="4">
        <f t="shared" si="12"/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5">
        <f t="shared" si="0"/>
        <v>0</v>
      </c>
    </row>
    <row r="246" spans="1:45" ht="14.25" customHeight="1" x14ac:dyDescent="0.55000000000000004">
      <c r="A246" s="4">
        <v>0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f t="shared" si="10"/>
        <v>0</v>
      </c>
      <c r="L246" s="4">
        <f t="shared" si="11"/>
        <v>0</v>
      </c>
      <c r="M246" s="4">
        <f t="shared" si="12"/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5">
        <f t="shared" si="0"/>
        <v>0</v>
      </c>
    </row>
    <row r="247" spans="1:45" ht="14.25" customHeight="1" x14ac:dyDescent="0.55000000000000004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f t="shared" si="10"/>
        <v>0</v>
      </c>
      <c r="L247" s="4">
        <f t="shared" si="11"/>
        <v>0</v>
      </c>
      <c r="M247" s="4">
        <f t="shared" si="12"/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5">
        <f t="shared" si="0"/>
        <v>0</v>
      </c>
    </row>
    <row r="248" spans="1:45" ht="14.25" customHeight="1" x14ac:dyDescent="0.55000000000000004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f t="shared" si="10"/>
        <v>0</v>
      </c>
      <c r="L248" s="4">
        <f t="shared" si="11"/>
        <v>0</v>
      </c>
      <c r="M248" s="4">
        <f t="shared" si="12"/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5">
        <f t="shared" si="0"/>
        <v>0</v>
      </c>
    </row>
    <row r="249" spans="1:45" ht="14.25" customHeight="1" x14ac:dyDescent="0.55000000000000004">
      <c r="A249" s="4">
        <v>0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f t="shared" si="10"/>
        <v>0</v>
      </c>
      <c r="L249" s="4">
        <f t="shared" si="11"/>
        <v>0</v>
      </c>
      <c r="M249" s="4">
        <f t="shared" si="12"/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5">
        <f t="shared" si="0"/>
        <v>0</v>
      </c>
    </row>
    <row r="250" spans="1:45" ht="14.25" customHeight="1" x14ac:dyDescent="0.55000000000000004">
      <c r="A250" s="4">
        <v>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f t="shared" si="10"/>
        <v>0</v>
      </c>
      <c r="L250" s="4">
        <f t="shared" si="11"/>
        <v>0</v>
      </c>
      <c r="M250" s="4">
        <f t="shared" si="12"/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5">
        <f t="shared" si="0"/>
        <v>0</v>
      </c>
    </row>
    <row r="251" spans="1:45" ht="14.25" customHeight="1" x14ac:dyDescent="0.55000000000000004">
      <c r="A251" s="4">
        <v>0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f t="shared" si="10"/>
        <v>0</v>
      </c>
      <c r="L251" s="4">
        <f>IF(E251=0,0,
VALUE(MID(E251,FIND(",",E251)+1,FIND("]",E251)-FIND(",",E251)-1))+
VALUE(MID(F251,FIND(",",F251)+1,FIND("]",F251)-FIND(",",F251)-1))+
VALUE(MID(G251,FIND(",",G251)+1,FIND("]",G251)-FIND(",",G251)-1))
)</f>
        <v>0</v>
      </c>
      <c r="M251" s="4">
        <f t="shared" si="12"/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5">
        <f t="shared" si="0"/>
        <v>0</v>
      </c>
    </row>
    <row r="252" spans="1:45" ht="14.25" customHeight="1" x14ac:dyDescent="0.55000000000000004"/>
    <row r="253" spans="1:45" ht="14.25" customHeight="1" x14ac:dyDescent="0.55000000000000004"/>
    <row r="254" spans="1:45" ht="14.25" customHeight="1" x14ac:dyDescent="0.55000000000000004"/>
    <row r="255" spans="1:45" ht="14.25" customHeight="1" x14ac:dyDescent="0.55000000000000004"/>
    <row r="256" spans="1:45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000"/>
  <sheetViews>
    <sheetView topLeftCell="A169" workbookViewId="0">
      <selection activeCell="M252" sqref="M252"/>
    </sheetView>
  </sheetViews>
  <sheetFormatPr defaultColWidth="14.41796875" defaultRowHeight="15" customHeight="1" x14ac:dyDescent="0.55000000000000004"/>
  <cols>
    <col min="1" max="2" width="8.68359375" customWidth="1"/>
    <col min="3" max="3" width="14.15625" customWidth="1"/>
    <col min="4" max="4" width="8.68359375" customWidth="1"/>
    <col min="5" max="5" width="12.26171875" customWidth="1"/>
    <col min="6" max="6" width="11.26171875" customWidth="1"/>
    <col min="7" max="7" width="16.26171875" customWidth="1"/>
    <col min="8" max="8" width="12.26171875" customWidth="1"/>
    <col min="9" max="9" width="7.41796875" customWidth="1"/>
    <col min="10" max="10" width="15.26171875" customWidth="1"/>
    <col min="11" max="11" width="11.3671875" bestFit="1" customWidth="1"/>
    <col min="12" max="12" width="11.26171875" bestFit="1" customWidth="1"/>
    <col min="13" max="13" width="14.578125" bestFit="1" customWidth="1"/>
    <col min="14" max="14" width="8.68359375" customWidth="1"/>
    <col min="15" max="15" width="18.15625" customWidth="1"/>
    <col min="16" max="43" width="8.68359375" customWidth="1"/>
    <col min="44" max="44" width="52.68359375" customWidth="1"/>
    <col min="45" max="45" width="10.26171875" customWidth="1"/>
  </cols>
  <sheetData>
    <row r="1" spans="1:45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6" t="s">
        <v>3083</v>
      </c>
      <c r="F1" s="6" t="s">
        <v>3084</v>
      </c>
      <c r="G1" s="6" t="s">
        <v>3085</v>
      </c>
      <c r="H1" s="6" t="s">
        <v>3086</v>
      </c>
      <c r="I1" s="1" t="s">
        <v>4</v>
      </c>
      <c r="J1" s="1" t="s">
        <v>5</v>
      </c>
      <c r="K1" s="1" t="s">
        <v>3088</v>
      </c>
      <c r="L1" s="1" t="s">
        <v>3092</v>
      </c>
      <c r="M1" s="1" t="s">
        <v>3090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2">
        <f>SUM(AS2:AS251)</f>
        <v>3806.7026678082193</v>
      </c>
    </row>
    <row r="2" spans="1:45" ht="14.25" customHeight="1" x14ac:dyDescent="0.55000000000000004">
      <c r="A2" s="4">
        <v>0</v>
      </c>
      <c r="B2" s="4">
        <v>8.1</v>
      </c>
      <c r="C2" s="4">
        <v>1500.64</v>
      </c>
      <c r="D2" s="4">
        <v>7.8</v>
      </c>
      <c r="E2" s="4" t="s">
        <v>2607</v>
      </c>
      <c r="F2" s="4" t="s">
        <v>2608</v>
      </c>
      <c r="G2" s="4" t="s">
        <v>2333</v>
      </c>
      <c r="H2" s="4" t="s">
        <v>2609</v>
      </c>
      <c r="I2" s="4">
        <v>0</v>
      </c>
      <c r="J2" s="4">
        <v>2307.46</v>
      </c>
      <c r="K2" s="4">
        <f>IF(E2=0,0,
VALUE(MID(E2,2,FIND(",",E2)-2))+
VALUE(MID(F2,2,FIND(",",F2)-2))+
VALUE(MID(G2,2,FIND(",",G2)-2))
)</f>
        <v>51.84</v>
      </c>
      <c r="L2" s="4">
        <f>IF(E2=0,0,
VALUE(MID(E2,FIND(",",E2)+1,FIND("]",E2)-FIND(",",E2)-1))+
VALUE(MID(F2,FIND(",",F2)+1,FIND("]",F2)-FIND(",",F2)-1))+
VALUE(MID(G2,FIND(",",G2)+1,FIND("]",G2)-FIND(",",G2)-1))
)</f>
        <v>50.23</v>
      </c>
      <c r="M2" s="4">
        <f>(K2-L2)</f>
        <v>1.6100000000000065</v>
      </c>
      <c r="N2" s="4">
        <v>7.44</v>
      </c>
      <c r="O2" s="4">
        <v>0</v>
      </c>
      <c r="P2" s="4">
        <v>44</v>
      </c>
      <c r="Q2" s="4">
        <v>22.5</v>
      </c>
      <c r="R2" s="4">
        <v>8.1</v>
      </c>
      <c r="S2" s="4">
        <v>14.96</v>
      </c>
      <c r="T2" s="4">
        <v>-14.96</v>
      </c>
      <c r="U2" s="4">
        <v>0.65</v>
      </c>
      <c r="V2" s="4">
        <v>960.41</v>
      </c>
      <c r="W2" s="4">
        <v>251.42</v>
      </c>
      <c r="X2" s="4">
        <v>161.26</v>
      </c>
      <c r="Y2" s="4">
        <v>195.55</v>
      </c>
      <c r="Z2" s="4">
        <v>6.71</v>
      </c>
      <c r="AA2" s="4">
        <v>-0.08</v>
      </c>
      <c r="AB2" s="4">
        <v>7.96</v>
      </c>
      <c r="AC2" s="4">
        <v>-118</v>
      </c>
      <c r="AD2" s="4">
        <v>980</v>
      </c>
      <c r="AE2" s="4">
        <v>8765</v>
      </c>
      <c r="AF2" s="4">
        <v>108.62</v>
      </c>
      <c r="AG2" s="4">
        <v>0.88</v>
      </c>
      <c r="AH2" s="4">
        <v>-310.66000000000003</v>
      </c>
      <c r="AI2" s="4">
        <v>87.89</v>
      </c>
      <c r="AJ2" s="4">
        <v>60</v>
      </c>
      <c r="AK2" s="4">
        <v>9</v>
      </c>
      <c r="AL2" s="4">
        <v>9</v>
      </c>
      <c r="AM2" s="4">
        <v>0.52</v>
      </c>
      <c r="AN2" s="4">
        <v>588</v>
      </c>
      <c r="AO2" s="4">
        <v>592.64</v>
      </c>
      <c r="AP2" s="4">
        <v>254228.84</v>
      </c>
      <c r="AQ2" s="4">
        <v>251909.9</v>
      </c>
      <c r="AR2" s="4" t="s">
        <v>42</v>
      </c>
      <c r="AS2" s="5">
        <f t="shared" ref="AS2:AS251" si="0">(AP2-AQ2)/(365*24*2)</f>
        <v>0.13235958904109602</v>
      </c>
    </row>
    <row r="3" spans="1:45" ht="14.25" customHeight="1" x14ac:dyDescent="0.55000000000000004">
      <c r="A3" s="4">
        <v>0</v>
      </c>
      <c r="B3" s="4">
        <v>8.1</v>
      </c>
      <c r="C3" s="4">
        <v>1621.25</v>
      </c>
      <c r="D3" s="4">
        <v>7.8</v>
      </c>
      <c r="E3" s="4" t="s">
        <v>2610</v>
      </c>
      <c r="F3" s="4" t="s">
        <v>640</v>
      </c>
      <c r="G3" s="4" t="s">
        <v>2333</v>
      </c>
      <c r="H3" s="4" t="s">
        <v>2611</v>
      </c>
      <c r="I3" s="4">
        <v>0</v>
      </c>
      <c r="J3" s="4">
        <v>2312.75</v>
      </c>
      <c r="K3" s="4">
        <f t="shared" ref="K3:K66" si="1">IF(E3=0,0,
VALUE(MID(E3,2,FIND(",",E3)-2))+
VALUE(MID(F3,2,FIND(",",F3)-2))+
VALUE(MID(G3,2,FIND(",",G3)-2))
)</f>
        <v>51.03</v>
      </c>
      <c r="L3" s="4">
        <f t="shared" ref="L3:L66" si="2">IF(E3=0,0,
VALUE(MID(E3,FIND(",",E3)+1,FIND("]",E3)-FIND(",",E3)-1))+
VALUE(MID(F3,FIND(",",F3)+1,FIND("]",F3)-FIND(",",F3)-1))+
VALUE(MID(G3,FIND(",",G3)+1,FIND("]",G3)-FIND(",",G3)-1))
)</f>
        <v>51.03</v>
      </c>
      <c r="M3" s="4">
        <f t="shared" ref="M3:M66" si="3">(K3-L3)</f>
        <v>0</v>
      </c>
      <c r="N3" s="4">
        <v>7.44</v>
      </c>
      <c r="O3" s="4">
        <v>0</v>
      </c>
      <c r="P3" s="4">
        <v>46</v>
      </c>
      <c r="Q3" s="4">
        <v>21.7</v>
      </c>
      <c r="R3" s="4">
        <v>8.1</v>
      </c>
      <c r="S3" s="4">
        <v>14.59</v>
      </c>
      <c r="T3" s="4">
        <v>-14.59</v>
      </c>
      <c r="U3" s="4">
        <v>0.7</v>
      </c>
      <c r="V3" s="4">
        <v>1037.5999999999999</v>
      </c>
      <c r="W3" s="4">
        <v>271.48</v>
      </c>
      <c r="X3" s="4">
        <v>173.56</v>
      </c>
      <c r="Y3" s="4">
        <v>211.28</v>
      </c>
      <c r="Z3" s="4">
        <v>5.98</v>
      </c>
      <c r="AA3" s="4">
        <v>-0.02</v>
      </c>
      <c r="AB3" s="4">
        <v>7.83</v>
      </c>
      <c r="AC3" s="4">
        <v>-124.82</v>
      </c>
      <c r="AD3" s="4">
        <v>980</v>
      </c>
      <c r="AE3" s="4">
        <v>8765</v>
      </c>
      <c r="AF3" s="4">
        <v>108.62</v>
      </c>
      <c r="AG3" s="4">
        <v>0.88</v>
      </c>
      <c r="AH3" s="4">
        <v>-363.3</v>
      </c>
      <c r="AI3" s="4">
        <v>79.63</v>
      </c>
      <c r="AJ3" s="4">
        <v>60</v>
      </c>
      <c r="AK3" s="4">
        <v>9</v>
      </c>
      <c r="AL3" s="4">
        <v>9</v>
      </c>
      <c r="AM3" s="4">
        <v>0.56999999999999995</v>
      </c>
      <c r="AN3" s="4">
        <v>588</v>
      </c>
      <c r="AO3" s="4">
        <v>593.12</v>
      </c>
      <c r="AP3" s="4">
        <v>245250.97</v>
      </c>
      <c r="AQ3" s="4">
        <v>245250.97</v>
      </c>
      <c r="AR3" s="4" t="s">
        <v>47</v>
      </c>
      <c r="AS3" s="5">
        <f t="shared" si="0"/>
        <v>0</v>
      </c>
    </row>
    <row r="4" spans="1:45" ht="14.25" customHeight="1" x14ac:dyDescent="0.55000000000000004">
      <c r="A4" s="4">
        <v>0</v>
      </c>
      <c r="B4" s="4">
        <v>8.1</v>
      </c>
      <c r="C4" s="4">
        <v>753.22</v>
      </c>
      <c r="D4" s="4">
        <v>7.8</v>
      </c>
      <c r="E4" s="4" t="s">
        <v>2612</v>
      </c>
      <c r="F4" s="4" t="s">
        <v>2613</v>
      </c>
      <c r="G4" s="4" t="s">
        <v>2333</v>
      </c>
      <c r="H4" s="4" t="s">
        <v>2614</v>
      </c>
      <c r="I4" s="4">
        <v>0</v>
      </c>
      <c r="J4" s="4">
        <v>2113.7399999999998</v>
      </c>
      <c r="K4" s="4">
        <f t="shared" si="1"/>
        <v>65.740000000000009</v>
      </c>
      <c r="L4" s="4">
        <f t="shared" si="2"/>
        <v>51</v>
      </c>
      <c r="M4" s="4">
        <f t="shared" si="3"/>
        <v>14.740000000000009</v>
      </c>
      <c r="N4" s="4">
        <v>7.37</v>
      </c>
      <c r="O4" s="4">
        <v>0</v>
      </c>
      <c r="P4" s="4">
        <v>63</v>
      </c>
      <c r="Q4" s="4">
        <v>19.899999999999999</v>
      </c>
      <c r="R4" s="4">
        <v>8.1</v>
      </c>
      <c r="S4" s="4">
        <v>15.3</v>
      </c>
      <c r="T4" s="4">
        <v>-15.3</v>
      </c>
      <c r="U4" s="4">
        <v>0.36</v>
      </c>
      <c r="V4" s="4">
        <v>482.06</v>
      </c>
      <c r="W4" s="4">
        <v>126.5</v>
      </c>
      <c r="X4" s="4">
        <v>82.59</v>
      </c>
      <c r="Y4" s="4">
        <v>98.08</v>
      </c>
      <c r="Z4" s="4">
        <v>7.73</v>
      </c>
      <c r="AA4" s="4">
        <v>-0.64</v>
      </c>
      <c r="AB4" s="4">
        <v>9.07</v>
      </c>
      <c r="AC4" s="4">
        <v>-112.45</v>
      </c>
      <c r="AD4" s="4">
        <v>980</v>
      </c>
      <c r="AE4" s="4">
        <v>8765</v>
      </c>
      <c r="AF4" s="4">
        <v>108.62</v>
      </c>
      <c r="AG4" s="4">
        <v>0.88</v>
      </c>
      <c r="AH4" s="4">
        <v>-168.76</v>
      </c>
      <c r="AI4" s="4">
        <v>79.900000000000006</v>
      </c>
      <c r="AJ4" s="4">
        <v>60</v>
      </c>
      <c r="AK4" s="4">
        <v>9</v>
      </c>
      <c r="AL4" s="4">
        <v>9</v>
      </c>
      <c r="AM4" s="4">
        <v>0.56999999999999995</v>
      </c>
      <c r="AN4" s="4">
        <v>588</v>
      </c>
      <c r="AO4" s="4">
        <v>593.1</v>
      </c>
      <c r="AP4" s="4">
        <v>521484.79</v>
      </c>
      <c r="AQ4" s="4">
        <v>224283.22</v>
      </c>
      <c r="AR4" s="4" t="s">
        <v>52</v>
      </c>
      <c r="AS4" s="5">
        <f t="shared" si="0"/>
        <v>16.963559931506847</v>
      </c>
    </row>
    <row r="5" spans="1:45" ht="14.25" customHeight="1" x14ac:dyDescent="0.55000000000000004">
      <c r="A5" s="4">
        <v>0</v>
      </c>
      <c r="B5" s="4">
        <v>8.1</v>
      </c>
      <c r="C5" s="4">
        <v>1365.81</v>
      </c>
      <c r="D5" s="4">
        <v>7.8</v>
      </c>
      <c r="E5" s="4" t="s">
        <v>2615</v>
      </c>
      <c r="F5" s="4" t="s">
        <v>2616</v>
      </c>
      <c r="G5" s="4" t="s">
        <v>2333</v>
      </c>
      <c r="H5" s="4" t="s">
        <v>2617</v>
      </c>
      <c r="I5" s="4">
        <v>0</v>
      </c>
      <c r="J5" s="4">
        <v>2300.31</v>
      </c>
      <c r="K5" s="4">
        <f t="shared" si="1"/>
        <v>52.96</v>
      </c>
      <c r="L5" s="4">
        <f t="shared" si="2"/>
        <v>51</v>
      </c>
      <c r="M5" s="4">
        <f t="shared" si="3"/>
        <v>1.9600000000000009</v>
      </c>
      <c r="N5" s="4">
        <v>7.45</v>
      </c>
      <c r="O5" s="4">
        <v>0</v>
      </c>
      <c r="P5" s="4">
        <v>87</v>
      </c>
      <c r="Q5" s="4">
        <v>17.2</v>
      </c>
      <c r="R5" s="4">
        <v>8.1</v>
      </c>
      <c r="S5" s="4">
        <v>15.66</v>
      </c>
      <c r="T5" s="4">
        <v>-15.66</v>
      </c>
      <c r="U5" s="4">
        <v>0.59</v>
      </c>
      <c r="V5" s="4">
        <v>874.12</v>
      </c>
      <c r="W5" s="4">
        <v>229</v>
      </c>
      <c r="X5" s="4">
        <v>147.52000000000001</v>
      </c>
      <c r="Y5" s="4">
        <v>177.96</v>
      </c>
      <c r="Z5" s="4">
        <v>6.23</v>
      </c>
      <c r="AA5" s="4">
        <v>-0.15</v>
      </c>
      <c r="AB5" s="4">
        <v>8.11</v>
      </c>
      <c r="AC5" s="4">
        <v>-107.14</v>
      </c>
      <c r="AD5" s="4">
        <v>980</v>
      </c>
      <c r="AE5" s="4">
        <v>8765</v>
      </c>
      <c r="AF5" s="4">
        <v>108.62</v>
      </c>
      <c r="AG5" s="4">
        <v>0.88</v>
      </c>
      <c r="AH5" s="4">
        <v>-267.38</v>
      </c>
      <c r="AI5" s="4">
        <v>79.900000000000006</v>
      </c>
      <c r="AJ5" s="4">
        <v>60</v>
      </c>
      <c r="AK5" s="4">
        <v>9</v>
      </c>
      <c r="AL5" s="4">
        <v>9</v>
      </c>
      <c r="AM5" s="4">
        <v>0.56999999999999995</v>
      </c>
      <c r="AN5" s="4">
        <v>588</v>
      </c>
      <c r="AO5" s="4">
        <v>593.1</v>
      </c>
      <c r="AP5" s="4">
        <v>266556.08</v>
      </c>
      <c r="AQ5" s="4">
        <v>224283.22</v>
      </c>
      <c r="AR5" s="4" t="s">
        <v>57</v>
      </c>
      <c r="AS5" s="5">
        <f t="shared" si="0"/>
        <v>2.4128344748858455</v>
      </c>
    </row>
    <row r="6" spans="1:45" ht="14.25" customHeight="1" x14ac:dyDescent="0.55000000000000004">
      <c r="A6" s="4">
        <v>0</v>
      </c>
      <c r="B6" s="4">
        <v>8.1</v>
      </c>
      <c r="C6" s="4">
        <v>724.91</v>
      </c>
      <c r="D6" s="4">
        <v>7.8</v>
      </c>
      <c r="E6" s="4" t="s">
        <v>2618</v>
      </c>
      <c r="F6" s="4" t="s">
        <v>2619</v>
      </c>
      <c r="G6" s="4" t="s">
        <v>2333</v>
      </c>
      <c r="H6" s="4" t="s">
        <v>2620</v>
      </c>
      <c r="I6" s="4">
        <v>0</v>
      </c>
      <c r="J6" s="4">
        <v>2096.39</v>
      </c>
      <c r="K6" s="4">
        <f t="shared" si="1"/>
        <v>67.17</v>
      </c>
      <c r="L6" s="4">
        <f t="shared" si="2"/>
        <v>51</v>
      </c>
      <c r="M6" s="4">
        <f t="shared" si="3"/>
        <v>16.170000000000002</v>
      </c>
      <c r="N6" s="4">
        <v>7.36</v>
      </c>
      <c r="O6" s="4">
        <v>0</v>
      </c>
      <c r="P6" s="4">
        <v>63</v>
      </c>
      <c r="Q6" s="4">
        <v>19.600000000000001</v>
      </c>
      <c r="R6" s="4">
        <v>8.1</v>
      </c>
      <c r="S6" s="4">
        <v>15.03</v>
      </c>
      <c r="T6" s="4">
        <v>-15.03</v>
      </c>
      <c r="U6" s="4">
        <v>0.35</v>
      </c>
      <c r="V6" s="4">
        <v>463.94</v>
      </c>
      <c r="W6" s="4">
        <v>121.78</v>
      </c>
      <c r="X6" s="4">
        <v>79.66</v>
      </c>
      <c r="Y6" s="4">
        <v>94.38</v>
      </c>
      <c r="Z6" s="4">
        <v>7.9</v>
      </c>
      <c r="AA6" s="4">
        <v>-0.67</v>
      </c>
      <c r="AB6" s="4">
        <v>9.1300000000000008</v>
      </c>
      <c r="AC6" s="4">
        <v>-116.88</v>
      </c>
      <c r="AD6" s="4">
        <v>980</v>
      </c>
      <c r="AE6" s="4">
        <v>8765</v>
      </c>
      <c r="AF6" s="4">
        <v>108.62</v>
      </c>
      <c r="AG6" s="4">
        <v>0.88</v>
      </c>
      <c r="AH6" s="4">
        <v>-166.04</v>
      </c>
      <c r="AI6" s="4">
        <v>79.900000000000006</v>
      </c>
      <c r="AJ6" s="4">
        <v>60</v>
      </c>
      <c r="AK6" s="4">
        <v>9</v>
      </c>
      <c r="AL6" s="4">
        <v>9</v>
      </c>
      <c r="AM6" s="4">
        <v>0.56999999999999995</v>
      </c>
      <c r="AN6" s="4">
        <v>588</v>
      </c>
      <c r="AO6" s="4">
        <v>593.1</v>
      </c>
      <c r="AP6" s="4">
        <v>548694.64</v>
      </c>
      <c r="AQ6" s="4">
        <v>224283.22</v>
      </c>
      <c r="AR6" s="4" t="s">
        <v>62</v>
      </c>
      <c r="AS6" s="5">
        <f t="shared" si="0"/>
        <v>18.51663356164384</v>
      </c>
    </row>
    <row r="7" spans="1:45" ht="14.25" customHeight="1" x14ac:dyDescent="0.55000000000000004">
      <c r="A7" s="4">
        <v>0</v>
      </c>
      <c r="B7" s="4">
        <v>8.1</v>
      </c>
      <c r="C7" s="4">
        <v>651.73</v>
      </c>
      <c r="D7" s="4">
        <v>7.8</v>
      </c>
      <c r="E7" s="4" t="s">
        <v>2621</v>
      </c>
      <c r="F7" s="4" t="s">
        <v>2622</v>
      </c>
      <c r="G7" s="4" t="s">
        <v>2333</v>
      </c>
      <c r="H7" s="4" t="s">
        <v>2623</v>
      </c>
      <c r="I7" s="4">
        <v>0</v>
      </c>
      <c r="J7" s="4">
        <v>2044.84</v>
      </c>
      <c r="K7" s="4">
        <f t="shared" si="1"/>
        <v>71.930000000000007</v>
      </c>
      <c r="L7" s="4">
        <f t="shared" si="2"/>
        <v>51.95</v>
      </c>
      <c r="M7" s="4">
        <f t="shared" si="3"/>
        <v>19.980000000000004</v>
      </c>
      <c r="N7" s="4">
        <v>7.34</v>
      </c>
      <c r="O7" s="4">
        <v>0</v>
      </c>
      <c r="P7" s="4">
        <v>68</v>
      </c>
      <c r="Q7" s="4">
        <v>17.8</v>
      </c>
      <c r="R7" s="4">
        <v>8.1</v>
      </c>
      <c r="S7" s="4">
        <v>13.99</v>
      </c>
      <c r="T7" s="4">
        <v>-13.99</v>
      </c>
      <c r="U7" s="4">
        <v>0.32</v>
      </c>
      <c r="V7" s="4">
        <v>417.11</v>
      </c>
      <c r="W7" s="4">
        <v>109.6</v>
      </c>
      <c r="X7" s="4">
        <v>72.209999999999994</v>
      </c>
      <c r="Y7" s="4">
        <v>84.83</v>
      </c>
      <c r="Z7" s="4">
        <v>7.62</v>
      </c>
      <c r="AA7" s="4">
        <v>-0.75</v>
      </c>
      <c r="AB7" s="4">
        <v>9.3000000000000007</v>
      </c>
      <c r="AC7" s="4">
        <v>-137.46</v>
      </c>
      <c r="AD7" s="4">
        <v>980</v>
      </c>
      <c r="AE7" s="4">
        <v>8765</v>
      </c>
      <c r="AF7" s="4">
        <v>108.62</v>
      </c>
      <c r="AG7" s="4">
        <v>0.88</v>
      </c>
      <c r="AH7" s="4">
        <v>-159.44</v>
      </c>
      <c r="AI7" s="4">
        <v>71.91</v>
      </c>
      <c r="AJ7" s="4">
        <v>60</v>
      </c>
      <c r="AK7" s="4">
        <v>9</v>
      </c>
      <c r="AL7" s="4">
        <v>9</v>
      </c>
      <c r="AM7" s="4">
        <v>0.63</v>
      </c>
      <c r="AN7" s="4">
        <v>588</v>
      </c>
      <c r="AO7" s="4">
        <v>593.66999999999996</v>
      </c>
      <c r="AP7" s="4">
        <v>635371.46</v>
      </c>
      <c r="AQ7" s="4">
        <v>190517.28</v>
      </c>
      <c r="AR7" s="4" t="s">
        <v>67</v>
      </c>
      <c r="AS7" s="5">
        <f t="shared" si="0"/>
        <v>25.391220319634698</v>
      </c>
    </row>
    <row r="8" spans="1:45" ht="14.25" customHeight="1" x14ac:dyDescent="0.55000000000000004">
      <c r="A8" s="4">
        <v>0</v>
      </c>
      <c r="B8" s="4">
        <v>8.1</v>
      </c>
      <c r="C8" s="4">
        <v>784.96</v>
      </c>
      <c r="D8" s="4">
        <v>7.8</v>
      </c>
      <c r="E8" s="4" t="s">
        <v>2624</v>
      </c>
      <c r="F8" s="4" t="s">
        <v>2613</v>
      </c>
      <c r="G8" s="4" t="s">
        <v>2333</v>
      </c>
      <c r="H8" s="4" t="s">
        <v>2625</v>
      </c>
      <c r="I8" s="4">
        <v>0</v>
      </c>
      <c r="J8" s="4">
        <v>2119.91</v>
      </c>
      <c r="K8" s="4">
        <f t="shared" si="1"/>
        <v>64.33</v>
      </c>
      <c r="L8" s="4">
        <f t="shared" si="2"/>
        <v>51</v>
      </c>
      <c r="M8" s="4">
        <f t="shared" si="3"/>
        <v>13.329999999999998</v>
      </c>
      <c r="N8" s="4">
        <v>7.36</v>
      </c>
      <c r="O8" s="4">
        <v>0</v>
      </c>
      <c r="P8" s="4">
        <v>56</v>
      </c>
      <c r="Q8" s="4">
        <v>20.9</v>
      </c>
      <c r="R8" s="4">
        <v>8.1</v>
      </c>
      <c r="S8" s="4">
        <v>15.29</v>
      </c>
      <c r="T8" s="4">
        <v>-15.29</v>
      </c>
      <c r="U8" s="4">
        <v>0.37</v>
      </c>
      <c r="V8" s="4">
        <v>502.38</v>
      </c>
      <c r="W8" s="4">
        <v>131.71</v>
      </c>
      <c r="X8" s="4">
        <v>85.54</v>
      </c>
      <c r="Y8" s="4">
        <v>102.22</v>
      </c>
      <c r="Z8" s="4">
        <v>7.57</v>
      </c>
      <c r="AA8" s="4">
        <v>-0.61</v>
      </c>
      <c r="AB8" s="4">
        <v>9.01</v>
      </c>
      <c r="AC8" s="4">
        <v>-112.7</v>
      </c>
      <c r="AD8" s="4">
        <v>980</v>
      </c>
      <c r="AE8" s="4">
        <v>8765</v>
      </c>
      <c r="AF8" s="4">
        <v>108.62</v>
      </c>
      <c r="AG8" s="4">
        <v>0.88</v>
      </c>
      <c r="AH8" s="4">
        <v>-172.5</v>
      </c>
      <c r="AI8" s="4">
        <v>79.900000000000006</v>
      </c>
      <c r="AJ8" s="4">
        <v>60</v>
      </c>
      <c r="AK8" s="4">
        <v>9</v>
      </c>
      <c r="AL8" s="4">
        <v>9</v>
      </c>
      <c r="AM8" s="4">
        <v>0.56999999999999995</v>
      </c>
      <c r="AN8" s="4">
        <v>588</v>
      </c>
      <c r="AO8" s="4">
        <v>593.1</v>
      </c>
      <c r="AP8" s="4">
        <v>505879.39</v>
      </c>
      <c r="AQ8" s="4">
        <v>224283.22</v>
      </c>
      <c r="AR8" s="4" t="s">
        <v>72</v>
      </c>
      <c r="AS8" s="5">
        <f t="shared" si="0"/>
        <v>16.072840753424661</v>
      </c>
    </row>
    <row r="9" spans="1:45" ht="14.25" customHeight="1" x14ac:dyDescent="0.55000000000000004">
      <c r="A9" s="4">
        <v>0</v>
      </c>
      <c r="B9" s="4">
        <v>8.1</v>
      </c>
      <c r="C9" s="4">
        <v>1305.56</v>
      </c>
      <c r="D9" s="4">
        <v>7.8</v>
      </c>
      <c r="E9" s="4" t="s">
        <v>2626</v>
      </c>
      <c r="F9" s="4" t="s">
        <v>2616</v>
      </c>
      <c r="G9" s="4" t="s">
        <v>2333</v>
      </c>
      <c r="H9" s="4" t="s">
        <v>2627</v>
      </c>
      <c r="I9" s="4">
        <v>0</v>
      </c>
      <c r="J9" s="4">
        <v>2296.58</v>
      </c>
      <c r="K9" s="4">
        <f t="shared" si="1"/>
        <v>53.55</v>
      </c>
      <c r="L9" s="4">
        <f t="shared" si="2"/>
        <v>51</v>
      </c>
      <c r="M9" s="4">
        <f t="shared" si="3"/>
        <v>2.5499999999999972</v>
      </c>
      <c r="N9" s="4">
        <v>7.45</v>
      </c>
      <c r="O9" s="4">
        <v>0</v>
      </c>
      <c r="P9" s="4">
        <v>50</v>
      </c>
      <c r="Q9" s="4">
        <v>21.9</v>
      </c>
      <c r="R9" s="4">
        <v>8.1</v>
      </c>
      <c r="S9" s="4">
        <v>15.33</v>
      </c>
      <c r="T9" s="4">
        <v>-15.33</v>
      </c>
      <c r="U9" s="4">
        <v>0.56999999999999995</v>
      </c>
      <c r="V9" s="4">
        <v>835.56</v>
      </c>
      <c r="W9" s="4">
        <v>218.98</v>
      </c>
      <c r="X9" s="4">
        <v>141.38999999999999</v>
      </c>
      <c r="Y9" s="4">
        <v>170.1</v>
      </c>
      <c r="Z9" s="4">
        <v>6.3</v>
      </c>
      <c r="AA9" s="4">
        <v>-0.19</v>
      </c>
      <c r="AB9" s="4">
        <v>8.18</v>
      </c>
      <c r="AC9" s="4">
        <v>-111.99</v>
      </c>
      <c r="AD9" s="4">
        <v>980</v>
      </c>
      <c r="AE9" s="4">
        <v>8765</v>
      </c>
      <c r="AF9" s="4">
        <v>108.62</v>
      </c>
      <c r="AG9" s="4">
        <v>0.88</v>
      </c>
      <c r="AH9" s="4">
        <v>-251.72</v>
      </c>
      <c r="AI9" s="4">
        <v>79.900000000000006</v>
      </c>
      <c r="AJ9" s="4">
        <v>60</v>
      </c>
      <c r="AK9" s="4">
        <v>9</v>
      </c>
      <c r="AL9" s="4">
        <v>9</v>
      </c>
      <c r="AM9" s="4">
        <v>0.56999999999999995</v>
      </c>
      <c r="AN9" s="4">
        <v>588</v>
      </c>
      <c r="AO9" s="4">
        <v>593.1</v>
      </c>
      <c r="AP9" s="4">
        <v>273081.84000000003</v>
      </c>
      <c r="AQ9" s="4">
        <v>224283.22</v>
      </c>
      <c r="AR9" s="4" t="s">
        <v>77</v>
      </c>
      <c r="AS9" s="5">
        <f t="shared" si="0"/>
        <v>2.785309360730595</v>
      </c>
    </row>
    <row r="10" spans="1:45" ht="14.25" customHeight="1" x14ac:dyDescent="0.55000000000000004">
      <c r="A10" s="4">
        <v>0</v>
      </c>
      <c r="B10" s="4">
        <v>8.1</v>
      </c>
      <c r="C10" s="4">
        <v>1575.14</v>
      </c>
      <c r="D10" s="4">
        <v>7.8</v>
      </c>
      <c r="E10" s="4" t="s">
        <v>2628</v>
      </c>
      <c r="F10" s="4" t="s">
        <v>640</v>
      </c>
      <c r="G10" s="4" t="s">
        <v>2333</v>
      </c>
      <c r="H10" s="4" t="s">
        <v>85</v>
      </c>
      <c r="I10" s="4">
        <v>0</v>
      </c>
      <c r="J10" s="4">
        <v>2310.83</v>
      </c>
      <c r="K10" s="4">
        <f t="shared" si="1"/>
        <v>51.32</v>
      </c>
      <c r="L10" s="4">
        <f t="shared" si="2"/>
        <v>51.32</v>
      </c>
      <c r="M10" s="4">
        <f t="shared" si="3"/>
        <v>0</v>
      </c>
      <c r="N10" s="4">
        <v>7.44</v>
      </c>
      <c r="O10" s="4">
        <v>0</v>
      </c>
      <c r="P10" s="4">
        <v>49</v>
      </c>
      <c r="Q10" s="4">
        <v>20.8</v>
      </c>
      <c r="R10" s="4">
        <v>8.1</v>
      </c>
      <c r="S10" s="4">
        <v>14.25</v>
      </c>
      <c r="T10" s="4">
        <v>-14.25</v>
      </c>
      <c r="U10" s="4">
        <v>0.68</v>
      </c>
      <c r="V10" s="4">
        <v>1008.09</v>
      </c>
      <c r="W10" s="4">
        <v>263.81</v>
      </c>
      <c r="X10" s="4">
        <v>168.85</v>
      </c>
      <c r="Y10" s="4">
        <v>205.26</v>
      </c>
      <c r="Z10" s="4">
        <v>5.82</v>
      </c>
      <c r="AA10" s="4">
        <v>-0.04</v>
      </c>
      <c r="AB10" s="4">
        <v>7.88</v>
      </c>
      <c r="AC10" s="4">
        <v>-131.72</v>
      </c>
      <c r="AD10" s="4">
        <v>980</v>
      </c>
      <c r="AE10" s="4">
        <v>8765</v>
      </c>
      <c r="AF10" s="4">
        <v>108.62</v>
      </c>
      <c r="AG10" s="4">
        <v>0.88</v>
      </c>
      <c r="AH10" s="4">
        <v>-341.19</v>
      </c>
      <c r="AI10" s="4">
        <v>76.98</v>
      </c>
      <c r="AJ10" s="4">
        <v>60</v>
      </c>
      <c r="AK10" s="4">
        <v>9</v>
      </c>
      <c r="AL10" s="4">
        <v>9</v>
      </c>
      <c r="AM10" s="4">
        <v>0.59</v>
      </c>
      <c r="AN10" s="4">
        <v>588</v>
      </c>
      <c r="AO10" s="4">
        <v>593.29</v>
      </c>
      <c r="AP10" s="4">
        <v>248491.06</v>
      </c>
      <c r="AQ10" s="4">
        <v>248491.06</v>
      </c>
      <c r="AR10" s="4" t="s">
        <v>82</v>
      </c>
      <c r="AS10" s="5">
        <f t="shared" si="0"/>
        <v>0</v>
      </c>
    </row>
    <row r="11" spans="1:45" ht="14.25" customHeight="1" x14ac:dyDescent="0.55000000000000004">
      <c r="A11" s="4">
        <v>0</v>
      </c>
      <c r="B11" s="4">
        <v>8.1</v>
      </c>
      <c r="C11" s="4">
        <v>1600.6</v>
      </c>
      <c r="D11" s="4">
        <v>7.8</v>
      </c>
      <c r="E11" s="4" t="s">
        <v>2629</v>
      </c>
      <c r="F11" s="4" t="s">
        <v>640</v>
      </c>
      <c r="G11" s="4" t="s">
        <v>2333</v>
      </c>
      <c r="H11" s="4" t="s">
        <v>2630</v>
      </c>
      <c r="I11" s="4">
        <v>0</v>
      </c>
      <c r="J11" s="4">
        <v>2311.9</v>
      </c>
      <c r="K11" s="4">
        <f t="shared" si="1"/>
        <v>51.16</v>
      </c>
      <c r="L11" s="4">
        <f t="shared" si="2"/>
        <v>51.16</v>
      </c>
      <c r="M11" s="4">
        <f t="shared" si="3"/>
        <v>0</v>
      </c>
      <c r="N11" s="4">
        <v>7.44</v>
      </c>
      <c r="O11" s="4">
        <v>0</v>
      </c>
      <c r="P11" s="4">
        <v>47</v>
      </c>
      <c r="Q11" s="4">
        <v>22.2</v>
      </c>
      <c r="R11" s="4">
        <v>8.1</v>
      </c>
      <c r="S11" s="4">
        <v>15.16</v>
      </c>
      <c r="T11" s="4">
        <v>-15.16</v>
      </c>
      <c r="U11" s="4">
        <v>0.69</v>
      </c>
      <c r="V11" s="4">
        <v>1024.3800000000001</v>
      </c>
      <c r="W11" s="4">
        <v>268.04000000000002</v>
      </c>
      <c r="X11" s="4">
        <v>171.45</v>
      </c>
      <c r="Y11" s="4">
        <v>208.58</v>
      </c>
      <c r="Z11" s="4">
        <v>5.91</v>
      </c>
      <c r="AA11" s="4">
        <v>-0.03</v>
      </c>
      <c r="AB11" s="4">
        <v>7.85</v>
      </c>
      <c r="AC11" s="4">
        <v>-114.78</v>
      </c>
      <c r="AD11" s="4">
        <v>980</v>
      </c>
      <c r="AE11" s="4">
        <v>8765</v>
      </c>
      <c r="AF11" s="4">
        <v>108.62</v>
      </c>
      <c r="AG11" s="4">
        <v>0.88</v>
      </c>
      <c r="AH11" s="4">
        <v>-353.05</v>
      </c>
      <c r="AI11" s="4">
        <v>78.44</v>
      </c>
      <c r="AJ11" s="4">
        <v>60</v>
      </c>
      <c r="AK11" s="4">
        <v>9</v>
      </c>
      <c r="AL11" s="4">
        <v>9</v>
      </c>
      <c r="AM11" s="4">
        <v>0.57999999999999996</v>
      </c>
      <c r="AN11" s="4">
        <v>588</v>
      </c>
      <c r="AO11" s="4">
        <v>593.19000000000005</v>
      </c>
      <c r="AP11" s="4">
        <v>246674.93</v>
      </c>
      <c r="AQ11" s="4">
        <v>246674.93</v>
      </c>
      <c r="AR11" s="4" t="s">
        <v>1166</v>
      </c>
      <c r="AS11" s="5">
        <f t="shared" si="0"/>
        <v>0</v>
      </c>
    </row>
    <row r="12" spans="1:45" ht="14.25" customHeight="1" x14ac:dyDescent="0.55000000000000004">
      <c r="A12" s="4">
        <v>0</v>
      </c>
      <c r="B12" s="4">
        <v>8.1</v>
      </c>
      <c r="C12" s="4">
        <v>700.19</v>
      </c>
      <c r="D12" s="4">
        <v>7.8</v>
      </c>
      <c r="E12" s="4" t="s">
        <v>2631</v>
      </c>
      <c r="F12" s="4" t="s">
        <v>2632</v>
      </c>
      <c r="G12" s="4" t="s">
        <v>2333</v>
      </c>
      <c r="H12" s="4" t="s">
        <v>2633</v>
      </c>
      <c r="I12" s="4">
        <v>0</v>
      </c>
      <c r="J12" s="4">
        <v>2090.59</v>
      </c>
      <c r="K12" s="4">
        <f t="shared" si="1"/>
        <v>68.59</v>
      </c>
      <c r="L12" s="4">
        <f t="shared" si="2"/>
        <v>51.95</v>
      </c>
      <c r="M12" s="4">
        <f t="shared" si="3"/>
        <v>16.64</v>
      </c>
      <c r="N12" s="4">
        <v>7.37</v>
      </c>
      <c r="O12" s="4">
        <v>0</v>
      </c>
      <c r="P12" s="4">
        <v>65</v>
      </c>
      <c r="Q12" s="4">
        <v>18.399999999999999</v>
      </c>
      <c r="R12" s="4">
        <v>8.1</v>
      </c>
      <c r="S12" s="4">
        <v>14.18</v>
      </c>
      <c r="T12" s="4">
        <v>-14.18</v>
      </c>
      <c r="U12" s="4">
        <v>0.33</v>
      </c>
      <c r="V12" s="4">
        <v>448.12</v>
      </c>
      <c r="W12" s="4">
        <v>117.73</v>
      </c>
      <c r="X12" s="4">
        <v>77.41</v>
      </c>
      <c r="Y12" s="4">
        <v>91.16</v>
      </c>
      <c r="Z12" s="4">
        <v>7.26</v>
      </c>
      <c r="AA12" s="4">
        <v>-0.69</v>
      </c>
      <c r="AB12" s="4">
        <v>9.19</v>
      </c>
      <c r="AC12" s="4">
        <v>-133.15</v>
      </c>
      <c r="AD12" s="4">
        <v>980</v>
      </c>
      <c r="AE12" s="4">
        <v>8765</v>
      </c>
      <c r="AF12" s="4">
        <v>108.62</v>
      </c>
      <c r="AG12" s="4">
        <v>0.88</v>
      </c>
      <c r="AH12" s="4">
        <v>-163.33000000000001</v>
      </c>
      <c r="AI12" s="4">
        <v>71.91</v>
      </c>
      <c r="AJ12" s="4">
        <v>60</v>
      </c>
      <c r="AK12" s="4">
        <v>9</v>
      </c>
      <c r="AL12" s="4">
        <v>9</v>
      </c>
      <c r="AM12" s="4">
        <v>0.63</v>
      </c>
      <c r="AN12" s="4">
        <v>588</v>
      </c>
      <c r="AO12" s="4">
        <v>593.66999999999996</v>
      </c>
      <c r="AP12" s="4">
        <v>564299.6</v>
      </c>
      <c r="AQ12" s="4">
        <v>190517.28</v>
      </c>
      <c r="AR12" s="4" t="s">
        <v>87</v>
      </c>
      <c r="AS12" s="5">
        <f t="shared" si="0"/>
        <v>21.334607305936071</v>
      </c>
    </row>
    <row r="13" spans="1:45" ht="14.25" customHeight="1" x14ac:dyDescent="0.55000000000000004">
      <c r="A13" s="4">
        <v>0</v>
      </c>
      <c r="B13" s="4">
        <v>8.1</v>
      </c>
      <c r="C13" s="4">
        <v>751.71</v>
      </c>
      <c r="D13" s="4">
        <v>7.8</v>
      </c>
      <c r="E13" s="4" t="s">
        <v>2634</v>
      </c>
      <c r="F13" s="4" t="s">
        <v>2613</v>
      </c>
      <c r="G13" s="4" t="s">
        <v>2333</v>
      </c>
      <c r="H13" s="4" t="s">
        <v>2635</v>
      </c>
      <c r="I13" s="4">
        <v>0</v>
      </c>
      <c r="J13" s="4">
        <v>2113.4299999999998</v>
      </c>
      <c r="K13" s="4">
        <f t="shared" si="1"/>
        <v>65.81</v>
      </c>
      <c r="L13" s="4">
        <f t="shared" si="2"/>
        <v>51</v>
      </c>
      <c r="M13" s="4">
        <f t="shared" si="3"/>
        <v>14.810000000000002</v>
      </c>
      <c r="N13" s="4">
        <v>7.37</v>
      </c>
      <c r="O13" s="4">
        <v>0</v>
      </c>
      <c r="P13" s="4">
        <v>62</v>
      </c>
      <c r="Q13" s="4">
        <v>20.3</v>
      </c>
      <c r="R13" s="4">
        <v>8.1</v>
      </c>
      <c r="S13" s="4">
        <v>15.54</v>
      </c>
      <c r="T13" s="4">
        <v>-15.54</v>
      </c>
      <c r="U13" s="4">
        <v>0.36</v>
      </c>
      <c r="V13" s="4">
        <v>481.09</v>
      </c>
      <c r="W13" s="4">
        <v>126.25</v>
      </c>
      <c r="X13" s="4">
        <v>82.46</v>
      </c>
      <c r="Y13" s="4">
        <v>97.88</v>
      </c>
      <c r="Z13" s="4">
        <v>7.74</v>
      </c>
      <c r="AA13" s="4">
        <v>-0.64</v>
      </c>
      <c r="AB13" s="4">
        <v>9.08</v>
      </c>
      <c r="AC13" s="4">
        <v>-108.9</v>
      </c>
      <c r="AD13" s="4">
        <v>980</v>
      </c>
      <c r="AE13" s="4">
        <v>8765</v>
      </c>
      <c r="AF13" s="4">
        <v>108.62</v>
      </c>
      <c r="AG13" s="4">
        <v>0.88</v>
      </c>
      <c r="AH13" s="4">
        <v>-168.59</v>
      </c>
      <c r="AI13" s="4">
        <v>79.900000000000006</v>
      </c>
      <c r="AJ13" s="4">
        <v>60</v>
      </c>
      <c r="AK13" s="4">
        <v>9</v>
      </c>
      <c r="AL13" s="4">
        <v>9</v>
      </c>
      <c r="AM13" s="4">
        <v>0.56999999999999995</v>
      </c>
      <c r="AN13" s="4">
        <v>588</v>
      </c>
      <c r="AO13" s="4">
        <v>593.1</v>
      </c>
      <c r="AP13" s="4">
        <v>522277.73</v>
      </c>
      <c r="AQ13" s="4">
        <v>224283.22</v>
      </c>
      <c r="AR13" s="4" t="s">
        <v>91</v>
      </c>
      <c r="AS13" s="5">
        <f t="shared" si="0"/>
        <v>17.008819063926943</v>
      </c>
    </row>
    <row r="14" spans="1:45" ht="14.25" customHeight="1" x14ac:dyDescent="0.55000000000000004">
      <c r="A14" s="4">
        <v>0</v>
      </c>
      <c r="B14" s="4">
        <v>8.1</v>
      </c>
      <c r="C14" s="4">
        <v>1307.1600000000001</v>
      </c>
      <c r="D14" s="4">
        <v>7.8</v>
      </c>
      <c r="E14" s="4" t="s">
        <v>2636</v>
      </c>
      <c r="F14" s="4" t="s">
        <v>2637</v>
      </c>
      <c r="G14" s="4" t="s">
        <v>2333</v>
      </c>
      <c r="H14" s="4" t="s">
        <v>2638</v>
      </c>
      <c r="I14" s="4">
        <v>0</v>
      </c>
      <c r="J14" s="4">
        <v>2284.1999999999998</v>
      </c>
      <c r="K14" s="4">
        <f t="shared" si="1"/>
        <v>53.53</v>
      </c>
      <c r="L14" s="4">
        <f t="shared" si="2"/>
        <v>51</v>
      </c>
      <c r="M14" s="4">
        <f t="shared" si="3"/>
        <v>2.5300000000000011</v>
      </c>
      <c r="N14" s="4">
        <v>7.44</v>
      </c>
      <c r="O14" s="4">
        <v>0</v>
      </c>
      <c r="P14" s="4">
        <v>84</v>
      </c>
      <c r="Q14" s="4">
        <v>18.399999999999999</v>
      </c>
      <c r="R14" s="4">
        <v>8.1</v>
      </c>
      <c r="S14" s="4">
        <v>16.47</v>
      </c>
      <c r="T14" s="4">
        <v>-16.47</v>
      </c>
      <c r="U14" s="4">
        <v>0.56999999999999995</v>
      </c>
      <c r="V14" s="4">
        <v>836.58</v>
      </c>
      <c r="W14" s="4">
        <v>219.1</v>
      </c>
      <c r="X14" s="4">
        <v>140.94999999999999</v>
      </c>
      <c r="Y14" s="4">
        <v>170.32</v>
      </c>
      <c r="Z14" s="4">
        <v>6.3</v>
      </c>
      <c r="AA14" s="4">
        <v>-0.19</v>
      </c>
      <c r="AB14" s="4">
        <v>8.18</v>
      </c>
      <c r="AC14" s="4">
        <v>-96.74</v>
      </c>
      <c r="AD14" s="4">
        <v>980</v>
      </c>
      <c r="AE14" s="4">
        <v>8765</v>
      </c>
      <c r="AF14" s="4">
        <v>108.62</v>
      </c>
      <c r="AG14" s="4">
        <v>0.88</v>
      </c>
      <c r="AH14" s="4">
        <v>-253.95</v>
      </c>
      <c r="AI14" s="4">
        <v>79.900000000000006</v>
      </c>
      <c r="AJ14" s="4">
        <v>60</v>
      </c>
      <c r="AK14" s="4">
        <v>9</v>
      </c>
      <c r="AL14" s="4">
        <v>9</v>
      </c>
      <c r="AM14" s="4">
        <v>0.56999999999999995</v>
      </c>
      <c r="AN14" s="4">
        <v>588</v>
      </c>
      <c r="AO14" s="4">
        <v>593.1</v>
      </c>
      <c r="AP14" s="4">
        <v>284286.28000000003</v>
      </c>
      <c r="AQ14" s="4">
        <v>224283.22</v>
      </c>
      <c r="AR14" s="4" t="s">
        <v>96</v>
      </c>
      <c r="AS14" s="5">
        <f t="shared" si="0"/>
        <v>3.4248321917808235</v>
      </c>
    </row>
    <row r="15" spans="1:45" ht="14.25" customHeight="1" x14ac:dyDescent="0.55000000000000004">
      <c r="A15" s="4">
        <v>0</v>
      </c>
      <c r="B15" s="4">
        <v>8.1</v>
      </c>
      <c r="C15" s="4">
        <v>731.98</v>
      </c>
      <c r="D15" s="4">
        <v>7.8</v>
      </c>
      <c r="E15" s="4" t="s">
        <v>2639</v>
      </c>
      <c r="F15" s="4" t="s">
        <v>2613</v>
      </c>
      <c r="G15" s="4" t="s">
        <v>2333</v>
      </c>
      <c r="H15" s="4" t="s">
        <v>2640</v>
      </c>
      <c r="I15" s="4">
        <v>0</v>
      </c>
      <c r="J15" s="4">
        <v>2109.1999999999998</v>
      </c>
      <c r="K15" s="4">
        <f t="shared" si="1"/>
        <v>66.8</v>
      </c>
      <c r="L15" s="4">
        <f t="shared" si="2"/>
        <v>51</v>
      </c>
      <c r="M15" s="4">
        <f t="shared" si="3"/>
        <v>15.799999999999997</v>
      </c>
      <c r="N15" s="4">
        <v>7.37</v>
      </c>
      <c r="O15" s="4">
        <v>0</v>
      </c>
      <c r="P15" s="4">
        <v>64</v>
      </c>
      <c r="Q15" s="4">
        <v>18.8</v>
      </c>
      <c r="R15" s="4">
        <v>8.1</v>
      </c>
      <c r="S15" s="4">
        <v>14.43</v>
      </c>
      <c r="T15" s="4">
        <v>-14.43</v>
      </c>
      <c r="U15" s="4">
        <v>0.35</v>
      </c>
      <c r="V15" s="4">
        <v>468.47</v>
      </c>
      <c r="W15" s="4">
        <v>123.01</v>
      </c>
      <c r="X15" s="4">
        <v>80.63</v>
      </c>
      <c r="Y15" s="4">
        <v>95.3</v>
      </c>
      <c r="Z15" s="4">
        <v>7.86</v>
      </c>
      <c r="AA15" s="4">
        <v>-0.66</v>
      </c>
      <c r="AB15" s="4">
        <v>9.1199999999999992</v>
      </c>
      <c r="AC15" s="4">
        <v>-128.03</v>
      </c>
      <c r="AD15" s="4">
        <v>980</v>
      </c>
      <c r="AE15" s="4">
        <v>8765</v>
      </c>
      <c r="AF15" s="4">
        <v>108.62</v>
      </c>
      <c r="AG15" s="4">
        <v>0.88</v>
      </c>
      <c r="AH15" s="4">
        <v>-166.36</v>
      </c>
      <c r="AI15" s="4">
        <v>79.900000000000006</v>
      </c>
      <c r="AJ15" s="4">
        <v>60</v>
      </c>
      <c r="AK15" s="4">
        <v>9</v>
      </c>
      <c r="AL15" s="4">
        <v>9</v>
      </c>
      <c r="AM15" s="4">
        <v>0.56999999999999995</v>
      </c>
      <c r="AN15" s="4">
        <v>588</v>
      </c>
      <c r="AO15" s="4">
        <v>593.1</v>
      </c>
      <c r="AP15" s="4">
        <v>533167.1</v>
      </c>
      <c r="AQ15" s="4">
        <v>224283.22</v>
      </c>
      <c r="AR15" s="4" t="s">
        <v>101</v>
      </c>
      <c r="AS15" s="5">
        <f t="shared" si="0"/>
        <v>17.630358447488586</v>
      </c>
    </row>
    <row r="16" spans="1:45" ht="14.25" customHeight="1" x14ac:dyDescent="0.55000000000000004">
      <c r="A16" s="4">
        <v>0</v>
      </c>
      <c r="B16" s="4">
        <v>8.1</v>
      </c>
      <c r="C16" s="4">
        <v>858</v>
      </c>
      <c r="D16" s="4">
        <v>7.8</v>
      </c>
      <c r="E16" s="4" t="s">
        <v>2641</v>
      </c>
      <c r="F16" s="4" t="s">
        <v>2642</v>
      </c>
      <c r="G16" s="4" t="s">
        <v>2333</v>
      </c>
      <c r="H16" s="4" t="s">
        <v>2643</v>
      </c>
      <c r="I16" s="4">
        <v>0</v>
      </c>
      <c r="J16" s="4">
        <v>2143.61</v>
      </c>
      <c r="K16" s="4">
        <f t="shared" si="1"/>
        <v>61.66</v>
      </c>
      <c r="L16" s="4">
        <f t="shared" si="2"/>
        <v>51</v>
      </c>
      <c r="M16" s="4">
        <f t="shared" si="3"/>
        <v>10.659999999999997</v>
      </c>
      <c r="N16" s="4">
        <v>7.37</v>
      </c>
      <c r="O16" s="4">
        <v>0</v>
      </c>
      <c r="P16" s="4">
        <v>53</v>
      </c>
      <c r="Q16" s="4">
        <v>21.4</v>
      </c>
      <c r="R16" s="4">
        <v>8.1</v>
      </c>
      <c r="S16" s="4">
        <v>15.32</v>
      </c>
      <c r="T16" s="4">
        <v>-15.32</v>
      </c>
      <c r="U16" s="4">
        <v>0.4</v>
      </c>
      <c r="V16" s="4">
        <v>549.12</v>
      </c>
      <c r="W16" s="4">
        <v>143.81</v>
      </c>
      <c r="X16" s="4">
        <v>92.78</v>
      </c>
      <c r="Y16" s="4">
        <v>111.75</v>
      </c>
      <c r="Z16" s="4">
        <v>7.25</v>
      </c>
      <c r="AA16" s="4">
        <v>-0.54</v>
      </c>
      <c r="AB16" s="4">
        <v>8.8699999999999992</v>
      </c>
      <c r="AC16" s="4">
        <v>-112.2</v>
      </c>
      <c r="AD16" s="4">
        <v>980</v>
      </c>
      <c r="AE16" s="4">
        <v>8765</v>
      </c>
      <c r="AF16" s="4">
        <v>108.62</v>
      </c>
      <c r="AG16" s="4">
        <v>0.88</v>
      </c>
      <c r="AH16" s="4">
        <v>-181.12</v>
      </c>
      <c r="AI16" s="4">
        <v>79.900000000000006</v>
      </c>
      <c r="AJ16" s="4">
        <v>60</v>
      </c>
      <c r="AK16" s="4">
        <v>9</v>
      </c>
      <c r="AL16" s="4">
        <v>9</v>
      </c>
      <c r="AM16" s="4">
        <v>0.56999999999999995</v>
      </c>
      <c r="AN16" s="4">
        <v>588</v>
      </c>
      <c r="AO16" s="4">
        <v>593.1</v>
      </c>
      <c r="AP16" s="4">
        <v>465114.71</v>
      </c>
      <c r="AQ16" s="4">
        <v>224283.22</v>
      </c>
      <c r="AR16" s="4" t="s">
        <v>106</v>
      </c>
      <c r="AS16" s="5">
        <f t="shared" si="0"/>
        <v>13.746089611872147</v>
      </c>
    </row>
    <row r="17" spans="1:45" ht="14.25" customHeight="1" x14ac:dyDescent="0.55000000000000004">
      <c r="A17" s="4">
        <v>0</v>
      </c>
      <c r="B17" s="4">
        <v>8.1</v>
      </c>
      <c r="C17" s="4">
        <v>1400.35</v>
      </c>
      <c r="D17" s="4">
        <v>7.8</v>
      </c>
      <c r="E17" s="4" t="s">
        <v>2644</v>
      </c>
      <c r="F17" s="4" t="s">
        <v>2645</v>
      </c>
      <c r="G17" s="4" t="s">
        <v>2333</v>
      </c>
      <c r="H17" s="4" t="s">
        <v>2646</v>
      </c>
      <c r="I17" s="4">
        <v>0</v>
      </c>
      <c r="J17" s="4">
        <v>2289.71</v>
      </c>
      <c r="K17" s="4">
        <f t="shared" si="1"/>
        <v>52.65</v>
      </c>
      <c r="L17" s="4">
        <f t="shared" si="2"/>
        <v>50.23</v>
      </c>
      <c r="M17" s="4">
        <f t="shared" si="3"/>
        <v>2.4200000000000017</v>
      </c>
      <c r="N17" s="4">
        <v>7.43</v>
      </c>
      <c r="O17" s="4">
        <v>0</v>
      </c>
      <c r="P17" s="4">
        <v>69</v>
      </c>
      <c r="Q17" s="4">
        <v>18.600000000000001</v>
      </c>
      <c r="R17" s="4">
        <v>8.1</v>
      </c>
      <c r="S17" s="4">
        <v>14.85</v>
      </c>
      <c r="T17" s="4">
        <v>-14.85</v>
      </c>
      <c r="U17" s="4">
        <v>0.61</v>
      </c>
      <c r="V17" s="4">
        <v>896.22</v>
      </c>
      <c r="W17" s="4">
        <v>234.58</v>
      </c>
      <c r="X17" s="4">
        <v>150.38999999999999</v>
      </c>
      <c r="Y17" s="4">
        <v>182.47</v>
      </c>
      <c r="Z17" s="4">
        <v>6.81</v>
      </c>
      <c r="AA17" s="4">
        <v>-0.14000000000000001</v>
      </c>
      <c r="AB17" s="4">
        <v>8.07</v>
      </c>
      <c r="AC17" s="4">
        <v>-119.92</v>
      </c>
      <c r="AD17" s="4">
        <v>980</v>
      </c>
      <c r="AE17" s="4">
        <v>8765</v>
      </c>
      <c r="AF17" s="4">
        <v>108.62</v>
      </c>
      <c r="AG17" s="4">
        <v>0.88</v>
      </c>
      <c r="AH17" s="4">
        <v>-279.66000000000003</v>
      </c>
      <c r="AI17" s="4">
        <v>87.89</v>
      </c>
      <c r="AJ17" s="4">
        <v>60</v>
      </c>
      <c r="AK17" s="4">
        <v>9</v>
      </c>
      <c r="AL17" s="4">
        <v>9</v>
      </c>
      <c r="AM17" s="4">
        <v>0.52</v>
      </c>
      <c r="AN17" s="4">
        <v>588</v>
      </c>
      <c r="AO17" s="4">
        <v>592.64</v>
      </c>
      <c r="AP17" s="4">
        <v>274511.27</v>
      </c>
      <c r="AQ17" s="4">
        <v>251909.9</v>
      </c>
      <c r="AR17" s="4" t="s">
        <v>111</v>
      </c>
      <c r="AS17" s="5">
        <f t="shared" si="0"/>
        <v>1.2900325342465768</v>
      </c>
    </row>
    <row r="18" spans="1:45" ht="14.25" customHeight="1" x14ac:dyDescent="0.55000000000000004">
      <c r="A18" s="4">
        <v>0</v>
      </c>
      <c r="B18" s="4">
        <v>8.1</v>
      </c>
      <c r="C18" s="4">
        <v>1510.69</v>
      </c>
      <c r="D18" s="4">
        <v>7.8</v>
      </c>
      <c r="E18" s="4" t="s">
        <v>2647</v>
      </c>
      <c r="F18" s="4" t="s">
        <v>2608</v>
      </c>
      <c r="G18" s="4" t="s">
        <v>2333</v>
      </c>
      <c r="H18" s="4" t="s">
        <v>2648</v>
      </c>
      <c r="I18" s="4">
        <v>0</v>
      </c>
      <c r="J18" s="4">
        <v>2307.9299999999998</v>
      </c>
      <c r="K18" s="4">
        <f t="shared" si="1"/>
        <v>51.77</v>
      </c>
      <c r="L18" s="4">
        <f t="shared" si="2"/>
        <v>50.23</v>
      </c>
      <c r="M18" s="4">
        <f t="shared" si="3"/>
        <v>1.5400000000000063</v>
      </c>
      <c r="N18" s="4">
        <v>7.44</v>
      </c>
      <c r="O18" s="4">
        <v>0</v>
      </c>
      <c r="P18" s="4">
        <v>44</v>
      </c>
      <c r="Q18" s="4">
        <v>22.6</v>
      </c>
      <c r="R18" s="4">
        <v>8.1</v>
      </c>
      <c r="S18" s="4">
        <v>15.05</v>
      </c>
      <c r="T18" s="4">
        <v>-15.05</v>
      </c>
      <c r="U18" s="4">
        <v>0.65</v>
      </c>
      <c r="V18" s="4">
        <v>966.84</v>
      </c>
      <c r="W18" s="4">
        <v>253.09</v>
      </c>
      <c r="X18" s="4">
        <v>162.28</v>
      </c>
      <c r="Y18" s="4">
        <v>196.86</v>
      </c>
      <c r="Z18" s="4">
        <v>6.7</v>
      </c>
      <c r="AA18" s="4">
        <v>-7.0000000000000007E-2</v>
      </c>
      <c r="AB18" s="4">
        <v>7.95</v>
      </c>
      <c r="AC18" s="4">
        <v>-116.59</v>
      </c>
      <c r="AD18" s="4">
        <v>980</v>
      </c>
      <c r="AE18" s="4">
        <v>8765</v>
      </c>
      <c r="AF18" s="4">
        <v>108.62</v>
      </c>
      <c r="AG18" s="4">
        <v>0.88</v>
      </c>
      <c r="AH18" s="4">
        <v>-314.45999999999998</v>
      </c>
      <c r="AI18" s="4">
        <v>87.89</v>
      </c>
      <c r="AJ18" s="4">
        <v>60</v>
      </c>
      <c r="AK18" s="4">
        <v>9</v>
      </c>
      <c r="AL18" s="4">
        <v>9</v>
      </c>
      <c r="AM18" s="4">
        <v>0.52</v>
      </c>
      <c r="AN18" s="4">
        <v>588</v>
      </c>
      <c r="AO18" s="4">
        <v>592.64</v>
      </c>
      <c r="AP18" s="4">
        <v>253415.81</v>
      </c>
      <c r="AQ18" s="4">
        <v>251909.9</v>
      </c>
      <c r="AR18" s="4" t="s">
        <v>116</v>
      </c>
      <c r="AS18" s="5">
        <f t="shared" si="0"/>
        <v>8.5953767123287866E-2</v>
      </c>
    </row>
    <row r="19" spans="1:45" ht="14.25" customHeight="1" x14ac:dyDescent="0.55000000000000004">
      <c r="A19" s="4">
        <v>0</v>
      </c>
      <c r="B19" s="4">
        <v>8.1</v>
      </c>
      <c r="C19" s="4">
        <v>1507.9</v>
      </c>
      <c r="D19" s="4">
        <v>7.8</v>
      </c>
      <c r="E19" s="4" t="s">
        <v>2649</v>
      </c>
      <c r="F19" s="4" t="s">
        <v>2608</v>
      </c>
      <c r="G19" s="4" t="s">
        <v>2333</v>
      </c>
      <c r="H19" s="4" t="s">
        <v>2650</v>
      </c>
      <c r="I19" s="4">
        <v>0</v>
      </c>
      <c r="J19" s="4">
        <v>2307.8000000000002</v>
      </c>
      <c r="K19" s="4">
        <f t="shared" si="1"/>
        <v>51.79</v>
      </c>
      <c r="L19" s="4">
        <f t="shared" si="2"/>
        <v>50.23</v>
      </c>
      <c r="M19" s="4">
        <f t="shared" si="3"/>
        <v>1.5600000000000023</v>
      </c>
      <c r="N19" s="4">
        <v>7.44</v>
      </c>
      <c r="O19" s="4">
        <v>0</v>
      </c>
      <c r="P19" s="4">
        <v>48</v>
      </c>
      <c r="Q19" s="4">
        <v>21</v>
      </c>
      <c r="R19" s="4">
        <v>8.1</v>
      </c>
      <c r="S19" s="4">
        <v>14.28</v>
      </c>
      <c r="T19" s="4">
        <v>-14.28</v>
      </c>
      <c r="U19" s="4">
        <v>0.65</v>
      </c>
      <c r="V19" s="4">
        <v>965.06</v>
      </c>
      <c r="W19" s="4">
        <v>252.63</v>
      </c>
      <c r="X19" s="4">
        <v>162</v>
      </c>
      <c r="Y19" s="4">
        <v>196.49</v>
      </c>
      <c r="Z19" s="4">
        <v>6.7</v>
      </c>
      <c r="AA19" s="4">
        <v>-7.0000000000000007E-2</v>
      </c>
      <c r="AB19" s="4">
        <v>7.95</v>
      </c>
      <c r="AC19" s="4">
        <v>-131.04</v>
      </c>
      <c r="AD19" s="4">
        <v>980</v>
      </c>
      <c r="AE19" s="4">
        <v>8765</v>
      </c>
      <c r="AF19" s="4">
        <v>108.62</v>
      </c>
      <c r="AG19" s="4">
        <v>0.88</v>
      </c>
      <c r="AH19" s="4">
        <v>-313.39</v>
      </c>
      <c r="AI19" s="4">
        <v>87.89</v>
      </c>
      <c r="AJ19" s="4">
        <v>60</v>
      </c>
      <c r="AK19" s="4">
        <v>9</v>
      </c>
      <c r="AL19" s="4">
        <v>9</v>
      </c>
      <c r="AM19" s="4">
        <v>0.52</v>
      </c>
      <c r="AN19" s="4">
        <v>588</v>
      </c>
      <c r="AO19" s="4">
        <v>592.64</v>
      </c>
      <c r="AP19" s="4">
        <v>253639.99</v>
      </c>
      <c r="AQ19" s="4">
        <v>251909.9</v>
      </c>
      <c r="AR19" s="4" t="s">
        <v>121</v>
      </c>
      <c r="AS19" s="5">
        <f t="shared" si="0"/>
        <v>9.8749429223744092E-2</v>
      </c>
    </row>
    <row r="20" spans="1:45" ht="14.25" customHeight="1" x14ac:dyDescent="0.55000000000000004">
      <c r="A20" s="4">
        <v>0</v>
      </c>
      <c r="B20" s="4">
        <v>8.1</v>
      </c>
      <c r="C20" s="4">
        <v>1388.74</v>
      </c>
      <c r="D20" s="4">
        <v>7.8</v>
      </c>
      <c r="E20" s="4" t="s">
        <v>2651</v>
      </c>
      <c r="F20" s="4" t="s">
        <v>2637</v>
      </c>
      <c r="G20" s="4" t="s">
        <v>2333</v>
      </c>
      <c r="H20" s="4" t="s">
        <v>2652</v>
      </c>
      <c r="I20" s="4">
        <v>0</v>
      </c>
      <c r="J20" s="4">
        <v>2289.0700000000002</v>
      </c>
      <c r="K20" s="4">
        <f t="shared" si="1"/>
        <v>52.75</v>
      </c>
      <c r="L20" s="4">
        <f t="shared" si="2"/>
        <v>51</v>
      </c>
      <c r="M20" s="4">
        <f t="shared" si="3"/>
        <v>1.75</v>
      </c>
      <c r="N20" s="4">
        <v>7.43</v>
      </c>
      <c r="O20" s="4">
        <v>0</v>
      </c>
      <c r="P20" s="4">
        <v>66</v>
      </c>
      <c r="Q20" s="4">
        <v>18.5</v>
      </c>
      <c r="R20" s="4">
        <v>8.1</v>
      </c>
      <c r="S20" s="4">
        <v>14.4</v>
      </c>
      <c r="T20" s="4">
        <v>-14.4</v>
      </c>
      <c r="U20" s="4">
        <v>0.61</v>
      </c>
      <c r="V20" s="4">
        <v>888.79</v>
      </c>
      <c r="W20" s="4">
        <v>232.65</v>
      </c>
      <c r="X20" s="4">
        <v>149.21</v>
      </c>
      <c r="Y20" s="4">
        <v>180.96</v>
      </c>
      <c r="Z20" s="4">
        <v>6.21</v>
      </c>
      <c r="AA20" s="4">
        <v>-0.14000000000000001</v>
      </c>
      <c r="AB20" s="4">
        <v>8.08</v>
      </c>
      <c r="AC20" s="4">
        <v>-128.63</v>
      </c>
      <c r="AD20" s="4">
        <v>980</v>
      </c>
      <c r="AE20" s="4">
        <v>8765</v>
      </c>
      <c r="AF20" s="4">
        <v>108.62</v>
      </c>
      <c r="AG20" s="4">
        <v>0.88</v>
      </c>
      <c r="AH20" s="4">
        <v>-276.17</v>
      </c>
      <c r="AI20" s="4">
        <v>79.900000000000006</v>
      </c>
      <c r="AJ20" s="4">
        <v>60</v>
      </c>
      <c r="AK20" s="4">
        <v>9</v>
      </c>
      <c r="AL20" s="4">
        <v>9</v>
      </c>
      <c r="AM20" s="4">
        <v>0.56999999999999995</v>
      </c>
      <c r="AN20" s="4">
        <v>588</v>
      </c>
      <c r="AO20" s="4">
        <v>593.1</v>
      </c>
      <c r="AP20" s="4">
        <v>275642.40999999997</v>
      </c>
      <c r="AQ20" s="4">
        <v>224283.22</v>
      </c>
      <c r="AR20" s="4" t="s">
        <v>126</v>
      </c>
      <c r="AS20" s="5">
        <f t="shared" si="0"/>
        <v>2.9314606164383545</v>
      </c>
    </row>
    <row r="21" spans="1:45" ht="14.25" customHeight="1" x14ac:dyDescent="0.55000000000000004">
      <c r="A21" s="4">
        <v>0</v>
      </c>
      <c r="B21" s="4">
        <v>8.1</v>
      </c>
      <c r="C21" s="4">
        <v>1475.88</v>
      </c>
      <c r="D21" s="4">
        <v>7.8</v>
      </c>
      <c r="E21" s="4" t="s">
        <v>2653</v>
      </c>
      <c r="F21" s="4" t="s">
        <v>2608</v>
      </c>
      <c r="G21" s="4" t="s">
        <v>2333</v>
      </c>
      <c r="H21" s="4" t="s">
        <v>2654</v>
      </c>
      <c r="I21" s="4">
        <v>0</v>
      </c>
      <c r="J21" s="4">
        <v>2306.25</v>
      </c>
      <c r="K21" s="4">
        <f t="shared" si="1"/>
        <v>52.03</v>
      </c>
      <c r="L21" s="4">
        <f t="shared" si="2"/>
        <v>50.23</v>
      </c>
      <c r="M21" s="4">
        <f t="shared" si="3"/>
        <v>1.8000000000000043</v>
      </c>
      <c r="N21" s="4">
        <v>7.44</v>
      </c>
      <c r="O21" s="4">
        <v>0</v>
      </c>
      <c r="P21" s="4">
        <v>45</v>
      </c>
      <c r="Q21" s="4">
        <v>22.2</v>
      </c>
      <c r="R21" s="4">
        <v>8.1</v>
      </c>
      <c r="S21" s="4">
        <v>14.86</v>
      </c>
      <c r="T21" s="4">
        <v>-14.86</v>
      </c>
      <c r="U21" s="4">
        <v>0.64</v>
      </c>
      <c r="V21" s="4">
        <v>944.57</v>
      </c>
      <c r="W21" s="4">
        <v>247.3</v>
      </c>
      <c r="X21" s="4">
        <v>158.72999999999999</v>
      </c>
      <c r="Y21" s="4">
        <v>192.32</v>
      </c>
      <c r="Z21" s="4">
        <v>6.73</v>
      </c>
      <c r="AA21" s="4">
        <v>-0.09</v>
      </c>
      <c r="AB21" s="4">
        <v>7.98</v>
      </c>
      <c r="AC21" s="4">
        <v>-119.77</v>
      </c>
      <c r="AD21" s="4">
        <v>980</v>
      </c>
      <c r="AE21" s="4">
        <v>8765</v>
      </c>
      <c r="AF21" s="4">
        <v>108.62</v>
      </c>
      <c r="AG21" s="4">
        <v>0.88</v>
      </c>
      <c r="AH21" s="4">
        <v>-301.69</v>
      </c>
      <c r="AI21" s="4">
        <v>87.89</v>
      </c>
      <c r="AJ21" s="4">
        <v>60</v>
      </c>
      <c r="AK21" s="4">
        <v>9</v>
      </c>
      <c r="AL21" s="4">
        <v>9</v>
      </c>
      <c r="AM21" s="4">
        <v>0.52</v>
      </c>
      <c r="AN21" s="4">
        <v>588</v>
      </c>
      <c r="AO21" s="4">
        <v>592.64</v>
      </c>
      <c r="AP21" s="4">
        <v>256289.67</v>
      </c>
      <c r="AQ21" s="4">
        <v>251909.9</v>
      </c>
      <c r="AR21" s="4" t="s">
        <v>131</v>
      </c>
      <c r="AS21" s="5">
        <f t="shared" si="0"/>
        <v>0.24998687214611978</v>
      </c>
    </row>
    <row r="22" spans="1:45" ht="14.25" customHeight="1" x14ac:dyDescent="0.55000000000000004">
      <c r="A22" s="4">
        <v>0</v>
      </c>
      <c r="B22" s="4">
        <v>8.1</v>
      </c>
      <c r="C22" s="4">
        <v>687.16</v>
      </c>
      <c r="D22" s="4">
        <v>7.8</v>
      </c>
      <c r="E22" s="4" t="s">
        <v>2655</v>
      </c>
      <c r="F22" s="4" t="s">
        <v>2656</v>
      </c>
      <c r="G22" s="4" t="s">
        <v>2333</v>
      </c>
      <c r="H22" s="4" t="s">
        <v>2657</v>
      </c>
      <c r="I22" s="4">
        <v>0</v>
      </c>
      <c r="J22" s="4">
        <v>2076.2600000000002</v>
      </c>
      <c r="K22" s="4">
        <f t="shared" si="1"/>
        <v>69.400000000000006</v>
      </c>
      <c r="L22" s="4">
        <f t="shared" si="2"/>
        <v>51</v>
      </c>
      <c r="M22" s="4">
        <f t="shared" si="3"/>
        <v>18.400000000000006</v>
      </c>
      <c r="N22" s="4">
        <v>7.36</v>
      </c>
      <c r="O22" s="4">
        <v>0</v>
      </c>
      <c r="P22" s="4">
        <v>66</v>
      </c>
      <c r="Q22" s="4">
        <v>18.100000000000001</v>
      </c>
      <c r="R22" s="4">
        <v>8.1</v>
      </c>
      <c r="S22" s="4">
        <v>14.03</v>
      </c>
      <c r="T22" s="4">
        <v>-14.03</v>
      </c>
      <c r="U22" s="4">
        <v>0.33</v>
      </c>
      <c r="V22" s="4">
        <v>439.78</v>
      </c>
      <c r="W22" s="4">
        <v>115.52</v>
      </c>
      <c r="X22" s="4">
        <v>75.930000000000007</v>
      </c>
      <c r="Y22" s="4">
        <v>89.46</v>
      </c>
      <c r="Z22" s="4">
        <v>8.16</v>
      </c>
      <c r="AA22" s="4">
        <v>-0.71</v>
      </c>
      <c r="AB22" s="4">
        <v>9.2200000000000006</v>
      </c>
      <c r="AC22" s="4">
        <v>-136.61000000000001</v>
      </c>
      <c r="AD22" s="4">
        <v>980</v>
      </c>
      <c r="AE22" s="4">
        <v>8765</v>
      </c>
      <c r="AF22" s="4">
        <v>108.62</v>
      </c>
      <c r="AG22" s="4">
        <v>0.88</v>
      </c>
      <c r="AH22" s="4">
        <v>-162.36000000000001</v>
      </c>
      <c r="AI22" s="4">
        <v>79.900000000000006</v>
      </c>
      <c r="AJ22" s="4">
        <v>60</v>
      </c>
      <c r="AK22" s="4">
        <v>9</v>
      </c>
      <c r="AL22" s="4">
        <v>9</v>
      </c>
      <c r="AM22" s="4">
        <v>0.56999999999999995</v>
      </c>
      <c r="AN22" s="4">
        <v>588</v>
      </c>
      <c r="AO22" s="4">
        <v>593.1</v>
      </c>
      <c r="AP22" s="4">
        <v>584705.76</v>
      </c>
      <c r="AQ22" s="4">
        <v>224283.22</v>
      </c>
      <c r="AR22" s="4" t="s">
        <v>135</v>
      </c>
      <c r="AS22" s="5">
        <f t="shared" si="0"/>
        <v>20.57206278538813</v>
      </c>
    </row>
    <row r="23" spans="1:45" ht="14.25" customHeight="1" x14ac:dyDescent="0.55000000000000004">
      <c r="A23" s="4">
        <v>0</v>
      </c>
      <c r="B23" s="4">
        <v>8.1</v>
      </c>
      <c r="C23" s="4">
        <v>1761.43</v>
      </c>
      <c r="D23" s="4">
        <v>7.8</v>
      </c>
      <c r="E23" s="4" t="s">
        <v>2658</v>
      </c>
      <c r="F23" s="4" t="s">
        <v>640</v>
      </c>
      <c r="G23" s="4" t="s">
        <v>2333</v>
      </c>
      <c r="H23" s="4" t="s">
        <v>1973</v>
      </c>
      <c r="I23" s="4">
        <v>0</v>
      </c>
      <c r="J23" s="4">
        <v>2317.91</v>
      </c>
      <c r="K23" s="4">
        <f t="shared" si="1"/>
        <v>50.25</v>
      </c>
      <c r="L23" s="4">
        <f t="shared" si="2"/>
        <v>50.25</v>
      </c>
      <c r="M23" s="4">
        <f t="shared" si="3"/>
        <v>0</v>
      </c>
      <c r="N23" s="4">
        <v>7.44</v>
      </c>
      <c r="O23" s="4">
        <v>0</v>
      </c>
      <c r="P23" s="4">
        <v>44</v>
      </c>
      <c r="Q23" s="4">
        <v>22.9</v>
      </c>
      <c r="R23" s="4">
        <v>8.1</v>
      </c>
      <c r="S23" s="4">
        <v>15.3</v>
      </c>
      <c r="T23" s="4">
        <v>-15.3</v>
      </c>
      <c r="U23" s="4">
        <v>0.76</v>
      </c>
      <c r="V23" s="4">
        <v>1127.32</v>
      </c>
      <c r="W23" s="4">
        <v>294.79000000000002</v>
      </c>
      <c r="X23" s="4">
        <v>187.87</v>
      </c>
      <c r="Y23" s="4">
        <v>229.56</v>
      </c>
      <c r="Z23" s="4">
        <v>6.49</v>
      </c>
      <c r="AA23" s="4">
        <v>0.05</v>
      </c>
      <c r="AB23" s="4">
        <v>7.7</v>
      </c>
      <c r="AC23" s="4">
        <v>-112.54</v>
      </c>
      <c r="AD23" s="4">
        <v>980</v>
      </c>
      <c r="AE23" s="4">
        <v>8765</v>
      </c>
      <c r="AF23" s="4">
        <v>108.62</v>
      </c>
      <c r="AG23" s="4">
        <v>0.88</v>
      </c>
      <c r="AH23" s="4">
        <v>-452.46</v>
      </c>
      <c r="AI23" s="4">
        <v>87.68</v>
      </c>
      <c r="AJ23" s="4">
        <v>60</v>
      </c>
      <c r="AK23" s="4">
        <v>9</v>
      </c>
      <c r="AL23" s="4">
        <v>9</v>
      </c>
      <c r="AM23" s="4">
        <v>0.52</v>
      </c>
      <c r="AN23" s="4">
        <v>588</v>
      </c>
      <c r="AO23" s="4">
        <v>592.65</v>
      </c>
      <c r="AP23" s="4">
        <v>236608.75</v>
      </c>
      <c r="AQ23" s="4">
        <v>236608.75</v>
      </c>
      <c r="AR23" s="4" t="s">
        <v>140</v>
      </c>
      <c r="AS23" s="5">
        <f t="shared" si="0"/>
        <v>0</v>
      </c>
    </row>
    <row r="24" spans="1:45" ht="14.25" customHeight="1" x14ac:dyDescent="0.55000000000000004">
      <c r="A24" s="4">
        <v>0</v>
      </c>
      <c r="B24" s="4">
        <v>8.1</v>
      </c>
      <c r="C24" s="4">
        <v>1191.31</v>
      </c>
      <c r="D24" s="4">
        <v>7.8</v>
      </c>
      <c r="E24" s="4" t="s">
        <v>2659</v>
      </c>
      <c r="F24" s="4" t="s">
        <v>2637</v>
      </c>
      <c r="G24" s="4" t="s">
        <v>2333</v>
      </c>
      <c r="H24" s="4" t="s">
        <v>2660</v>
      </c>
      <c r="I24" s="4">
        <v>0</v>
      </c>
      <c r="J24" s="4">
        <v>2275.98</v>
      </c>
      <c r="K24" s="4">
        <f t="shared" si="1"/>
        <v>54.88</v>
      </c>
      <c r="L24" s="4">
        <f t="shared" si="2"/>
        <v>51</v>
      </c>
      <c r="M24" s="4">
        <f t="shared" si="3"/>
        <v>3.8800000000000026</v>
      </c>
      <c r="N24" s="4">
        <v>7.44</v>
      </c>
      <c r="O24" s="4">
        <v>0</v>
      </c>
      <c r="P24" s="4">
        <v>86</v>
      </c>
      <c r="Q24" s="4">
        <v>17.100000000000001</v>
      </c>
      <c r="R24" s="4">
        <v>8.1</v>
      </c>
      <c r="S24" s="4">
        <v>15.45</v>
      </c>
      <c r="T24" s="4">
        <v>-15.45</v>
      </c>
      <c r="U24" s="4">
        <v>0.52</v>
      </c>
      <c r="V24" s="4">
        <v>762.44</v>
      </c>
      <c r="W24" s="4">
        <v>199.86</v>
      </c>
      <c r="X24" s="4">
        <v>129.25</v>
      </c>
      <c r="Y24" s="4">
        <v>155.21</v>
      </c>
      <c r="Z24" s="4">
        <v>6.46</v>
      </c>
      <c r="AA24" s="4">
        <v>-0.26</v>
      </c>
      <c r="AB24" s="4">
        <v>8.33</v>
      </c>
      <c r="AC24" s="4">
        <v>-110.27</v>
      </c>
      <c r="AD24" s="4">
        <v>980</v>
      </c>
      <c r="AE24" s="4">
        <v>8765</v>
      </c>
      <c r="AF24" s="4">
        <v>108.62</v>
      </c>
      <c r="AG24" s="4">
        <v>0.88</v>
      </c>
      <c r="AH24" s="4">
        <v>-227.93</v>
      </c>
      <c r="AI24" s="4">
        <v>79.900000000000006</v>
      </c>
      <c r="AJ24" s="4">
        <v>60</v>
      </c>
      <c r="AK24" s="4">
        <v>9</v>
      </c>
      <c r="AL24" s="4">
        <v>9</v>
      </c>
      <c r="AM24" s="4">
        <v>0.56999999999999995</v>
      </c>
      <c r="AN24" s="4">
        <v>588</v>
      </c>
      <c r="AO24" s="4">
        <v>593.1</v>
      </c>
      <c r="AP24" s="4">
        <v>299142.12</v>
      </c>
      <c r="AQ24" s="4">
        <v>224283.22</v>
      </c>
      <c r="AR24" s="4" t="s">
        <v>145</v>
      </c>
      <c r="AS24" s="5">
        <f t="shared" si="0"/>
        <v>4.2727682648401819</v>
      </c>
    </row>
    <row r="25" spans="1:45" ht="14.25" customHeight="1" x14ac:dyDescent="0.55000000000000004">
      <c r="A25" s="4">
        <v>0</v>
      </c>
      <c r="B25" s="4">
        <v>8.1</v>
      </c>
      <c r="C25" s="4">
        <v>1525.45</v>
      </c>
      <c r="D25" s="4">
        <v>7.8</v>
      </c>
      <c r="E25" s="4" t="s">
        <v>2661</v>
      </c>
      <c r="F25" s="4" t="s">
        <v>2608</v>
      </c>
      <c r="G25" s="4" t="s">
        <v>2333</v>
      </c>
      <c r="H25" s="4" t="s">
        <v>2662</v>
      </c>
      <c r="I25" s="4">
        <v>0</v>
      </c>
      <c r="J25" s="4">
        <v>2308.62</v>
      </c>
      <c r="K25" s="4">
        <f t="shared" si="1"/>
        <v>51.66</v>
      </c>
      <c r="L25" s="4">
        <f t="shared" si="2"/>
        <v>50.23</v>
      </c>
      <c r="M25" s="4">
        <f t="shared" si="3"/>
        <v>1.4299999999999997</v>
      </c>
      <c r="N25" s="4">
        <v>7.44</v>
      </c>
      <c r="O25" s="4">
        <v>0</v>
      </c>
      <c r="P25" s="4">
        <v>46</v>
      </c>
      <c r="Q25" s="4">
        <v>22.2</v>
      </c>
      <c r="R25" s="4">
        <v>8.1</v>
      </c>
      <c r="S25" s="4">
        <v>15.01</v>
      </c>
      <c r="T25" s="4">
        <v>-15.01</v>
      </c>
      <c r="U25" s="4">
        <v>0.66</v>
      </c>
      <c r="V25" s="4">
        <v>976.29</v>
      </c>
      <c r="W25" s="4">
        <v>255.54</v>
      </c>
      <c r="X25" s="4">
        <v>163.79</v>
      </c>
      <c r="Y25" s="4">
        <v>198.78</v>
      </c>
      <c r="Z25" s="4">
        <v>6.69</v>
      </c>
      <c r="AA25" s="4">
        <v>-0.06</v>
      </c>
      <c r="AB25" s="4">
        <v>7.93</v>
      </c>
      <c r="AC25" s="4">
        <v>-117.21</v>
      </c>
      <c r="AD25" s="4">
        <v>980</v>
      </c>
      <c r="AE25" s="4">
        <v>8765</v>
      </c>
      <c r="AF25" s="4">
        <v>108.62</v>
      </c>
      <c r="AG25" s="4">
        <v>0.88</v>
      </c>
      <c r="AH25" s="4">
        <v>-320.2</v>
      </c>
      <c r="AI25" s="4">
        <v>87.89</v>
      </c>
      <c r="AJ25" s="4">
        <v>60</v>
      </c>
      <c r="AK25" s="4">
        <v>9</v>
      </c>
      <c r="AL25" s="4">
        <v>9</v>
      </c>
      <c r="AM25" s="4">
        <v>0.52</v>
      </c>
      <c r="AN25" s="4">
        <v>588</v>
      </c>
      <c r="AO25" s="4">
        <v>592.64</v>
      </c>
      <c r="AP25" s="4">
        <v>252244.28</v>
      </c>
      <c r="AQ25" s="4">
        <v>251909.9</v>
      </c>
      <c r="AR25" s="4" t="s">
        <v>149</v>
      </c>
      <c r="AS25" s="5">
        <f t="shared" si="0"/>
        <v>1.9085616438356431E-2</v>
      </c>
    </row>
    <row r="26" spans="1:45" ht="14.25" customHeight="1" x14ac:dyDescent="0.55000000000000004">
      <c r="A26" s="4">
        <v>0</v>
      </c>
      <c r="B26" s="4">
        <v>8.1</v>
      </c>
      <c r="C26" s="4">
        <v>707.99</v>
      </c>
      <c r="D26" s="4">
        <v>7.8</v>
      </c>
      <c r="E26" s="4" t="s">
        <v>2663</v>
      </c>
      <c r="F26" s="4" t="s">
        <v>2664</v>
      </c>
      <c r="G26" s="4" t="s">
        <v>2333</v>
      </c>
      <c r="H26" s="4" t="s">
        <v>2665</v>
      </c>
      <c r="I26" s="4">
        <v>0</v>
      </c>
      <c r="J26" s="4">
        <v>2047.93</v>
      </c>
      <c r="K26" s="4">
        <f t="shared" si="1"/>
        <v>68.12</v>
      </c>
      <c r="L26" s="4">
        <f t="shared" si="2"/>
        <v>51</v>
      </c>
      <c r="M26" s="4">
        <f t="shared" si="3"/>
        <v>17.120000000000005</v>
      </c>
      <c r="N26" s="4">
        <v>7.32</v>
      </c>
      <c r="O26" s="4">
        <v>0</v>
      </c>
      <c r="P26" s="4">
        <v>68</v>
      </c>
      <c r="Q26" s="4">
        <v>17.8</v>
      </c>
      <c r="R26" s="4">
        <v>8.1</v>
      </c>
      <c r="S26" s="4">
        <v>13.99</v>
      </c>
      <c r="T26" s="4">
        <v>-13.99</v>
      </c>
      <c r="U26" s="4">
        <v>0.35</v>
      </c>
      <c r="V26" s="4">
        <v>453.11</v>
      </c>
      <c r="W26" s="4">
        <v>118.69</v>
      </c>
      <c r="X26" s="4">
        <v>76.849999999999994</v>
      </c>
      <c r="Y26" s="4">
        <v>92.18</v>
      </c>
      <c r="Z26" s="4">
        <v>8.01</v>
      </c>
      <c r="AA26" s="4">
        <v>-0.69</v>
      </c>
      <c r="AB26" s="4">
        <v>9.19</v>
      </c>
      <c r="AC26" s="4">
        <v>-137.46</v>
      </c>
      <c r="AD26" s="4">
        <v>980</v>
      </c>
      <c r="AE26" s="4">
        <v>8765</v>
      </c>
      <c r="AF26" s="4">
        <v>108.62</v>
      </c>
      <c r="AG26" s="4">
        <v>0.88</v>
      </c>
      <c r="AH26" s="4">
        <v>-166.02</v>
      </c>
      <c r="AI26" s="4">
        <v>79.900000000000006</v>
      </c>
      <c r="AJ26" s="4">
        <v>60</v>
      </c>
      <c r="AK26" s="4">
        <v>9</v>
      </c>
      <c r="AL26" s="4">
        <v>9</v>
      </c>
      <c r="AM26" s="4">
        <v>0.56999999999999995</v>
      </c>
      <c r="AN26" s="4">
        <v>588</v>
      </c>
      <c r="AO26" s="4">
        <v>593.1</v>
      </c>
      <c r="AP26" s="4">
        <v>604729.71</v>
      </c>
      <c r="AQ26" s="4">
        <v>224283.22</v>
      </c>
      <c r="AR26" s="4" t="s">
        <v>154</v>
      </c>
      <c r="AS26" s="5">
        <f t="shared" si="0"/>
        <v>21.714982305936072</v>
      </c>
    </row>
    <row r="27" spans="1:45" ht="14.25" customHeight="1" x14ac:dyDescent="0.55000000000000004">
      <c r="A27" s="4">
        <v>0</v>
      </c>
      <c r="B27" s="4">
        <v>8.1</v>
      </c>
      <c r="C27" s="4">
        <v>743.44</v>
      </c>
      <c r="D27" s="4">
        <v>7.8</v>
      </c>
      <c r="E27" s="4" t="s">
        <v>2666</v>
      </c>
      <c r="F27" s="4" t="s">
        <v>2613</v>
      </c>
      <c r="G27" s="4" t="s">
        <v>2333</v>
      </c>
      <c r="H27" s="4" t="s">
        <v>2667</v>
      </c>
      <c r="I27" s="4">
        <v>0</v>
      </c>
      <c r="J27" s="4">
        <v>2111.69</v>
      </c>
      <c r="K27" s="4">
        <f t="shared" si="1"/>
        <v>66.210000000000008</v>
      </c>
      <c r="L27" s="4">
        <f t="shared" si="2"/>
        <v>51</v>
      </c>
      <c r="M27" s="4">
        <f t="shared" si="3"/>
        <v>15.210000000000008</v>
      </c>
      <c r="N27" s="4">
        <v>7.37</v>
      </c>
      <c r="O27" s="4">
        <v>0</v>
      </c>
      <c r="P27" s="4">
        <v>63</v>
      </c>
      <c r="Q27" s="4">
        <v>19.3</v>
      </c>
      <c r="R27" s="4">
        <v>8.1</v>
      </c>
      <c r="S27" s="4">
        <v>14.76</v>
      </c>
      <c r="T27" s="4">
        <v>-14.76</v>
      </c>
      <c r="U27" s="4">
        <v>0.35</v>
      </c>
      <c r="V27" s="4">
        <v>475.8</v>
      </c>
      <c r="W27" s="4">
        <v>124.89</v>
      </c>
      <c r="X27" s="4">
        <v>81.69</v>
      </c>
      <c r="Y27" s="4">
        <v>96.8</v>
      </c>
      <c r="Z27" s="4">
        <v>7.79</v>
      </c>
      <c r="AA27" s="4">
        <v>-0.65</v>
      </c>
      <c r="AB27" s="4">
        <v>9.09</v>
      </c>
      <c r="AC27" s="4">
        <v>-121.66</v>
      </c>
      <c r="AD27" s="4">
        <v>980</v>
      </c>
      <c r="AE27" s="4">
        <v>8765</v>
      </c>
      <c r="AF27" s="4">
        <v>108.62</v>
      </c>
      <c r="AG27" s="4">
        <v>0.88</v>
      </c>
      <c r="AH27" s="4">
        <v>-167.65</v>
      </c>
      <c r="AI27" s="4">
        <v>79.900000000000006</v>
      </c>
      <c r="AJ27" s="4">
        <v>60</v>
      </c>
      <c r="AK27" s="4">
        <v>9</v>
      </c>
      <c r="AL27" s="4">
        <v>9</v>
      </c>
      <c r="AM27" s="4">
        <v>0.56999999999999995</v>
      </c>
      <c r="AN27" s="4">
        <v>588</v>
      </c>
      <c r="AO27" s="4">
        <v>593.1</v>
      </c>
      <c r="AP27" s="4">
        <v>526727.76</v>
      </c>
      <c r="AQ27" s="4">
        <v>224283.22</v>
      </c>
      <c r="AR27" s="4" t="s">
        <v>158</v>
      </c>
      <c r="AS27" s="5">
        <f t="shared" si="0"/>
        <v>17.262816210045663</v>
      </c>
    </row>
    <row r="28" spans="1:45" ht="14.25" customHeight="1" x14ac:dyDescent="0.55000000000000004">
      <c r="A28" s="4">
        <v>0</v>
      </c>
      <c r="B28" s="4">
        <v>8.1</v>
      </c>
      <c r="C28" s="4">
        <v>1140.97</v>
      </c>
      <c r="D28" s="4">
        <v>7.8</v>
      </c>
      <c r="E28" s="4" t="s">
        <v>2668</v>
      </c>
      <c r="F28" s="4" t="s">
        <v>2637</v>
      </c>
      <c r="G28" s="4" t="s">
        <v>2333</v>
      </c>
      <c r="H28" s="4" t="s">
        <v>2669</v>
      </c>
      <c r="I28" s="4">
        <v>0</v>
      </c>
      <c r="J28" s="4">
        <v>2271.81</v>
      </c>
      <c r="K28" s="4">
        <f t="shared" si="1"/>
        <v>55.58</v>
      </c>
      <c r="L28" s="4">
        <f t="shared" si="2"/>
        <v>51</v>
      </c>
      <c r="M28" s="4">
        <f t="shared" si="3"/>
        <v>4.5799999999999983</v>
      </c>
      <c r="N28" s="4">
        <v>7.44</v>
      </c>
      <c r="O28" s="4">
        <v>0</v>
      </c>
      <c r="P28" s="4">
        <v>86</v>
      </c>
      <c r="Q28" s="4">
        <v>16.8</v>
      </c>
      <c r="R28" s="4">
        <v>8.1</v>
      </c>
      <c r="S28" s="4">
        <v>15.15</v>
      </c>
      <c r="T28" s="4">
        <v>-15.15</v>
      </c>
      <c r="U28" s="4">
        <v>0.5</v>
      </c>
      <c r="V28" s="4">
        <v>730.22</v>
      </c>
      <c r="W28" s="4">
        <v>191.5</v>
      </c>
      <c r="X28" s="4">
        <v>124.17</v>
      </c>
      <c r="Y28" s="4">
        <v>148.63999999999999</v>
      </c>
      <c r="Z28" s="4">
        <v>6.54</v>
      </c>
      <c r="AA28" s="4">
        <v>-0.3</v>
      </c>
      <c r="AB28" s="4">
        <v>8.4</v>
      </c>
      <c r="AC28" s="4">
        <v>-114.85</v>
      </c>
      <c r="AD28" s="4">
        <v>980</v>
      </c>
      <c r="AE28" s="4">
        <v>8765</v>
      </c>
      <c r="AF28" s="4">
        <v>108.62</v>
      </c>
      <c r="AG28" s="4">
        <v>0.88</v>
      </c>
      <c r="AH28" s="4">
        <v>-218.22</v>
      </c>
      <c r="AI28" s="4">
        <v>79.900000000000006</v>
      </c>
      <c r="AJ28" s="4">
        <v>60</v>
      </c>
      <c r="AK28" s="4">
        <v>9</v>
      </c>
      <c r="AL28" s="4">
        <v>9</v>
      </c>
      <c r="AM28" s="4">
        <v>0.56999999999999995</v>
      </c>
      <c r="AN28" s="4">
        <v>588</v>
      </c>
      <c r="AO28" s="4">
        <v>593.1</v>
      </c>
      <c r="AP28" s="4">
        <v>306806.19</v>
      </c>
      <c r="AQ28" s="4">
        <v>224283.22</v>
      </c>
      <c r="AR28" s="4" t="s">
        <v>163</v>
      </c>
      <c r="AS28" s="5">
        <f t="shared" si="0"/>
        <v>4.710215182648402</v>
      </c>
    </row>
    <row r="29" spans="1:45" ht="14.25" customHeight="1" x14ac:dyDescent="0.55000000000000004">
      <c r="A29" s="4">
        <v>0</v>
      </c>
      <c r="B29" s="4">
        <v>8.1</v>
      </c>
      <c r="C29" s="4">
        <v>1794.84</v>
      </c>
      <c r="D29" s="4">
        <v>7.8</v>
      </c>
      <c r="E29" s="4" t="s">
        <v>2670</v>
      </c>
      <c r="F29" s="4" t="s">
        <v>2671</v>
      </c>
      <c r="G29" s="4" t="s">
        <v>2333</v>
      </c>
      <c r="H29" s="4" t="s">
        <v>2672</v>
      </c>
      <c r="I29" s="4">
        <v>0</v>
      </c>
      <c r="J29" s="4">
        <v>2061.92</v>
      </c>
      <c r="K29" s="4">
        <f t="shared" si="1"/>
        <v>50.08</v>
      </c>
      <c r="L29" s="4">
        <f t="shared" si="2"/>
        <v>46.55</v>
      </c>
      <c r="M29" s="4">
        <f t="shared" si="3"/>
        <v>3.5300000000000011</v>
      </c>
      <c r="N29" s="4">
        <v>7.18</v>
      </c>
      <c r="O29" s="4">
        <v>0</v>
      </c>
      <c r="P29" s="4">
        <v>70</v>
      </c>
      <c r="Q29" s="4">
        <v>22.6</v>
      </c>
      <c r="R29" s="4">
        <v>8.1</v>
      </c>
      <c r="S29" s="4">
        <v>18.7</v>
      </c>
      <c r="T29" s="4">
        <v>-18.7</v>
      </c>
      <c r="U29" s="4">
        <v>0.87</v>
      </c>
      <c r="V29" s="4">
        <v>1148.7</v>
      </c>
      <c r="W29" s="4">
        <v>295.58</v>
      </c>
      <c r="X29" s="4">
        <v>172.02</v>
      </c>
      <c r="Y29" s="4">
        <v>234.05</v>
      </c>
      <c r="Z29" s="4">
        <v>12.37</v>
      </c>
      <c r="AA29" s="4">
        <v>0.01</v>
      </c>
      <c r="AB29" s="4">
        <v>7.77</v>
      </c>
      <c r="AC29" s="4">
        <v>-76.400000000000006</v>
      </c>
      <c r="AD29" s="4">
        <v>980</v>
      </c>
      <c r="AE29" s="4">
        <v>8765</v>
      </c>
      <c r="AF29" s="4">
        <v>108.62</v>
      </c>
      <c r="AG29" s="4">
        <v>0.88</v>
      </c>
      <c r="AH29" s="4">
        <v>-838.61</v>
      </c>
      <c r="AI29" s="4">
        <v>167.78</v>
      </c>
      <c r="AJ29" s="4">
        <v>60</v>
      </c>
      <c r="AK29" s="4">
        <v>9</v>
      </c>
      <c r="AL29" s="4">
        <v>9</v>
      </c>
      <c r="AM29" s="4">
        <v>0.27</v>
      </c>
      <c r="AN29" s="4">
        <v>588</v>
      </c>
      <c r="AO29" s="4">
        <v>590.42999999999995</v>
      </c>
      <c r="AP29" s="4">
        <v>462539.27</v>
      </c>
      <c r="AQ29" s="4">
        <v>383465.53</v>
      </c>
      <c r="AR29" s="4" t="s">
        <v>168</v>
      </c>
      <c r="AS29" s="5">
        <f t="shared" si="0"/>
        <v>4.5133413242009128</v>
      </c>
    </row>
    <row r="30" spans="1:45" ht="14.25" customHeight="1" x14ac:dyDescent="0.55000000000000004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f t="shared" si="1"/>
        <v>0</v>
      </c>
      <c r="L30" s="4">
        <f t="shared" si="2"/>
        <v>0</v>
      </c>
      <c r="M30" s="4">
        <f t="shared" si="3"/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5">
        <f t="shared" si="0"/>
        <v>0</v>
      </c>
    </row>
    <row r="31" spans="1:45" ht="14.25" customHeight="1" x14ac:dyDescent="0.55000000000000004">
      <c r="A31" s="4">
        <v>0</v>
      </c>
      <c r="B31" s="4">
        <v>8.1</v>
      </c>
      <c r="C31" s="4">
        <v>1298.94</v>
      </c>
      <c r="D31" s="4">
        <v>7.8</v>
      </c>
      <c r="E31" s="4" t="s">
        <v>2673</v>
      </c>
      <c r="F31" s="4" t="s">
        <v>2674</v>
      </c>
      <c r="G31" s="4" t="s">
        <v>2333</v>
      </c>
      <c r="H31" s="4" t="s">
        <v>2675</v>
      </c>
      <c r="I31" s="4">
        <v>0</v>
      </c>
      <c r="J31" s="4">
        <v>1984.22</v>
      </c>
      <c r="K31" s="4">
        <f t="shared" si="1"/>
        <v>53.620000000000005</v>
      </c>
      <c r="L31" s="4">
        <f t="shared" si="2"/>
        <v>46.37</v>
      </c>
      <c r="M31" s="4">
        <f t="shared" si="3"/>
        <v>7.2500000000000071</v>
      </c>
      <c r="N31" s="4">
        <v>7.14</v>
      </c>
      <c r="O31" s="4">
        <v>0</v>
      </c>
      <c r="P31" s="4">
        <v>81</v>
      </c>
      <c r="Q31" s="4">
        <v>17.8</v>
      </c>
      <c r="R31" s="4">
        <v>8.1</v>
      </c>
      <c r="S31" s="4">
        <v>15.54</v>
      </c>
      <c r="T31" s="4">
        <v>-15.54</v>
      </c>
      <c r="U31" s="4">
        <v>0.65</v>
      </c>
      <c r="V31" s="4">
        <v>831.32</v>
      </c>
      <c r="W31" s="4">
        <v>213.62</v>
      </c>
      <c r="X31" s="4">
        <v>123.51</v>
      </c>
      <c r="Y31" s="4">
        <v>169.36</v>
      </c>
      <c r="Z31" s="4">
        <v>13.88</v>
      </c>
      <c r="AA31" s="4">
        <v>-0.26</v>
      </c>
      <c r="AB31" s="4">
        <v>8.32</v>
      </c>
      <c r="AC31" s="4">
        <v>-108.94</v>
      </c>
      <c r="AD31" s="4">
        <v>980</v>
      </c>
      <c r="AE31" s="4">
        <v>8765</v>
      </c>
      <c r="AF31" s="4">
        <v>108.62</v>
      </c>
      <c r="AG31" s="4">
        <v>0.88</v>
      </c>
      <c r="AH31" s="4">
        <v>-314.52</v>
      </c>
      <c r="AI31" s="4">
        <v>175.77</v>
      </c>
      <c r="AJ31" s="4">
        <v>60</v>
      </c>
      <c r="AK31" s="4">
        <v>9</v>
      </c>
      <c r="AL31" s="4">
        <v>9</v>
      </c>
      <c r="AM31" s="4">
        <v>0.26</v>
      </c>
      <c r="AN31" s="4">
        <v>588</v>
      </c>
      <c r="AO31" s="4">
        <v>590.32000000000005</v>
      </c>
      <c r="AP31" s="4">
        <v>558543.98</v>
      </c>
      <c r="AQ31" s="4">
        <v>390043.31</v>
      </c>
      <c r="AR31" s="4" t="s">
        <v>178</v>
      </c>
      <c r="AS31" s="5">
        <f t="shared" si="0"/>
        <v>9.6176181506849314</v>
      </c>
    </row>
    <row r="32" spans="1:45" ht="14.25" customHeight="1" x14ac:dyDescent="0.55000000000000004">
      <c r="A32" s="4">
        <v>0</v>
      </c>
      <c r="B32" s="4">
        <v>8.1</v>
      </c>
      <c r="C32" s="4">
        <v>1221.3699999999999</v>
      </c>
      <c r="D32" s="4">
        <v>7.8</v>
      </c>
      <c r="E32" s="4" t="s">
        <v>2676</v>
      </c>
      <c r="F32" s="4" t="s">
        <v>2677</v>
      </c>
      <c r="G32" s="4" t="s">
        <v>2333</v>
      </c>
      <c r="H32" s="4" t="s">
        <v>2678</v>
      </c>
      <c r="I32" s="4">
        <v>0</v>
      </c>
      <c r="J32" s="4">
        <v>1943.84</v>
      </c>
      <c r="K32" s="4">
        <f t="shared" si="1"/>
        <v>54.5</v>
      </c>
      <c r="L32" s="4">
        <f t="shared" si="2"/>
        <v>45.769999999999996</v>
      </c>
      <c r="M32" s="4">
        <f t="shared" si="3"/>
        <v>8.730000000000004</v>
      </c>
      <c r="N32" s="4">
        <v>7.11</v>
      </c>
      <c r="O32" s="4">
        <v>0</v>
      </c>
      <c r="P32" s="4">
        <v>76</v>
      </c>
      <c r="Q32" s="4">
        <v>19.899999999999999</v>
      </c>
      <c r="R32" s="4">
        <v>8.1</v>
      </c>
      <c r="S32" s="4">
        <v>16.940000000000001</v>
      </c>
      <c r="T32" s="4">
        <v>-16.940000000000001</v>
      </c>
      <c r="U32" s="4">
        <v>0.63</v>
      </c>
      <c r="V32" s="4">
        <v>781.67</v>
      </c>
      <c r="W32" s="4">
        <v>200.46</v>
      </c>
      <c r="X32" s="4">
        <v>114.56</v>
      </c>
      <c r="Y32" s="4">
        <v>159.25</v>
      </c>
      <c r="Z32" s="4">
        <v>16.670000000000002</v>
      </c>
      <c r="AA32" s="4">
        <v>-0.32</v>
      </c>
      <c r="AB32" s="4">
        <v>8.43</v>
      </c>
      <c r="AC32" s="4">
        <v>-91.67</v>
      </c>
      <c r="AD32" s="4">
        <v>980</v>
      </c>
      <c r="AE32" s="4">
        <v>8765</v>
      </c>
      <c r="AF32" s="4">
        <v>108.62</v>
      </c>
      <c r="AG32" s="4">
        <v>0.88</v>
      </c>
      <c r="AH32" s="4">
        <v>-292.26</v>
      </c>
      <c r="AI32" s="4">
        <v>207.73</v>
      </c>
      <c r="AJ32" s="4">
        <v>60</v>
      </c>
      <c r="AK32" s="4">
        <v>9</v>
      </c>
      <c r="AL32" s="4">
        <v>9</v>
      </c>
      <c r="AM32" s="4">
        <v>0.22</v>
      </c>
      <c r="AN32" s="4">
        <v>588</v>
      </c>
      <c r="AO32" s="4">
        <v>589.96</v>
      </c>
      <c r="AP32" s="4">
        <v>602422.28</v>
      </c>
      <c r="AQ32" s="4">
        <v>411294.6</v>
      </c>
      <c r="AR32" s="4" t="s">
        <v>183</v>
      </c>
      <c r="AS32" s="5">
        <f t="shared" si="0"/>
        <v>10.909114155251144</v>
      </c>
    </row>
    <row r="33" spans="1:45" ht="14.25" customHeight="1" x14ac:dyDescent="0.55000000000000004">
      <c r="A33" s="4">
        <v>0</v>
      </c>
      <c r="B33" s="4">
        <v>8.1</v>
      </c>
      <c r="C33" s="4">
        <v>1181.96</v>
      </c>
      <c r="D33" s="4">
        <v>7.8</v>
      </c>
      <c r="E33" s="4" t="s">
        <v>2679</v>
      </c>
      <c r="F33" s="4" t="s">
        <v>2616</v>
      </c>
      <c r="G33" s="4" t="s">
        <v>2333</v>
      </c>
      <c r="H33" s="4" t="s">
        <v>2680</v>
      </c>
      <c r="I33" s="4">
        <v>0</v>
      </c>
      <c r="J33" s="4">
        <v>2287.58</v>
      </c>
      <c r="K33" s="4">
        <f t="shared" si="1"/>
        <v>55</v>
      </c>
      <c r="L33" s="4">
        <f t="shared" si="2"/>
        <v>51</v>
      </c>
      <c r="M33" s="4">
        <f t="shared" si="3"/>
        <v>4</v>
      </c>
      <c r="N33" s="4">
        <v>7.45</v>
      </c>
      <c r="O33" s="4">
        <v>0</v>
      </c>
      <c r="P33" s="4">
        <v>82</v>
      </c>
      <c r="Q33" s="4">
        <v>16.7</v>
      </c>
      <c r="R33" s="4">
        <v>8.1</v>
      </c>
      <c r="S33" s="4">
        <v>14.59</v>
      </c>
      <c r="T33" s="4">
        <v>-14.59</v>
      </c>
      <c r="U33" s="4">
        <v>0.52</v>
      </c>
      <c r="V33" s="4">
        <v>756.45</v>
      </c>
      <c r="W33" s="4">
        <v>198.44</v>
      </c>
      <c r="X33" s="4">
        <v>128.84</v>
      </c>
      <c r="Y33" s="4">
        <v>153.97999999999999</v>
      </c>
      <c r="Z33" s="4">
        <v>6.47</v>
      </c>
      <c r="AA33" s="4">
        <v>-0.27</v>
      </c>
      <c r="AB33" s="4">
        <v>8.34</v>
      </c>
      <c r="AC33" s="4">
        <v>-124.76</v>
      </c>
      <c r="AD33" s="4">
        <v>980</v>
      </c>
      <c r="AE33" s="4">
        <v>8765</v>
      </c>
      <c r="AF33" s="4">
        <v>108.62</v>
      </c>
      <c r="AG33" s="4">
        <v>0.88</v>
      </c>
      <c r="AH33" s="4">
        <v>-224.75</v>
      </c>
      <c r="AI33" s="4">
        <v>79.900000000000006</v>
      </c>
      <c r="AJ33" s="4">
        <v>60</v>
      </c>
      <c r="AK33" s="4">
        <v>9</v>
      </c>
      <c r="AL33" s="4">
        <v>9</v>
      </c>
      <c r="AM33" s="4">
        <v>0.56999999999999995</v>
      </c>
      <c r="AN33" s="4">
        <v>588</v>
      </c>
      <c r="AO33" s="4">
        <v>593.1</v>
      </c>
      <c r="AP33" s="4">
        <v>289114.94</v>
      </c>
      <c r="AQ33" s="4">
        <v>224283.22</v>
      </c>
      <c r="AR33" s="4" t="s">
        <v>188</v>
      </c>
      <c r="AS33" s="5">
        <f t="shared" si="0"/>
        <v>3.7004406392694063</v>
      </c>
    </row>
    <row r="34" spans="1:45" ht="14.25" customHeight="1" x14ac:dyDescent="0.55000000000000004">
      <c r="A34" s="4">
        <v>0</v>
      </c>
      <c r="B34" s="4">
        <v>8.1</v>
      </c>
      <c r="C34" s="4">
        <v>1252.96</v>
      </c>
      <c r="D34" s="4">
        <v>7.8</v>
      </c>
      <c r="E34" s="4" t="s">
        <v>2681</v>
      </c>
      <c r="F34" s="4" t="s">
        <v>2616</v>
      </c>
      <c r="G34" s="4" t="s">
        <v>2333</v>
      </c>
      <c r="H34" s="4" t="s">
        <v>2682</v>
      </c>
      <c r="I34" s="4">
        <v>0</v>
      </c>
      <c r="J34" s="4">
        <v>2293</v>
      </c>
      <c r="K34" s="4">
        <f t="shared" si="1"/>
        <v>54.13</v>
      </c>
      <c r="L34" s="4">
        <f t="shared" si="2"/>
        <v>51</v>
      </c>
      <c r="M34" s="4">
        <f t="shared" si="3"/>
        <v>3.1300000000000026</v>
      </c>
      <c r="N34" s="4">
        <v>7.45</v>
      </c>
      <c r="O34" s="4">
        <v>0</v>
      </c>
      <c r="P34" s="4">
        <v>78</v>
      </c>
      <c r="Q34" s="4">
        <v>16.899999999999999</v>
      </c>
      <c r="R34" s="4">
        <v>8.1</v>
      </c>
      <c r="S34" s="4">
        <v>14.32</v>
      </c>
      <c r="T34" s="4">
        <v>-14.32</v>
      </c>
      <c r="U34" s="4">
        <v>0.55000000000000004</v>
      </c>
      <c r="V34" s="4">
        <v>801.89</v>
      </c>
      <c r="W34" s="4">
        <v>210.24</v>
      </c>
      <c r="X34" s="4">
        <v>136.05000000000001</v>
      </c>
      <c r="Y34" s="4">
        <v>163.24</v>
      </c>
      <c r="Z34" s="4">
        <v>6.37</v>
      </c>
      <c r="AA34" s="4">
        <v>-0.22</v>
      </c>
      <c r="AB34" s="4">
        <v>8.24</v>
      </c>
      <c r="AC34" s="4">
        <v>-130.19999999999999</v>
      </c>
      <c r="AD34" s="4">
        <v>980</v>
      </c>
      <c r="AE34" s="4">
        <v>8765</v>
      </c>
      <c r="AF34" s="4">
        <v>108.62</v>
      </c>
      <c r="AG34" s="4">
        <v>0.88</v>
      </c>
      <c r="AH34" s="4">
        <v>-239.49</v>
      </c>
      <c r="AI34" s="4">
        <v>79.900000000000006</v>
      </c>
      <c r="AJ34" s="4">
        <v>60</v>
      </c>
      <c r="AK34" s="4">
        <v>9</v>
      </c>
      <c r="AL34" s="4">
        <v>9</v>
      </c>
      <c r="AM34" s="4">
        <v>0.56999999999999995</v>
      </c>
      <c r="AN34" s="4">
        <v>588</v>
      </c>
      <c r="AO34" s="4">
        <v>593.1</v>
      </c>
      <c r="AP34" s="4">
        <v>279419.96000000002</v>
      </c>
      <c r="AQ34" s="4">
        <v>224283.22</v>
      </c>
      <c r="AR34" s="4" t="s">
        <v>192</v>
      </c>
      <c r="AS34" s="5">
        <f t="shared" si="0"/>
        <v>3.1470742009132433</v>
      </c>
    </row>
    <row r="35" spans="1:45" ht="14.25" customHeight="1" x14ac:dyDescent="0.55000000000000004">
      <c r="A35" s="4">
        <v>0</v>
      </c>
      <c r="B35" s="4">
        <v>8.1</v>
      </c>
      <c r="C35" s="4">
        <v>1293.95</v>
      </c>
      <c r="D35" s="4">
        <v>7.8</v>
      </c>
      <c r="E35" s="4" t="s">
        <v>2683</v>
      </c>
      <c r="F35" s="4" t="s">
        <v>2684</v>
      </c>
      <c r="G35" s="4" t="s">
        <v>2333</v>
      </c>
      <c r="H35" s="4" t="s">
        <v>2685</v>
      </c>
      <c r="I35" s="4">
        <v>0</v>
      </c>
      <c r="J35" s="4">
        <v>1996.5</v>
      </c>
      <c r="K35" s="4">
        <f t="shared" si="1"/>
        <v>53.67</v>
      </c>
      <c r="L35" s="4">
        <f t="shared" si="2"/>
        <v>46.980000000000004</v>
      </c>
      <c r="M35" s="4">
        <f t="shared" si="3"/>
        <v>6.6899999999999977</v>
      </c>
      <c r="N35" s="4">
        <v>7.15</v>
      </c>
      <c r="O35" s="4">
        <v>0</v>
      </c>
      <c r="P35" s="4">
        <v>78</v>
      </c>
      <c r="Q35" s="4">
        <v>21.6</v>
      </c>
      <c r="R35" s="4">
        <v>8.1</v>
      </c>
      <c r="S35" s="4">
        <v>18.809999999999999</v>
      </c>
      <c r="T35" s="4">
        <v>-18.809999999999999</v>
      </c>
      <c r="U35" s="4">
        <v>0.65</v>
      </c>
      <c r="V35" s="4">
        <v>828.13</v>
      </c>
      <c r="W35" s="4">
        <v>213</v>
      </c>
      <c r="X35" s="4">
        <v>123.87</v>
      </c>
      <c r="Y35" s="4">
        <v>168.7</v>
      </c>
      <c r="Z35" s="4">
        <v>12</v>
      </c>
      <c r="AA35" s="4">
        <v>-0.26</v>
      </c>
      <c r="AB35" s="4">
        <v>8.32</v>
      </c>
      <c r="AC35" s="4">
        <v>-75.64</v>
      </c>
      <c r="AD35" s="4">
        <v>980</v>
      </c>
      <c r="AE35" s="4">
        <v>8765</v>
      </c>
      <c r="AF35" s="4">
        <v>108.62</v>
      </c>
      <c r="AG35" s="4">
        <v>0.88</v>
      </c>
      <c r="AH35" s="4">
        <v>-308.69</v>
      </c>
      <c r="AI35" s="4">
        <v>151.80000000000001</v>
      </c>
      <c r="AJ35" s="4">
        <v>60</v>
      </c>
      <c r="AK35" s="4">
        <v>9</v>
      </c>
      <c r="AL35" s="4">
        <v>9</v>
      </c>
      <c r="AM35" s="4">
        <v>0.3</v>
      </c>
      <c r="AN35" s="4">
        <v>588</v>
      </c>
      <c r="AO35" s="4">
        <v>590.67999999999995</v>
      </c>
      <c r="AP35" s="4">
        <v>547736.89</v>
      </c>
      <c r="AQ35" s="4">
        <v>368232.77</v>
      </c>
      <c r="AR35" s="4" t="s">
        <v>196</v>
      </c>
      <c r="AS35" s="5">
        <f t="shared" si="0"/>
        <v>10.245668949771689</v>
      </c>
    </row>
    <row r="36" spans="1:45" ht="14.25" customHeight="1" x14ac:dyDescent="0.55000000000000004">
      <c r="A36" s="4">
        <v>0</v>
      </c>
      <c r="B36" s="4">
        <v>8.1</v>
      </c>
      <c r="C36" s="4">
        <v>7776.12</v>
      </c>
      <c r="D36" s="4">
        <v>7.8</v>
      </c>
      <c r="E36" s="4" t="s">
        <v>2686</v>
      </c>
      <c r="F36" s="4" t="s">
        <v>2632</v>
      </c>
      <c r="G36" s="4" t="s">
        <v>2333</v>
      </c>
      <c r="H36" s="4" t="s">
        <v>2687</v>
      </c>
      <c r="I36" s="4">
        <v>0</v>
      </c>
      <c r="J36" s="4">
        <v>2212.09</v>
      </c>
      <c r="K36" s="4">
        <f t="shared" si="1"/>
        <v>44.08</v>
      </c>
      <c r="L36" s="4">
        <f t="shared" si="2"/>
        <v>51.95</v>
      </c>
      <c r="M36" s="4">
        <f t="shared" si="3"/>
        <v>-7.8700000000000045</v>
      </c>
      <c r="N36" s="4">
        <v>7.27</v>
      </c>
      <c r="O36" s="4">
        <v>0</v>
      </c>
      <c r="P36" s="4">
        <v>73</v>
      </c>
      <c r="Q36" s="4">
        <v>19.3</v>
      </c>
      <c r="R36" s="4">
        <v>8.1</v>
      </c>
      <c r="S36" s="4">
        <v>16</v>
      </c>
      <c r="T36" s="4">
        <v>-16</v>
      </c>
      <c r="U36" s="4">
        <v>3.52</v>
      </c>
      <c r="V36" s="4">
        <v>4976.72</v>
      </c>
      <c r="W36" s="4">
        <v>1284.1500000000001</v>
      </c>
      <c r="X36" s="4">
        <v>757.4</v>
      </c>
      <c r="Y36" s="4">
        <v>1014.27</v>
      </c>
      <c r="Z36" s="4">
        <v>4.67</v>
      </c>
      <c r="AA36" s="4">
        <v>1.23</v>
      </c>
      <c r="AB36" s="4">
        <v>5.34</v>
      </c>
      <c r="AC36" s="4">
        <v>-102.56</v>
      </c>
      <c r="AD36" s="4">
        <v>980</v>
      </c>
      <c r="AE36" s="4">
        <v>8765</v>
      </c>
      <c r="AF36" s="4">
        <v>108.62</v>
      </c>
      <c r="AG36" s="4">
        <v>0.88</v>
      </c>
      <c r="AH36" s="4">
        <v>43.19</v>
      </c>
      <c r="AI36" s="4">
        <v>71.91</v>
      </c>
      <c r="AJ36" s="4">
        <v>60</v>
      </c>
      <c r="AK36" s="4">
        <v>9</v>
      </c>
      <c r="AL36" s="4">
        <v>9</v>
      </c>
      <c r="AM36" s="4">
        <v>0.63</v>
      </c>
      <c r="AN36" s="4">
        <v>588</v>
      </c>
      <c r="AO36" s="4">
        <v>593.66999999999996</v>
      </c>
      <c r="AP36" s="4">
        <v>293753.23</v>
      </c>
      <c r="AQ36" s="4">
        <v>190517.28</v>
      </c>
      <c r="AR36" s="4" t="s">
        <v>1257</v>
      </c>
      <c r="AS36" s="5">
        <f t="shared" si="0"/>
        <v>5.8924628995433777</v>
      </c>
    </row>
    <row r="37" spans="1:45" ht="14.25" customHeight="1" x14ac:dyDescent="0.55000000000000004">
      <c r="A37" s="4">
        <v>0</v>
      </c>
      <c r="B37" s="4">
        <v>8.1</v>
      </c>
      <c r="C37" s="4">
        <v>1226.7</v>
      </c>
      <c r="D37" s="4">
        <v>7.8</v>
      </c>
      <c r="E37" s="4" t="s">
        <v>2688</v>
      </c>
      <c r="F37" s="4" t="s">
        <v>2637</v>
      </c>
      <c r="G37" s="4" t="s">
        <v>2333</v>
      </c>
      <c r="H37" s="4" t="s">
        <v>2689</v>
      </c>
      <c r="I37" s="4">
        <v>0</v>
      </c>
      <c r="J37" s="4">
        <v>2278.6799999999998</v>
      </c>
      <c r="K37" s="4">
        <f t="shared" si="1"/>
        <v>54.44</v>
      </c>
      <c r="L37" s="4">
        <f t="shared" si="2"/>
        <v>51</v>
      </c>
      <c r="M37" s="4">
        <f t="shared" si="3"/>
        <v>3.4399999999999977</v>
      </c>
      <c r="N37" s="4">
        <v>7.44</v>
      </c>
      <c r="O37" s="4">
        <v>0</v>
      </c>
      <c r="P37" s="4">
        <v>87</v>
      </c>
      <c r="Q37" s="4">
        <v>17</v>
      </c>
      <c r="R37" s="4">
        <v>8.1</v>
      </c>
      <c r="S37" s="4">
        <v>15.46</v>
      </c>
      <c r="T37" s="4">
        <v>-15.46</v>
      </c>
      <c r="U37" s="4">
        <v>0.54</v>
      </c>
      <c r="V37" s="4">
        <v>785.09</v>
      </c>
      <c r="W37" s="4">
        <v>205.74</v>
      </c>
      <c r="X37" s="4">
        <v>132.82</v>
      </c>
      <c r="Y37" s="4">
        <v>159.82</v>
      </c>
      <c r="Z37" s="4">
        <v>6.4</v>
      </c>
      <c r="AA37" s="4">
        <v>-0.24</v>
      </c>
      <c r="AB37" s="4">
        <v>8.2799999999999994</v>
      </c>
      <c r="AC37" s="4">
        <v>-109.99</v>
      </c>
      <c r="AD37" s="4">
        <v>980</v>
      </c>
      <c r="AE37" s="4">
        <v>8765</v>
      </c>
      <c r="AF37" s="4">
        <v>108.62</v>
      </c>
      <c r="AG37" s="4">
        <v>0.88</v>
      </c>
      <c r="AH37" s="4">
        <v>-235.29</v>
      </c>
      <c r="AI37" s="4">
        <v>79.900000000000006</v>
      </c>
      <c r="AJ37" s="4">
        <v>60</v>
      </c>
      <c r="AK37" s="4">
        <v>9</v>
      </c>
      <c r="AL37" s="4">
        <v>9</v>
      </c>
      <c r="AM37" s="4">
        <v>0.56999999999999995</v>
      </c>
      <c r="AN37" s="4">
        <v>588</v>
      </c>
      <c r="AO37" s="4">
        <v>593.1</v>
      </c>
      <c r="AP37" s="4">
        <v>294228.28999999998</v>
      </c>
      <c r="AQ37" s="4">
        <v>224283.22</v>
      </c>
      <c r="AR37" s="4" t="s">
        <v>201</v>
      </c>
      <c r="AS37" s="5">
        <f t="shared" si="0"/>
        <v>3.9922985159817337</v>
      </c>
    </row>
    <row r="38" spans="1:45" ht="14.25" customHeight="1" x14ac:dyDescent="0.55000000000000004">
      <c r="A38" s="4">
        <v>0</v>
      </c>
      <c r="B38" s="4">
        <v>8.1</v>
      </c>
      <c r="C38" s="4">
        <v>1232.76</v>
      </c>
      <c r="D38" s="4">
        <v>7.8</v>
      </c>
      <c r="E38" s="4" t="s">
        <v>2690</v>
      </c>
      <c r="F38" s="4" t="s">
        <v>2691</v>
      </c>
      <c r="G38" s="4" t="s">
        <v>2333</v>
      </c>
      <c r="H38" s="4" t="s">
        <v>2692</v>
      </c>
      <c r="I38" s="4">
        <v>0</v>
      </c>
      <c r="J38" s="4">
        <v>2018.71</v>
      </c>
      <c r="K38" s="4">
        <f t="shared" si="1"/>
        <v>54.36</v>
      </c>
      <c r="L38" s="4">
        <f t="shared" si="2"/>
        <v>46.980000000000004</v>
      </c>
      <c r="M38" s="4">
        <f t="shared" si="3"/>
        <v>7.3799999999999955</v>
      </c>
      <c r="N38" s="4">
        <v>7.18</v>
      </c>
      <c r="O38" s="4">
        <v>0</v>
      </c>
      <c r="P38" s="4">
        <v>84</v>
      </c>
      <c r="Q38" s="4">
        <v>16.5</v>
      </c>
      <c r="R38" s="4">
        <v>8.1</v>
      </c>
      <c r="S38" s="4">
        <v>14.63</v>
      </c>
      <c r="T38" s="4">
        <v>-14.63</v>
      </c>
      <c r="U38" s="4">
        <v>0.61</v>
      </c>
      <c r="V38" s="4">
        <v>788.96</v>
      </c>
      <c r="W38" s="4">
        <v>203.42</v>
      </c>
      <c r="X38" s="4">
        <v>120.01</v>
      </c>
      <c r="Y38" s="4">
        <v>160.71</v>
      </c>
      <c r="Z38" s="4">
        <v>12.15</v>
      </c>
      <c r="AA38" s="4">
        <v>-0.28999999999999998</v>
      </c>
      <c r="AB38" s="4">
        <v>8.3800000000000008</v>
      </c>
      <c r="AC38" s="4">
        <v>-124.05</v>
      </c>
      <c r="AD38" s="4">
        <v>980</v>
      </c>
      <c r="AE38" s="4">
        <v>8765</v>
      </c>
      <c r="AF38" s="4">
        <v>108.62</v>
      </c>
      <c r="AG38" s="4">
        <v>0.88</v>
      </c>
      <c r="AH38" s="4">
        <v>-279</v>
      </c>
      <c r="AI38" s="4">
        <v>151.80000000000001</v>
      </c>
      <c r="AJ38" s="4">
        <v>60</v>
      </c>
      <c r="AK38" s="4">
        <v>9</v>
      </c>
      <c r="AL38" s="4">
        <v>9</v>
      </c>
      <c r="AM38" s="4">
        <v>0.3</v>
      </c>
      <c r="AN38" s="4">
        <v>588</v>
      </c>
      <c r="AO38" s="4">
        <v>590.67999999999995</v>
      </c>
      <c r="AP38" s="4">
        <v>532571.54</v>
      </c>
      <c r="AQ38" s="4">
        <v>368232.77</v>
      </c>
      <c r="AR38" s="4" t="s">
        <v>206</v>
      </c>
      <c r="AS38" s="5">
        <f t="shared" si="0"/>
        <v>9.3800667808219185</v>
      </c>
    </row>
    <row r="39" spans="1:45" ht="14.25" customHeight="1" x14ac:dyDescent="0.55000000000000004">
      <c r="A39" s="4">
        <v>0</v>
      </c>
      <c r="B39" s="4">
        <v>8.1</v>
      </c>
      <c r="C39" s="4">
        <v>2494.2399999999998</v>
      </c>
      <c r="D39" s="4">
        <v>7.8</v>
      </c>
      <c r="E39" s="4" t="s">
        <v>2693</v>
      </c>
      <c r="F39" s="4" t="s">
        <v>2694</v>
      </c>
      <c r="G39" s="4" t="s">
        <v>2333</v>
      </c>
      <c r="H39" s="4" t="s">
        <v>2695</v>
      </c>
      <c r="I39" s="4">
        <v>0</v>
      </c>
      <c r="J39" s="4">
        <v>2138.16</v>
      </c>
      <c r="K39" s="4">
        <f t="shared" si="1"/>
        <v>47.739999999999995</v>
      </c>
      <c r="L39" s="4">
        <f t="shared" si="2"/>
        <v>46.980000000000004</v>
      </c>
      <c r="M39" s="4">
        <f t="shared" si="3"/>
        <v>0.75999999999999091</v>
      </c>
      <c r="N39" s="4">
        <v>7.23</v>
      </c>
      <c r="O39" s="4">
        <v>0</v>
      </c>
      <c r="P39" s="4">
        <v>86</v>
      </c>
      <c r="Q39" s="4">
        <v>16</v>
      </c>
      <c r="R39" s="4">
        <v>8.1</v>
      </c>
      <c r="S39" s="4">
        <v>14.37</v>
      </c>
      <c r="T39" s="4">
        <v>-14.37</v>
      </c>
      <c r="U39" s="4">
        <v>1.17</v>
      </c>
      <c r="V39" s="4">
        <v>1596.31</v>
      </c>
      <c r="W39" s="4">
        <v>411.75</v>
      </c>
      <c r="X39" s="4">
        <v>242.78</v>
      </c>
      <c r="Y39" s="4">
        <v>325.27</v>
      </c>
      <c r="Z39" s="4">
        <v>10.67</v>
      </c>
      <c r="AA39" s="4">
        <v>0.28999999999999998</v>
      </c>
      <c r="AB39" s="4">
        <v>7.22</v>
      </c>
      <c r="AC39" s="4">
        <v>-129.13999999999999</v>
      </c>
      <c r="AD39" s="4">
        <v>980</v>
      </c>
      <c r="AE39" s="4">
        <v>8765</v>
      </c>
      <c r="AF39" s="4">
        <v>108.62</v>
      </c>
      <c r="AG39" s="4">
        <v>0.88</v>
      </c>
      <c r="AH39" s="4">
        <v>652.27</v>
      </c>
      <c r="AI39" s="4">
        <v>151.80000000000001</v>
      </c>
      <c r="AJ39" s="4">
        <v>60</v>
      </c>
      <c r="AK39" s="4">
        <v>9</v>
      </c>
      <c r="AL39" s="4">
        <v>9</v>
      </c>
      <c r="AM39" s="4">
        <v>0.3</v>
      </c>
      <c r="AN39" s="4">
        <v>588</v>
      </c>
      <c r="AO39" s="4">
        <v>590.67999999999995</v>
      </c>
      <c r="AP39" s="4">
        <v>379744.46</v>
      </c>
      <c r="AQ39" s="4">
        <v>368232.77</v>
      </c>
      <c r="AR39" s="4" t="s">
        <v>211</v>
      </c>
      <c r="AS39" s="5">
        <f t="shared" si="0"/>
        <v>0.65705993150684949</v>
      </c>
    </row>
    <row r="40" spans="1:45" ht="14.25" customHeight="1" x14ac:dyDescent="0.55000000000000004">
      <c r="A40" s="4">
        <v>0</v>
      </c>
      <c r="B40" s="4">
        <v>8.1</v>
      </c>
      <c r="C40" s="4">
        <v>1539.81</v>
      </c>
      <c r="D40" s="4">
        <v>7.8</v>
      </c>
      <c r="E40" s="4" t="s">
        <v>2696</v>
      </c>
      <c r="F40" s="4" t="s">
        <v>2697</v>
      </c>
      <c r="G40" s="4" t="s">
        <v>2333</v>
      </c>
      <c r="H40" s="4" t="s">
        <v>2698</v>
      </c>
      <c r="I40" s="4">
        <v>0</v>
      </c>
      <c r="J40" s="4">
        <v>2004.63</v>
      </c>
      <c r="K40" s="4">
        <f t="shared" si="1"/>
        <v>51.56</v>
      </c>
      <c r="L40" s="4">
        <f t="shared" si="2"/>
        <v>46.2</v>
      </c>
      <c r="M40" s="4">
        <f t="shared" si="3"/>
        <v>5.3599999999999994</v>
      </c>
      <c r="N40" s="4">
        <v>7.14</v>
      </c>
      <c r="O40" s="4">
        <v>0</v>
      </c>
      <c r="P40" s="4">
        <v>74</v>
      </c>
      <c r="Q40" s="4">
        <v>21.5</v>
      </c>
      <c r="R40" s="4">
        <v>8.1</v>
      </c>
      <c r="S40" s="4">
        <v>18.2</v>
      </c>
      <c r="T40" s="4">
        <v>-18.2</v>
      </c>
      <c r="U40" s="4">
        <v>0.77</v>
      </c>
      <c r="V40" s="4">
        <v>985.48</v>
      </c>
      <c r="W40" s="4">
        <v>252.99</v>
      </c>
      <c r="X40" s="4">
        <v>145.29</v>
      </c>
      <c r="Y40" s="4">
        <v>200.8</v>
      </c>
      <c r="Z40" s="4">
        <v>13.95</v>
      </c>
      <c r="AA40" s="4">
        <v>-0.12</v>
      </c>
      <c r="AB40" s="4">
        <v>8.0399999999999991</v>
      </c>
      <c r="AC40" s="4">
        <v>-80.22</v>
      </c>
      <c r="AD40" s="4">
        <v>980</v>
      </c>
      <c r="AE40" s="4">
        <v>8765</v>
      </c>
      <c r="AF40" s="4">
        <v>108.62</v>
      </c>
      <c r="AG40" s="4">
        <v>0.88</v>
      </c>
      <c r="AH40" s="4">
        <v>-468.47</v>
      </c>
      <c r="AI40" s="4">
        <v>183.76</v>
      </c>
      <c r="AJ40" s="4">
        <v>60</v>
      </c>
      <c r="AK40" s="4">
        <v>9</v>
      </c>
      <c r="AL40" s="4">
        <v>9</v>
      </c>
      <c r="AM40" s="4">
        <v>0.25</v>
      </c>
      <c r="AN40" s="4">
        <v>588</v>
      </c>
      <c r="AO40" s="4">
        <v>590.22</v>
      </c>
      <c r="AP40" s="4">
        <v>524442.04</v>
      </c>
      <c r="AQ40" s="4">
        <v>396049.11</v>
      </c>
      <c r="AR40" s="4" t="s">
        <v>216</v>
      </c>
      <c r="AS40" s="5">
        <f t="shared" si="0"/>
        <v>7.3283635844748884</v>
      </c>
    </row>
    <row r="41" spans="1:45" ht="14.25" customHeight="1" x14ac:dyDescent="0.55000000000000004">
      <c r="A41" s="4">
        <v>0</v>
      </c>
      <c r="B41" s="4">
        <v>8.1</v>
      </c>
      <c r="C41" s="4">
        <v>1455.74</v>
      </c>
      <c r="D41" s="4">
        <v>7.8</v>
      </c>
      <c r="E41" s="4" t="s">
        <v>2699</v>
      </c>
      <c r="F41" s="4" t="s">
        <v>2697</v>
      </c>
      <c r="G41" s="4" t="s">
        <v>2333</v>
      </c>
      <c r="H41" s="4" t="s">
        <v>2700</v>
      </c>
      <c r="I41" s="4">
        <v>0</v>
      </c>
      <c r="J41" s="4">
        <v>2002.19</v>
      </c>
      <c r="K41" s="4">
        <f t="shared" si="1"/>
        <v>52.19</v>
      </c>
      <c r="L41" s="4">
        <f t="shared" si="2"/>
        <v>46.2</v>
      </c>
      <c r="M41" s="4">
        <f t="shared" si="3"/>
        <v>5.9899999999999949</v>
      </c>
      <c r="N41" s="4">
        <v>7.14</v>
      </c>
      <c r="O41" s="4">
        <v>0</v>
      </c>
      <c r="P41" s="4">
        <v>77</v>
      </c>
      <c r="Q41" s="4">
        <v>21.4</v>
      </c>
      <c r="R41" s="4">
        <v>8.1</v>
      </c>
      <c r="S41" s="4">
        <v>18.489999999999998</v>
      </c>
      <c r="T41" s="4">
        <v>-18.489999999999998</v>
      </c>
      <c r="U41" s="4">
        <v>0.73</v>
      </c>
      <c r="V41" s="4">
        <v>931.67</v>
      </c>
      <c r="W41" s="4">
        <v>239.31</v>
      </c>
      <c r="X41" s="4">
        <v>137.94999999999999</v>
      </c>
      <c r="Y41" s="4">
        <v>189.82</v>
      </c>
      <c r="Z41" s="4">
        <v>14.12</v>
      </c>
      <c r="AA41" s="4">
        <v>-0.17</v>
      </c>
      <c r="AB41" s="4">
        <v>8.1300000000000008</v>
      </c>
      <c r="AC41" s="4">
        <v>-77.97</v>
      </c>
      <c r="AD41" s="4">
        <v>980</v>
      </c>
      <c r="AE41" s="4">
        <v>8765</v>
      </c>
      <c r="AF41" s="4">
        <v>108.62</v>
      </c>
      <c r="AG41" s="4">
        <v>0.88</v>
      </c>
      <c r="AH41" s="4">
        <v>-398</v>
      </c>
      <c r="AI41" s="4">
        <v>183.76</v>
      </c>
      <c r="AJ41" s="4">
        <v>60</v>
      </c>
      <c r="AK41" s="4">
        <v>9</v>
      </c>
      <c r="AL41" s="4">
        <v>9</v>
      </c>
      <c r="AM41" s="4">
        <v>0.25</v>
      </c>
      <c r="AN41" s="4">
        <v>588</v>
      </c>
      <c r="AO41" s="4">
        <v>590.22</v>
      </c>
      <c r="AP41" s="4">
        <v>531340.54</v>
      </c>
      <c r="AQ41" s="4">
        <v>396049.11</v>
      </c>
      <c r="AR41" s="4" t="s">
        <v>221</v>
      </c>
      <c r="AS41" s="5">
        <f t="shared" si="0"/>
        <v>7.7221135844748892</v>
      </c>
    </row>
    <row r="42" spans="1:45" ht="14.25" customHeight="1" x14ac:dyDescent="0.55000000000000004">
      <c r="A42" s="4">
        <v>0</v>
      </c>
      <c r="B42" s="4">
        <v>8.1</v>
      </c>
      <c r="C42" s="4">
        <v>1142.1400000000001</v>
      </c>
      <c r="D42" s="4">
        <v>7.8</v>
      </c>
      <c r="E42" s="4" t="s">
        <v>2701</v>
      </c>
      <c r="F42" s="4" t="s">
        <v>2616</v>
      </c>
      <c r="G42" s="4" t="s">
        <v>2333</v>
      </c>
      <c r="H42" s="4" t="s">
        <v>2702</v>
      </c>
      <c r="I42" s="4">
        <v>0</v>
      </c>
      <c r="J42" s="4">
        <v>2284.1999999999998</v>
      </c>
      <c r="K42" s="4">
        <f t="shared" si="1"/>
        <v>55.56</v>
      </c>
      <c r="L42" s="4">
        <f t="shared" si="2"/>
        <v>51</v>
      </c>
      <c r="M42" s="4">
        <f t="shared" si="3"/>
        <v>4.5600000000000023</v>
      </c>
      <c r="N42" s="4">
        <v>7.45</v>
      </c>
      <c r="O42" s="4">
        <v>0</v>
      </c>
      <c r="P42" s="4">
        <v>86</v>
      </c>
      <c r="Q42" s="4">
        <v>16.5</v>
      </c>
      <c r="R42" s="4">
        <v>8.1</v>
      </c>
      <c r="S42" s="4">
        <v>14.86</v>
      </c>
      <c r="T42" s="4">
        <v>-14.86</v>
      </c>
      <c r="U42" s="4">
        <v>0.5</v>
      </c>
      <c r="V42" s="4">
        <v>730.97</v>
      </c>
      <c r="W42" s="4">
        <v>191.82</v>
      </c>
      <c r="X42" s="4">
        <v>124.8</v>
      </c>
      <c r="Y42" s="4">
        <v>148.79</v>
      </c>
      <c r="Z42" s="4">
        <v>6.54</v>
      </c>
      <c r="AA42" s="4">
        <v>-0.28999999999999998</v>
      </c>
      <c r="AB42" s="4">
        <v>8.39</v>
      </c>
      <c r="AC42" s="4">
        <v>-119.82</v>
      </c>
      <c r="AD42" s="4">
        <v>980</v>
      </c>
      <c r="AE42" s="4">
        <v>8765</v>
      </c>
      <c r="AF42" s="4">
        <v>108.62</v>
      </c>
      <c r="AG42" s="4">
        <v>0.88</v>
      </c>
      <c r="AH42" s="4">
        <v>-217.26</v>
      </c>
      <c r="AI42" s="4">
        <v>79.900000000000006</v>
      </c>
      <c r="AJ42" s="4">
        <v>60</v>
      </c>
      <c r="AK42" s="4">
        <v>9</v>
      </c>
      <c r="AL42" s="4">
        <v>9</v>
      </c>
      <c r="AM42" s="4">
        <v>0.56999999999999995</v>
      </c>
      <c r="AN42" s="4">
        <v>588</v>
      </c>
      <c r="AO42" s="4">
        <v>593.1</v>
      </c>
      <c r="AP42" s="4">
        <v>295231.21000000002</v>
      </c>
      <c r="AQ42" s="4">
        <v>224283.22</v>
      </c>
      <c r="AR42" s="4" t="s">
        <v>226</v>
      </c>
      <c r="AS42" s="5">
        <f t="shared" si="0"/>
        <v>4.0495428082191793</v>
      </c>
    </row>
    <row r="43" spans="1:45" ht="14.25" customHeight="1" x14ac:dyDescent="0.55000000000000004">
      <c r="A43" s="4">
        <v>0</v>
      </c>
      <c r="B43" s="4">
        <v>8.1</v>
      </c>
      <c r="C43" s="4">
        <v>1855.22</v>
      </c>
      <c r="D43" s="4">
        <v>7.8</v>
      </c>
      <c r="E43" s="4" t="s">
        <v>2703</v>
      </c>
      <c r="F43" s="4" t="s">
        <v>2704</v>
      </c>
      <c r="G43" s="4" t="s">
        <v>2333</v>
      </c>
      <c r="H43" s="4" t="s">
        <v>2705</v>
      </c>
      <c r="I43" s="4">
        <v>0</v>
      </c>
      <c r="J43" s="4">
        <v>2063.1799999999998</v>
      </c>
      <c r="K43" s="4">
        <f t="shared" si="1"/>
        <v>49.8</v>
      </c>
      <c r="L43" s="4">
        <f t="shared" si="2"/>
        <v>46.75</v>
      </c>
      <c r="M43" s="4">
        <f t="shared" si="3"/>
        <v>3.0499999999999972</v>
      </c>
      <c r="N43" s="4">
        <v>7.18</v>
      </c>
      <c r="O43" s="4">
        <v>0</v>
      </c>
      <c r="P43" s="4">
        <v>63</v>
      </c>
      <c r="Q43" s="4">
        <v>23.1</v>
      </c>
      <c r="R43" s="4">
        <v>8.1</v>
      </c>
      <c r="S43" s="4">
        <v>18.21</v>
      </c>
      <c r="T43" s="4">
        <v>-18.21</v>
      </c>
      <c r="U43" s="4">
        <v>0.9</v>
      </c>
      <c r="V43" s="4">
        <v>1187.3399999999999</v>
      </c>
      <c r="W43" s="4">
        <v>305.45</v>
      </c>
      <c r="X43" s="4">
        <v>177.47</v>
      </c>
      <c r="Y43" s="4">
        <v>241.93</v>
      </c>
      <c r="Z43" s="4">
        <v>11.72</v>
      </c>
      <c r="AA43" s="4">
        <v>0.04</v>
      </c>
      <c r="AB43" s="4">
        <v>7.72</v>
      </c>
      <c r="AC43" s="4">
        <v>-80.099999999999994</v>
      </c>
      <c r="AD43" s="4">
        <v>980</v>
      </c>
      <c r="AE43" s="4">
        <v>8765</v>
      </c>
      <c r="AF43" s="4">
        <v>108.62</v>
      </c>
      <c r="AG43" s="4">
        <v>0.88</v>
      </c>
      <c r="AH43" s="4">
        <v>-1077.68</v>
      </c>
      <c r="AI43" s="4">
        <v>159.79</v>
      </c>
      <c r="AJ43" s="4">
        <v>60</v>
      </c>
      <c r="AK43" s="4">
        <v>9</v>
      </c>
      <c r="AL43" s="4">
        <v>9</v>
      </c>
      <c r="AM43" s="4">
        <v>0.28000000000000003</v>
      </c>
      <c r="AN43" s="4">
        <v>588</v>
      </c>
      <c r="AO43" s="4">
        <v>590.54999999999995</v>
      </c>
      <c r="AP43" s="4">
        <v>459425.01</v>
      </c>
      <c r="AQ43" s="4">
        <v>376229.97</v>
      </c>
      <c r="AR43" s="4" t="s">
        <v>231</v>
      </c>
      <c r="AS43" s="5">
        <f t="shared" si="0"/>
        <v>4.748575342465756</v>
      </c>
    </row>
    <row r="44" spans="1:45" ht="14.25" customHeight="1" x14ac:dyDescent="0.55000000000000004">
      <c r="A44" s="4">
        <v>0</v>
      </c>
      <c r="B44" s="4">
        <v>8.1</v>
      </c>
      <c r="C44" s="4">
        <v>1234.82</v>
      </c>
      <c r="D44" s="4">
        <v>7.8</v>
      </c>
      <c r="E44" s="4" t="s">
        <v>2706</v>
      </c>
      <c r="F44" s="4" t="s">
        <v>2637</v>
      </c>
      <c r="G44" s="4" t="s">
        <v>2333</v>
      </c>
      <c r="H44" s="4" t="s">
        <v>2707</v>
      </c>
      <c r="I44" s="4">
        <v>0</v>
      </c>
      <c r="J44" s="4">
        <v>2279.2800000000002</v>
      </c>
      <c r="K44" s="4">
        <f t="shared" si="1"/>
        <v>54.34</v>
      </c>
      <c r="L44" s="4">
        <f t="shared" si="2"/>
        <v>51</v>
      </c>
      <c r="M44" s="4">
        <f t="shared" si="3"/>
        <v>3.3400000000000034</v>
      </c>
      <c r="N44" s="4">
        <v>7.44</v>
      </c>
      <c r="O44" s="4">
        <v>0</v>
      </c>
      <c r="P44" s="4">
        <v>86</v>
      </c>
      <c r="Q44" s="4">
        <v>17.3</v>
      </c>
      <c r="R44" s="4">
        <v>8.1</v>
      </c>
      <c r="S44" s="4">
        <v>15.64</v>
      </c>
      <c r="T44" s="4">
        <v>-15.64</v>
      </c>
      <c r="U44" s="4">
        <v>0.54</v>
      </c>
      <c r="V44" s="4">
        <v>790.28</v>
      </c>
      <c r="W44" s="4">
        <v>207.09</v>
      </c>
      <c r="X44" s="4">
        <v>133.63999999999999</v>
      </c>
      <c r="Y44" s="4">
        <v>160.88</v>
      </c>
      <c r="Z44" s="4">
        <v>6.39</v>
      </c>
      <c r="AA44" s="4">
        <v>-0.24</v>
      </c>
      <c r="AB44" s="4">
        <v>8.27</v>
      </c>
      <c r="AC44" s="4">
        <v>-107.42</v>
      </c>
      <c r="AD44" s="4">
        <v>980</v>
      </c>
      <c r="AE44" s="4">
        <v>8765</v>
      </c>
      <c r="AF44" s="4">
        <v>108.62</v>
      </c>
      <c r="AG44" s="4">
        <v>0.88</v>
      </c>
      <c r="AH44" s="4">
        <v>-237.05</v>
      </c>
      <c r="AI44" s="4">
        <v>79.900000000000006</v>
      </c>
      <c r="AJ44" s="4">
        <v>60</v>
      </c>
      <c r="AK44" s="4">
        <v>9</v>
      </c>
      <c r="AL44" s="4">
        <v>9</v>
      </c>
      <c r="AM44" s="4">
        <v>0.56999999999999995</v>
      </c>
      <c r="AN44" s="4">
        <v>588</v>
      </c>
      <c r="AO44" s="4">
        <v>593.1</v>
      </c>
      <c r="AP44" s="4">
        <v>293151.46000000002</v>
      </c>
      <c r="AQ44" s="4">
        <v>224283.22</v>
      </c>
      <c r="AR44" s="4" t="s">
        <v>236</v>
      </c>
      <c r="AS44" s="5">
        <f t="shared" si="0"/>
        <v>3.9308356164383573</v>
      </c>
    </row>
    <row r="45" spans="1:45" ht="14.25" customHeight="1" x14ac:dyDescent="0.55000000000000004">
      <c r="A45" s="4">
        <v>0</v>
      </c>
      <c r="B45" s="4">
        <v>8.1</v>
      </c>
      <c r="C45" s="4">
        <v>1399.5</v>
      </c>
      <c r="D45" s="4">
        <v>7.8</v>
      </c>
      <c r="E45" s="4" t="s">
        <v>2641</v>
      </c>
      <c r="F45" s="4" t="s">
        <v>2616</v>
      </c>
      <c r="G45" s="4" t="s">
        <v>2333</v>
      </c>
      <c r="H45" s="4" t="s">
        <v>2708</v>
      </c>
      <c r="I45" s="4">
        <v>0</v>
      </c>
      <c r="J45" s="4">
        <v>2302.2399999999998</v>
      </c>
      <c r="K45" s="4">
        <f t="shared" si="1"/>
        <v>52.66</v>
      </c>
      <c r="L45" s="4">
        <f t="shared" si="2"/>
        <v>51</v>
      </c>
      <c r="M45" s="4">
        <f t="shared" si="3"/>
        <v>1.6599999999999966</v>
      </c>
      <c r="N45" s="4">
        <v>7.45</v>
      </c>
      <c r="O45" s="4">
        <v>0</v>
      </c>
      <c r="P45" s="4">
        <v>77</v>
      </c>
      <c r="Q45" s="4">
        <v>17</v>
      </c>
      <c r="R45" s="4">
        <v>8.1</v>
      </c>
      <c r="S45" s="4">
        <v>14.3</v>
      </c>
      <c r="T45" s="4">
        <v>-14.3</v>
      </c>
      <c r="U45" s="4">
        <v>0.61</v>
      </c>
      <c r="V45" s="4">
        <v>895.68</v>
      </c>
      <c r="W45" s="4">
        <v>234.6</v>
      </c>
      <c r="X45" s="4">
        <v>150.94999999999999</v>
      </c>
      <c r="Y45" s="4">
        <v>182.35</v>
      </c>
      <c r="Z45" s="4">
        <v>6.19</v>
      </c>
      <c r="AA45" s="4">
        <v>-0.13</v>
      </c>
      <c r="AB45" s="4">
        <v>8.07</v>
      </c>
      <c r="AC45" s="4">
        <v>-130.63999999999999</v>
      </c>
      <c r="AD45" s="4">
        <v>980</v>
      </c>
      <c r="AE45" s="4">
        <v>8765</v>
      </c>
      <c r="AF45" s="4">
        <v>108.62</v>
      </c>
      <c r="AG45" s="4">
        <v>0.88</v>
      </c>
      <c r="AH45" s="4">
        <v>-277.02</v>
      </c>
      <c r="AI45" s="4">
        <v>79.900000000000006</v>
      </c>
      <c r="AJ45" s="4">
        <v>60</v>
      </c>
      <c r="AK45" s="4">
        <v>9</v>
      </c>
      <c r="AL45" s="4">
        <v>9</v>
      </c>
      <c r="AM45" s="4">
        <v>0.56999999999999995</v>
      </c>
      <c r="AN45" s="4">
        <v>588</v>
      </c>
      <c r="AO45" s="4">
        <v>593.1</v>
      </c>
      <c r="AP45" s="4">
        <v>263205.83</v>
      </c>
      <c r="AQ45" s="4">
        <v>224283.22</v>
      </c>
      <c r="AR45" s="4" t="s">
        <v>241</v>
      </c>
      <c r="AS45" s="5">
        <f t="shared" si="0"/>
        <v>2.2216101598173523</v>
      </c>
    </row>
    <row r="46" spans="1:45" ht="14.25" customHeight="1" x14ac:dyDescent="0.55000000000000004">
      <c r="A46" s="4">
        <v>0</v>
      </c>
      <c r="B46" s="4">
        <v>8.1</v>
      </c>
      <c r="C46" s="4">
        <v>1422.6</v>
      </c>
      <c r="D46" s="4">
        <v>7.8</v>
      </c>
      <c r="E46" s="4" t="s">
        <v>2709</v>
      </c>
      <c r="F46" s="4" t="s">
        <v>2710</v>
      </c>
      <c r="G46" s="4" t="s">
        <v>2333</v>
      </c>
      <c r="H46" s="4" t="s">
        <v>2711</v>
      </c>
      <c r="I46" s="4">
        <v>0</v>
      </c>
      <c r="J46" s="4">
        <v>2051.54</v>
      </c>
      <c r="K46" s="4">
        <f t="shared" si="1"/>
        <v>52.46</v>
      </c>
      <c r="L46" s="4">
        <f t="shared" si="2"/>
        <v>46.980000000000004</v>
      </c>
      <c r="M46" s="4">
        <f t="shared" si="3"/>
        <v>5.4799999999999969</v>
      </c>
      <c r="N46" s="4">
        <v>7.19</v>
      </c>
      <c r="O46" s="4">
        <v>0</v>
      </c>
      <c r="P46" s="4">
        <v>86</v>
      </c>
      <c r="Q46" s="4">
        <v>16</v>
      </c>
      <c r="R46" s="4">
        <v>8.1</v>
      </c>
      <c r="S46" s="4">
        <v>14.37</v>
      </c>
      <c r="T46" s="4">
        <v>-14.37</v>
      </c>
      <c r="U46" s="4">
        <v>0.69</v>
      </c>
      <c r="V46" s="4">
        <v>910.47</v>
      </c>
      <c r="W46" s="4">
        <v>234.77</v>
      </c>
      <c r="X46" s="4">
        <v>138.47999999999999</v>
      </c>
      <c r="Y46" s="4">
        <v>185.47</v>
      </c>
      <c r="Z46" s="4">
        <v>11.73</v>
      </c>
      <c r="AA46" s="4">
        <v>-0.17</v>
      </c>
      <c r="AB46" s="4">
        <v>8.14</v>
      </c>
      <c r="AC46" s="4">
        <v>-129.13999999999999</v>
      </c>
      <c r="AD46" s="4">
        <v>980</v>
      </c>
      <c r="AE46" s="4">
        <v>8765</v>
      </c>
      <c r="AF46" s="4">
        <v>108.62</v>
      </c>
      <c r="AG46" s="4">
        <v>0.88</v>
      </c>
      <c r="AH46" s="4">
        <v>-354.33</v>
      </c>
      <c r="AI46" s="4">
        <v>151.80000000000001</v>
      </c>
      <c r="AJ46" s="4">
        <v>60</v>
      </c>
      <c r="AK46" s="4">
        <v>9</v>
      </c>
      <c r="AL46" s="4">
        <v>9</v>
      </c>
      <c r="AM46" s="4">
        <v>0.3</v>
      </c>
      <c r="AN46" s="4">
        <v>588</v>
      </c>
      <c r="AO46" s="4">
        <v>590.67999999999995</v>
      </c>
      <c r="AP46" s="4">
        <v>488778.84</v>
      </c>
      <c r="AQ46" s="4">
        <v>368232.77</v>
      </c>
      <c r="AR46" s="4" t="s">
        <v>245</v>
      </c>
      <c r="AS46" s="5">
        <f t="shared" si="0"/>
        <v>6.8804834474885848</v>
      </c>
    </row>
    <row r="47" spans="1:45" ht="14.25" customHeight="1" x14ac:dyDescent="0.55000000000000004">
      <c r="A47" s="4">
        <v>0</v>
      </c>
      <c r="B47" s="4">
        <v>8.1</v>
      </c>
      <c r="C47" s="4">
        <v>2222.87</v>
      </c>
      <c r="D47" s="4">
        <v>7.8</v>
      </c>
      <c r="E47" s="4" t="s">
        <v>2712</v>
      </c>
      <c r="F47" s="4" t="s">
        <v>2713</v>
      </c>
      <c r="G47" s="4" t="s">
        <v>2333</v>
      </c>
      <c r="H47" s="4" t="s">
        <v>2714</v>
      </c>
      <c r="I47" s="4">
        <v>0</v>
      </c>
      <c r="J47" s="4">
        <v>2082.3200000000002</v>
      </c>
      <c r="K47" s="4">
        <f t="shared" si="1"/>
        <v>48.45</v>
      </c>
      <c r="L47" s="4">
        <f t="shared" si="2"/>
        <v>47.5</v>
      </c>
      <c r="M47" s="4">
        <f t="shared" si="3"/>
        <v>0.95000000000000284</v>
      </c>
      <c r="N47" s="4">
        <v>7.19</v>
      </c>
      <c r="O47" s="4">
        <v>0</v>
      </c>
      <c r="P47" s="4">
        <v>61</v>
      </c>
      <c r="Q47" s="4">
        <v>23</v>
      </c>
      <c r="R47" s="4">
        <v>8.1</v>
      </c>
      <c r="S47" s="4">
        <v>17.84</v>
      </c>
      <c r="T47" s="4">
        <v>-17.84</v>
      </c>
      <c r="U47" s="4">
        <v>1.07</v>
      </c>
      <c r="V47" s="4">
        <v>1422.64</v>
      </c>
      <c r="W47" s="4">
        <v>365.87</v>
      </c>
      <c r="X47" s="4">
        <v>212.06</v>
      </c>
      <c r="Y47" s="4">
        <v>289.89999999999998</v>
      </c>
      <c r="Z47" s="4">
        <v>9.69</v>
      </c>
      <c r="AA47" s="4">
        <v>0.19</v>
      </c>
      <c r="AB47" s="4">
        <v>7.43</v>
      </c>
      <c r="AC47" s="4">
        <v>-83.12</v>
      </c>
      <c r="AD47" s="4">
        <v>980</v>
      </c>
      <c r="AE47" s="4">
        <v>8765</v>
      </c>
      <c r="AF47" s="4">
        <v>108.62</v>
      </c>
      <c r="AG47" s="4">
        <v>0.88</v>
      </c>
      <c r="AH47" s="4">
        <v>1609.39</v>
      </c>
      <c r="AI47" s="4">
        <v>135.82</v>
      </c>
      <c r="AJ47" s="4">
        <v>60</v>
      </c>
      <c r="AK47" s="4">
        <v>9</v>
      </c>
      <c r="AL47" s="4">
        <v>9</v>
      </c>
      <c r="AM47" s="4">
        <v>0.33</v>
      </c>
      <c r="AN47" s="4">
        <v>588</v>
      </c>
      <c r="AO47" s="4">
        <v>591</v>
      </c>
      <c r="AP47" s="4">
        <v>433166.16</v>
      </c>
      <c r="AQ47" s="4">
        <v>349415.84</v>
      </c>
      <c r="AR47" s="4" t="s">
        <v>250</v>
      </c>
      <c r="AS47" s="5">
        <f t="shared" si="0"/>
        <v>4.7802694063926907</v>
      </c>
    </row>
    <row r="48" spans="1:45" ht="14.25" customHeight="1" x14ac:dyDescent="0.55000000000000004">
      <c r="A48" s="4">
        <v>0</v>
      </c>
      <c r="B48" s="4">
        <v>8.1</v>
      </c>
      <c r="C48" s="4">
        <v>1230.1300000000001</v>
      </c>
      <c r="D48" s="4">
        <v>7.8</v>
      </c>
      <c r="E48" s="4" t="s">
        <v>2715</v>
      </c>
      <c r="F48" s="4" t="s">
        <v>2716</v>
      </c>
      <c r="G48" s="4" t="s">
        <v>2333</v>
      </c>
      <c r="H48" s="4" t="s">
        <v>2717</v>
      </c>
      <c r="I48" s="4">
        <v>0</v>
      </c>
      <c r="J48" s="4">
        <v>1993.79</v>
      </c>
      <c r="K48" s="4">
        <f t="shared" si="1"/>
        <v>54.39</v>
      </c>
      <c r="L48" s="4">
        <f t="shared" si="2"/>
        <v>46.55</v>
      </c>
      <c r="M48" s="4">
        <f t="shared" si="3"/>
        <v>7.8400000000000034</v>
      </c>
      <c r="N48" s="4">
        <v>7.15</v>
      </c>
      <c r="O48" s="4">
        <v>0</v>
      </c>
      <c r="P48" s="4">
        <v>84</v>
      </c>
      <c r="Q48" s="4">
        <v>16.8</v>
      </c>
      <c r="R48" s="4">
        <v>8.1</v>
      </c>
      <c r="S48" s="4">
        <v>14.92</v>
      </c>
      <c r="T48" s="4">
        <v>-14.92</v>
      </c>
      <c r="U48" s="4">
        <v>0.62</v>
      </c>
      <c r="V48" s="4">
        <v>787.29</v>
      </c>
      <c r="W48" s="4">
        <v>202.63</v>
      </c>
      <c r="X48" s="4">
        <v>118.32</v>
      </c>
      <c r="Y48" s="4">
        <v>160.37</v>
      </c>
      <c r="Z48" s="4">
        <v>13.44</v>
      </c>
      <c r="AA48" s="4">
        <v>-0.3</v>
      </c>
      <c r="AB48" s="4">
        <v>8.39</v>
      </c>
      <c r="AC48" s="4">
        <v>-118.76</v>
      </c>
      <c r="AD48" s="4">
        <v>980</v>
      </c>
      <c r="AE48" s="4">
        <v>8765</v>
      </c>
      <c r="AF48" s="4">
        <v>108.62</v>
      </c>
      <c r="AG48" s="4">
        <v>0.88</v>
      </c>
      <c r="AH48" s="4">
        <v>-283.60000000000002</v>
      </c>
      <c r="AI48" s="4">
        <v>167.78</v>
      </c>
      <c r="AJ48" s="4">
        <v>60</v>
      </c>
      <c r="AK48" s="4">
        <v>9</v>
      </c>
      <c r="AL48" s="4">
        <v>9</v>
      </c>
      <c r="AM48" s="4">
        <v>0.27</v>
      </c>
      <c r="AN48" s="4">
        <v>588</v>
      </c>
      <c r="AO48" s="4">
        <v>590.42999999999995</v>
      </c>
      <c r="AP48" s="4">
        <v>555694.89</v>
      </c>
      <c r="AQ48" s="4">
        <v>383465.53</v>
      </c>
      <c r="AR48" s="4" t="s">
        <v>255</v>
      </c>
      <c r="AS48" s="5">
        <f t="shared" si="0"/>
        <v>9.830442922374429</v>
      </c>
    </row>
    <row r="49" spans="1:45" ht="14.25" customHeight="1" x14ac:dyDescent="0.55000000000000004">
      <c r="A49" s="4">
        <v>0</v>
      </c>
      <c r="B49" s="4">
        <v>8.1</v>
      </c>
      <c r="C49" s="4">
        <v>1167.78</v>
      </c>
      <c r="D49" s="4">
        <v>7.8</v>
      </c>
      <c r="E49" s="4" t="s">
        <v>2718</v>
      </c>
      <c r="F49" s="4" t="s">
        <v>2719</v>
      </c>
      <c r="G49" s="4" t="s">
        <v>2333</v>
      </c>
      <c r="H49" s="4" t="s">
        <v>2720</v>
      </c>
      <c r="I49" s="4">
        <v>0</v>
      </c>
      <c r="J49" s="4">
        <v>1929.23</v>
      </c>
      <c r="K49" s="4">
        <f t="shared" si="1"/>
        <v>55.2</v>
      </c>
      <c r="L49" s="4">
        <f t="shared" si="2"/>
        <v>45.900000000000006</v>
      </c>
      <c r="M49" s="4">
        <f t="shared" si="3"/>
        <v>9.2999999999999972</v>
      </c>
      <c r="N49" s="4">
        <v>7.1</v>
      </c>
      <c r="O49" s="4">
        <v>0</v>
      </c>
      <c r="P49" s="4">
        <v>73</v>
      </c>
      <c r="Q49" s="4">
        <v>21.2</v>
      </c>
      <c r="R49" s="4">
        <v>8.1</v>
      </c>
      <c r="S49" s="4">
        <v>17.79</v>
      </c>
      <c r="T49" s="4">
        <v>-17.79</v>
      </c>
      <c r="U49" s="4">
        <v>0.61</v>
      </c>
      <c r="V49" s="4">
        <v>747.38</v>
      </c>
      <c r="W49" s="4">
        <v>191.6</v>
      </c>
      <c r="X49" s="4">
        <v>109.34</v>
      </c>
      <c r="Y49" s="4">
        <v>152.26</v>
      </c>
      <c r="Z49" s="4">
        <v>16.23</v>
      </c>
      <c r="AA49" s="4">
        <v>-0.35</v>
      </c>
      <c r="AB49" s="4">
        <v>8.51</v>
      </c>
      <c r="AC49" s="4">
        <v>-83.63</v>
      </c>
      <c r="AD49" s="4">
        <v>980</v>
      </c>
      <c r="AE49" s="4">
        <v>8765</v>
      </c>
      <c r="AF49" s="4">
        <v>108.62</v>
      </c>
      <c r="AG49" s="4">
        <v>0.88</v>
      </c>
      <c r="AH49" s="4">
        <v>-275.20999999999998</v>
      </c>
      <c r="AI49" s="4">
        <v>199.74</v>
      </c>
      <c r="AJ49" s="4">
        <v>60</v>
      </c>
      <c r="AK49" s="4">
        <v>9</v>
      </c>
      <c r="AL49" s="4">
        <v>9</v>
      </c>
      <c r="AM49" s="4">
        <v>0.23</v>
      </c>
      <c r="AN49" s="4">
        <v>588</v>
      </c>
      <c r="AO49" s="4">
        <v>590.04</v>
      </c>
      <c r="AP49" s="4">
        <v>621483.29</v>
      </c>
      <c r="AQ49" s="4">
        <v>406619.31</v>
      </c>
      <c r="AR49" s="4" t="s">
        <v>260</v>
      </c>
      <c r="AS49" s="5">
        <f t="shared" si="0"/>
        <v>12.26392579908676</v>
      </c>
    </row>
    <row r="50" spans="1:45" ht="14.25" customHeight="1" x14ac:dyDescent="0.55000000000000004">
      <c r="A50" s="4">
        <v>0</v>
      </c>
      <c r="B50" s="4">
        <v>8.1</v>
      </c>
      <c r="C50" s="4">
        <v>1228.48</v>
      </c>
      <c r="D50" s="4">
        <v>7.8</v>
      </c>
      <c r="E50" s="4" t="s">
        <v>2721</v>
      </c>
      <c r="F50" s="4" t="s">
        <v>2722</v>
      </c>
      <c r="G50" s="4" t="s">
        <v>2333</v>
      </c>
      <c r="H50" s="4" t="s">
        <v>2723</v>
      </c>
      <c r="I50" s="4">
        <v>0</v>
      </c>
      <c r="J50" s="4">
        <v>2303.6</v>
      </c>
      <c r="K50" s="4">
        <f t="shared" si="1"/>
        <v>54.41</v>
      </c>
      <c r="L50" s="4">
        <f t="shared" si="2"/>
        <v>51</v>
      </c>
      <c r="M50" s="4">
        <f t="shared" si="3"/>
        <v>3.4099999999999966</v>
      </c>
      <c r="N50" s="4">
        <v>7.46</v>
      </c>
      <c r="O50" s="4">
        <v>0</v>
      </c>
      <c r="P50" s="4">
        <v>86</v>
      </c>
      <c r="Q50" s="4">
        <v>16.399999999999999</v>
      </c>
      <c r="R50" s="4">
        <v>8.1</v>
      </c>
      <c r="S50" s="4">
        <v>14.76</v>
      </c>
      <c r="T50" s="4">
        <v>-14.76</v>
      </c>
      <c r="U50" s="4">
        <v>0.53</v>
      </c>
      <c r="V50" s="4">
        <v>786.23</v>
      </c>
      <c r="W50" s="4">
        <v>206.31</v>
      </c>
      <c r="X50" s="4">
        <v>134.12</v>
      </c>
      <c r="Y50" s="4">
        <v>160.05000000000001</v>
      </c>
      <c r="Z50" s="4">
        <v>6.4</v>
      </c>
      <c r="AA50" s="4">
        <v>-0.24</v>
      </c>
      <c r="AB50" s="4">
        <v>8.27</v>
      </c>
      <c r="AC50" s="4">
        <v>-121.58</v>
      </c>
      <c r="AD50" s="4">
        <v>980</v>
      </c>
      <c r="AE50" s="4">
        <v>8765</v>
      </c>
      <c r="AF50" s="4">
        <v>108.62</v>
      </c>
      <c r="AG50" s="4">
        <v>0.88</v>
      </c>
      <c r="AH50" s="4">
        <v>-232.74</v>
      </c>
      <c r="AI50" s="4">
        <v>79.900000000000006</v>
      </c>
      <c r="AJ50" s="4">
        <v>60</v>
      </c>
      <c r="AK50" s="4">
        <v>9</v>
      </c>
      <c r="AL50" s="4">
        <v>9</v>
      </c>
      <c r="AM50" s="4">
        <v>0.56999999999999995</v>
      </c>
      <c r="AN50" s="4">
        <v>588</v>
      </c>
      <c r="AO50" s="4">
        <v>593.1</v>
      </c>
      <c r="AP50" s="4">
        <v>271214.76</v>
      </c>
      <c r="AQ50" s="4">
        <v>224283.22</v>
      </c>
      <c r="AR50" s="4" t="s">
        <v>265</v>
      </c>
      <c r="AS50" s="5">
        <f t="shared" si="0"/>
        <v>2.6787408675799091</v>
      </c>
    </row>
    <row r="51" spans="1:45" ht="14.25" customHeight="1" x14ac:dyDescent="0.55000000000000004">
      <c r="A51" s="4">
        <v>0</v>
      </c>
      <c r="B51" s="4">
        <v>8.1</v>
      </c>
      <c r="C51" s="4">
        <v>1147.55</v>
      </c>
      <c r="D51" s="4">
        <v>7.8</v>
      </c>
      <c r="E51" s="4" t="s">
        <v>2724</v>
      </c>
      <c r="F51" s="4" t="s">
        <v>2616</v>
      </c>
      <c r="G51" s="4" t="s">
        <v>2333</v>
      </c>
      <c r="H51" s="4" t="s">
        <v>2725</v>
      </c>
      <c r="I51" s="4">
        <v>0</v>
      </c>
      <c r="J51" s="4">
        <v>2284.67</v>
      </c>
      <c r="K51" s="4">
        <f t="shared" si="1"/>
        <v>55.48</v>
      </c>
      <c r="L51" s="4">
        <f t="shared" si="2"/>
        <v>51</v>
      </c>
      <c r="M51" s="4">
        <f t="shared" si="3"/>
        <v>4.4799999999999969</v>
      </c>
      <c r="N51" s="4">
        <v>7.45</v>
      </c>
      <c r="O51" s="4">
        <v>0</v>
      </c>
      <c r="P51" s="4">
        <v>85</v>
      </c>
      <c r="Q51" s="4">
        <v>16.7</v>
      </c>
      <c r="R51" s="4">
        <v>8.1</v>
      </c>
      <c r="S51" s="4">
        <v>14.94</v>
      </c>
      <c r="T51" s="4">
        <v>-14.94</v>
      </c>
      <c r="U51" s="4">
        <v>0.5</v>
      </c>
      <c r="V51" s="4">
        <v>734.43</v>
      </c>
      <c r="W51" s="4">
        <v>192.72</v>
      </c>
      <c r="X51" s="4">
        <v>125.35</v>
      </c>
      <c r="Y51" s="4">
        <v>149.5</v>
      </c>
      <c r="Z51" s="4">
        <v>6.53</v>
      </c>
      <c r="AA51" s="4">
        <v>-0.28999999999999998</v>
      </c>
      <c r="AB51" s="4">
        <v>8.3800000000000008</v>
      </c>
      <c r="AC51" s="4">
        <v>-118.43</v>
      </c>
      <c r="AD51" s="4">
        <v>980</v>
      </c>
      <c r="AE51" s="4">
        <v>8765</v>
      </c>
      <c r="AF51" s="4">
        <v>108.62</v>
      </c>
      <c r="AG51" s="4">
        <v>0.88</v>
      </c>
      <c r="AH51" s="4">
        <v>-218.25</v>
      </c>
      <c r="AI51" s="4">
        <v>79.900000000000006</v>
      </c>
      <c r="AJ51" s="4">
        <v>60</v>
      </c>
      <c r="AK51" s="4">
        <v>9</v>
      </c>
      <c r="AL51" s="4">
        <v>9</v>
      </c>
      <c r="AM51" s="4">
        <v>0.56999999999999995</v>
      </c>
      <c r="AN51" s="4">
        <v>588</v>
      </c>
      <c r="AO51" s="4">
        <v>593.1</v>
      </c>
      <c r="AP51" s="4">
        <v>294367.63</v>
      </c>
      <c r="AQ51" s="4">
        <v>224283.22</v>
      </c>
      <c r="AR51" s="4" t="s">
        <v>270</v>
      </c>
      <c r="AS51" s="5">
        <f t="shared" si="0"/>
        <v>4.0002517123287671</v>
      </c>
    </row>
    <row r="52" spans="1:45" ht="14.25" customHeight="1" x14ac:dyDescent="0.55000000000000004">
      <c r="A52" s="4">
        <v>0</v>
      </c>
      <c r="B52" s="4">
        <v>8.1</v>
      </c>
      <c r="C52" s="4">
        <v>13502.83</v>
      </c>
      <c r="D52" s="4">
        <v>7.8</v>
      </c>
      <c r="E52" s="4" t="s">
        <v>2726</v>
      </c>
      <c r="F52" s="4" t="s">
        <v>2727</v>
      </c>
      <c r="G52" s="4" t="s">
        <v>2333</v>
      </c>
      <c r="H52" s="4" t="s">
        <v>2728</v>
      </c>
      <c r="I52" s="4">
        <v>0</v>
      </c>
      <c r="J52" s="4">
        <v>2229.85</v>
      </c>
      <c r="K52" s="4">
        <f t="shared" si="1"/>
        <v>43.4</v>
      </c>
      <c r="L52" s="4">
        <f t="shared" si="2"/>
        <v>51.95</v>
      </c>
      <c r="M52" s="4">
        <f t="shared" si="3"/>
        <v>-8.5500000000000043</v>
      </c>
      <c r="N52" s="4">
        <v>7.28</v>
      </c>
      <c r="O52" s="4">
        <v>0</v>
      </c>
      <c r="P52" s="4">
        <v>79</v>
      </c>
      <c r="Q52" s="4">
        <v>17.100000000000001</v>
      </c>
      <c r="R52" s="4">
        <v>8.1</v>
      </c>
      <c r="S52" s="4">
        <v>14.63</v>
      </c>
      <c r="T52" s="4">
        <v>-14.63</v>
      </c>
      <c r="U52" s="4">
        <v>6.06</v>
      </c>
      <c r="V52" s="4">
        <v>8641.81</v>
      </c>
      <c r="W52" s="4">
        <v>2230.5100000000002</v>
      </c>
      <c r="X52" s="4">
        <v>1317.39</v>
      </c>
      <c r="Y52" s="4">
        <v>1761.27</v>
      </c>
      <c r="Z52" s="4">
        <v>4.59</v>
      </c>
      <c r="AA52" s="4">
        <v>1.69</v>
      </c>
      <c r="AB52" s="4">
        <v>4.43</v>
      </c>
      <c r="AC52" s="4">
        <v>-124.07</v>
      </c>
      <c r="AD52" s="4">
        <v>980</v>
      </c>
      <c r="AE52" s="4">
        <v>8765</v>
      </c>
      <c r="AF52" s="4">
        <v>108.62</v>
      </c>
      <c r="AG52" s="4">
        <v>0.88</v>
      </c>
      <c r="AH52" s="4">
        <v>21.49</v>
      </c>
      <c r="AI52" s="4">
        <v>71.91</v>
      </c>
      <c r="AJ52" s="4">
        <v>60</v>
      </c>
      <c r="AK52" s="4">
        <v>9</v>
      </c>
      <c r="AL52" s="4">
        <v>9</v>
      </c>
      <c r="AM52" s="4">
        <v>0.63</v>
      </c>
      <c r="AN52" s="4">
        <v>588</v>
      </c>
      <c r="AO52" s="4">
        <v>593.66999999999996</v>
      </c>
      <c r="AP52" s="4">
        <v>274874.23999999999</v>
      </c>
      <c r="AQ52" s="4">
        <v>190517.28</v>
      </c>
      <c r="AR52" s="4" t="s">
        <v>1313</v>
      </c>
      <c r="AS52" s="5">
        <f t="shared" si="0"/>
        <v>4.8148949771689491</v>
      </c>
    </row>
    <row r="53" spans="1:45" ht="14.25" customHeight="1" x14ac:dyDescent="0.55000000000000004">
      <c r="A53" s="4">
        <v>0</v>
      </c>
      <c r="B53" s="4">
        <v>8.1</v>
      </c>
      <c r="C53" s="4">
        <v>1307.3800000000001</v>
      </c>
      <c r="D53" s="4">
        <v>7.8</v>
      </c>
      <c r="E53" s="4" t="s">
        <v>2729</v>
      </c>
      <c r="F53" s="4" t="s">
        <v>2730</v>
      </c>
      <c r="G53" s="4" t="s">
        <v>2333</v>
      </c>
      <c r="H53" s="4" t="s">
        <v>2731</v>
      </c>
      <c r="I53" s="4">
        <v>0</v>
      </c>
      <c r="J53" s="4">
        <v>1972.06</v>
      </c>
      <c r="K53" s="4">
        <f t="shared" si="1"/>
        <v>53.53</v>
      </c>
      <c r="L53" s="4">
        <f t="shared" si="2"/>
        <v>46.55</v>
      </c>
      <c r="M53" s="4">
        <f t="shared" si="3"/>
        <v>6.980000000000004</v>
      </c>
      <c r="N53" s="4">
        <v>7.12</v>
      </c>
      <c r="O53" s="4">
        <v>0</v>
      </c>
      <c r="P53" s="4">
        <v>78</v>
      </c>
      <c r="Q53" s="4">
        <v>18.899999999999999</v>
      </c>
      <c r="R53" s="4">
        <v>8.1</v>
      </c>
      <c r="S53" s="4">
        <v>16.23</v>
      </c>
      <c r="T53" s="4">
        <v>-16.23</v>
      </c>
      <c r="U53" s="4">
        <v>0.66</v>
      </c>
      <c r="V53" s="4">
        <v>836.72</v>
      </c>
      <c r="W53" s="4">
        <v>214.79</v>
      </c>
      <c r="X53" s="4">
        <v>123.43</v>
      </c>
      <c r="Y53" s="4">
        <v>170.47</v>
      </c>
      <c r="Z53" s="4">
        <v>13.23</v>
      </c>
      <c r="AA53" s="4">
        <v>-0.26</v>
      </c>
      <c r="AB53" s="4">
        <v>8.31</v>
      </c>
      <c r="AC53" s="4">
        <v>-99.63</v>
      </c>
      <c r="AD53" s="4">
        <v>980</v>
      </c>
      <c r="AE53" s="4">
        <v>8765</v>
      </c>
      <c r="AF53" s="4">
        <v>108.62</v>
      </c>
      <c r="AG53" s="4">
        <v>0.88</v>
      </c>
      <c r="AH53" s="4">
        <v>-322.27999999999997</v>
      </c>
      <c r="AI53" s="4">
        <v>167.78</v>
      </c>
      <c r="AJ53" s="4">
        <v>60</v>
      </c>
      <c r="AK53" s="4">
        <v>9</v>
      </c>
      <c r="AL53" s="4">
        <v>9</v>
      </c>
      <c r="AM53" s="4">
        <v>0.27</v>
      </c>
      <c r="AN53" s="4">
        <v>588</v>
      </c>
      <c r="AO53" s="4">
        <v>590.42999999999995</v>
      </c>
      <c r="AP53" s="4">
        <v>568961.56000000006</v>
      </c>
      <c r="AQ53" s="4">
        <v>383465.53</v>
      </c>
      <c r="AR53" s="4" t="s">
        <v>275</v>
      </c>
      <c r="AS53" s="5">
        <f t="shared" si="0"/>
        <v>10.587672945205481</v>
      </c>
    </row>
    <row r="54" spans="1:45" ht="14.25" customHeight="1" x14ac:dyDescent="0.55000000000000004">
      <c r="A54" s="4">
        <v>0</v>
      </c>
      <c r="B54" s="4">
        <v>8.1</v>
      </c>
      <c r="C54" s="4">
        <v>1134.22</v>
      </c>
      <c r="D54" s="4">
        <v>7.8</v>
      </c>
      <c r="E54" s="4" t="s">
        <v>2732</v>
      </c>
      <c r="F54" s="4" t="s">
        <v>2733</v>
      </c>
      <c r="G54" s="4" t="s">
        <v>2333</v>
      </c>
      <c r="H54" s="4" t="s">
        <v>2734</v>
      </c>
      <c r="I54" s="4">
        <v>0</v>
      </c>
      <c r="J54" s="4">
        <v>2001.32</v>
      </c>
      <c r="K54" s="4">
        <f t="shared" si="1"/>
        <v>55.67</v>
      </c>
      <c r="L54" s="4">
        <f t="shared" si="2"/>
        <v>46.980000000000004</v>
      </c>
      <c r="M54" s="4">
        <f t="shared" si="3"/>
        <v>8.6899999999999977</v>
      </c>
      <c r="N54" s="4">
        <v>7.17</v>
      </c>
      <c r="O54" s="4">
        <v>0</v>
      </c>
      <c r="P54" s="4">
        <v>63</v>
      </c>
      <c r="Q54" s="4">
        <v>22.9</v>
      </c>
      <c r="R54" s="4">
        <v>8.1</v>
      </c>
      <c r="S54" s="4">
        <v>18.03</v>
      </c>
      <c r="T54" s="4">
        <v>-18.03</v>
      </c>
      <c r="U54" s="4">
        <v>0.56999999999999995</v>
      </c>
      <c r="V54" s="4">
        <v>725.9</v>
      </c>
      <c r="W54" s="4">
        <v>187.2</v>
      </c>
      <c r="X54" s="4">
        <v>110.68</v>
      </c>
      <c r="Y54" s="4">
        <v>147.85</v>
      </c>
      <c r="Z54" s="4">
        <v>12.44</v>
      </c>
      <c r="AA54" s="4">
        <v>-0.36</v>
      </c>
      <c r="AB54" s="4">
        <v>8.51</v>
      </c>
      <c r="AC54" s="4">
        <v>-81.569999999999993</v>
      </c>
      <c r="AD54" s="4">
        <v>980</v>
      </c>
      <c r="AE54" s="4">
        <v>8765</v>
      </c>
      <c r="AF54" s="4">
        <v>108.62</v>
      </c>
      <c r="AG54" s="4">
        <v>0.88</v>
      </c>
      <c r="AH54" s="4">
        <v>-250.71</v>
      </c>
      <c r="AI54" s="4">
        <v>151.80000000000001</v>
      </c>
      <c r="AJ54" s="4">
        <v>60</v>
      </c>
      <c r="AK54" s="4">
        <v>9</v>
      </c>
      <c r="AL54" s="4">
        <v>9</v>
      </c>
      <c r="AM54" s="4">
        <v>0.3</v>
      </c>
      <c r="AN54" s="4">
        <v>588</v>
      </c>
      <c r="AO54" s="4">
        <v>590.67999999999995</v>
      </c>
      <c r="AP54" s="4">
        <v>558438.22</v>
      </c>
      <c r="AQ54" s="4">
        <v>368232.77</v>
      </c>
      <c r="AR54" s="4" t="s">
        <v>280</v>
      </c>
      <c r="AS54" s="5">
        <f t="shared" si="0"/>
        <v>10.856475456621002</v>
      </c>
    </row>
    <row r="55" spans="1:45" ht="14.25" customHeight="1" x14ac:dyDescent="0.55000000000000004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f t="shared" si="1"/>
        <v>0</v>
      </c>
      <c r="L55" s="4">
        <f t="shared" si="2"/>
        <v>0</v>
      </c>
      <c r="M55" s="4">
        <f t="shared" si="3"/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5">
        <f t="shared" si="0"/>
        <v>0</v>
      </c>
    </row>
    <row r="56" spans="1:45" ht="14.25" customHeight="1" x14ac:dyDescent="0.55000000000000004">
      <c r="A56" s="4">
        <v>0</v>
      </c>
      <c r="B56" s="4">
        <v>8.1</v>
      </c>
      <c r="C56" s="4">
        <v>501.54</v>
      </c>
      <c r="D56" s="4">
        <v>7.8</v>
      </c>
      <c r="E56" s="4" t="s">
        <v>2735</v>
      </c>
      <c r="F56" s="4" t="s">
        <v>2736</v>
      </c>
      <c r="G56" s="4" t="s">
        <v>2333</v>
      </c>
      <c r="H56" s="4" t="s">
        <v>2737</v>
      </c>
      <c r="I56" s="4">
        <v>0</v>
      </c>
      <c r="J56" s="4">
        <v>1817.19</v>
      </c>
      <c r="K56" s="4">
        <f t="shared" si="1"/>
        <v>93.72999999999999</v>
      </c>
      <c r="L56" s="4">
        <f t="shared" si="2"/>
        <v>51.95</v>
      </c>
      <c r="M56" s="4">
        <f t="shared" si="3"/>
        <v>41.779999999999987</v>
      </c>
      <c r="N56" s="4">
        <v>7.25</v>
      </c>
      <c r="O56" s="4">
        <v>0</v>
      </c>
      <c r="P56" s="4">
        <v>89</v>
      </c>
      <c r="Q56" s="4">
        <v>19.899999999999999</v>
      </c>
      <c r="R56" s="4">
        <v>8.1</v>
      </c>
      <c r="S56" s="4">
        <v>18.55</v>
      </c>
      <c r="T56" s="4">
        <v>-18.55</v>
      </c>
      <c r="U56" s="4">
        <v>0.28000000000000003</v>
      </c>
      <c r="V56" s="4">
        <v>320.99</v>
      </c>
      <c r="W56" s="4">
        <v>84.57</v>
      </c>
      <c r="X56" s="4">
        <v>56.9</v>
      </c>
      <c r="Y56" s="4">
        <v>65.209999999999994</v>
      </c>
      <c r="Z56" s="4">
        <v>9.92</v>
      </c>
      <c r="AA56" s="4">
        <v>-0.96</v>
      </c>
      <c r="AB56" s="4">
        <v>9.7100000000000009</v>
      </c>
      <c r="AC56" s="4">
        <v>-77.53</v>
      </c>
      <c r="AD56" s="4">
        <v>980</v>
      </c>
      <c r="AE56" s="4">
        <v>8765</v>
      </c>
      <c r="AF56" s="4">
        <v>108.62</v>
      </c>
      <c r="AG56" s="4">
        <v>0.88</v>
      </c>
      <c r="AH56" s="4">
        <v>-150.03</v>
      </c>
      <c r="AI56" s="4">
        <v>71.91</v>
      </c>
      <c r="AJ56" s="4">
        <v>60</v>
      </c>
      <c r="AK56" s="4">
        <v>9</v>
      </c>
      <c r="AL56" s="4">
        <v>9</v>
      </c>
      <c r="AM56" s="4">
        <v>0.63</v>
      </c>
      <c r="AN56" s="4">
        <v>588</v>
      </c>
      <c r="AO56" s="4">
        <v>593.66999999999996</v>
      </c>
      <c r="AP56" s="4">
        <v>1069578.42</v>
      </c>
      <c r="AQ56" s="4">
        <v>190517.28</v>
      </c>
      <c r="AR56" s="4" t="s">
        <v>285</v>
      </c>
      <c r="AS56" s="5">
        <f t="shared" si="0"/>
        <v>50.17472260273972</v>
      </c>
    </row>
    <row r="57" spans="1:45" ht="14.25" customHeight="1" x14ac:dyDescent="0.55000000000000004">
      <c r="A57" s="4">
        <v>0</v>
      </c>
      <c r="B57" s="4">
        <v>8.1</v>
      </c>
      <c r="C57" s="4">
        <v>969.95</v>
      </c>
      <c r="D57" s="4">
        <v>7.8</v>
      </c>
      <c r="E57" s="4" t="s">
        <v>2738</v>
      </c>
      <c r="F57" s="4" t="s">
        <v>2739</v>
      </c>
      <c r="G57" s="4" t="s">
        <v>2333</v>
      </c>
      <c r="H57" s="4" t="s">
        <v>2740</v>
      </c>
      <c r="I57" s="4">
        <v>0</v>
      </c>
      <c r="J57" s="4">
        <v>1894.52</v>
      </c>
      <c r="K57" s="4">
        <f t="shared" si="1"/>
        <v>58.67</v>
      </c>
      <c r="L57" s="4">
        <f t="shared" si="2"/>
        <v>46.04</v>
      </c>
      <c r="M57" s="4">
        <f t="shared" si="3"/>
        <v>12.630000000000003</v>
      </c>
      <c r="N57" s="4">
        <v>7.09</v>
      </c>
      <c r="O57" s="4">
        <v>0</v>
      </c>
      <c r="P57" s="4">
        <v>83</v>
      </c>
      <c r="Q57" s="4">
        <v>20.8</v>
      </c>
      <c r="R57" s="4">
        <v>8.1</v>
      </c>
      <c r="S57" s="4">
        <v>18.68</v>
      </c>
      <c r="T57" s="4">
        <v>-18.68</v>
      </c>
      <c r="U57" s="4">
        <v>0.51</v>
      </c>
      <c r="V57" s="4">
        <v>620.77</v>
      </c>
      <c r="W57" s="4">
        <v>159.36000000000001</v>
      </c>
      <c r="X57" s="4">
        <v>91.84</v>
      </c>
      <c r="Y57" s="4">
        <v>126.43</v>
      </c>
      <c r="Z57" s="4">
        <v>16.57</v>
      </c>
      <c r="AA57" s="4">
        <v>-0.5</v>
      </c>
      <c r="AB57" s="4">
        <v>8.8000000000000007</v>
      </c>
      <c r="AC57" s="4">
        <v>-76.59</v>
      </c>
      <c r="AD57" s="4">
        <v>980</v>
      </c>
      <c r="AE57" s="4">
        <v>8765</v>
      </c>
      <c r="AF57" s="4">
        <v>108.62</v>
      </c>
      <c r="AG57" s="4">
        <v>0.88</v>
      </c>
      <c r="AH57" s="4">
        <v>-222.58</v>
      </c>
      <c r="AI57" s="4">
        <v>191.75</v>
      </c>
      <c r="AJ57" s="4">
        <v>60</v>
      </c>
      <c r="AK57" s="4">
        <v>9</v>
      </c>
      <c r="AL57" s="4">
        <v>9</v>
      </c>
      <c r="AM57" s="4">
        <v>0.24</v>
      </c>
      <c r="AN57" s="4">
        <v>588</v>
      </c>
      <c r="AO57" s="4">
        <v>590.13</v>
      </c>
      <c r="AP57" s="4">
        <v>682600.6</v>
      </c>
      <c r="AQ57" s="4">
        <v>401554.42</v>
      </c>
      <c r="AR57" s="4" t="s">
        <v>289</v>
      </c>
      <c r="AS57" s="5">
        <f t="shared" si="0"/>
        <v>16.041448630136987</v>
      </c>
    </row>
    <row r="58" spans="1:45" ht="14.25" customHeight="1" x14ac:dyDescent="0.55000000000000004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f t="shared" si="1"/>
        <v>0</v>
      </c>
      <c r="L58" s="4">
        <f t="shared" si="2"/>
        <v>0</v>
      </c>
      <c r="M58" s="4">
        <f t="shared" si="3"/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5">
        <f t="shared" si="0"/>
        <v>0</v>
      </c>
    </row>
    <row r="59" spans="1:45" ht="14.25" customHeight="1" x14ac:dyDescent="0.55000000000000004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f t="shared" si="1"/>
        <v>0</v>
      </c>
      <c r="L59" s="4">
        <f t="shared" si="2"/>
        <v>0</v>
      </c>
      <c r="M59" s="4">
        <f t="shared" si="3"/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5">
        <f t="shared" si="0"/>
        <v>0</v>
      </c>
    </row>
    <row r="60" spans="1:45" ht="14.25" customHeight="1" x14ac:dyDescent="0.55000000000000004">
      <c r="A60" s="4">
        <v>0</v>
      </c>
      <c r="B60" s="4">
        <v>8.1</v>
      </c>
      <c r="C60" s="4">
        <v>541.15</v>
      </c>
      <c r="D60" s="4">
        <v>7.8</v>
      </c>
      <c r="E60" s="4" t="s">
        <v>2741</v>
      </c>
      <c r="F60" s="4" t="s">
        <v>2742</v>
      </c>
      <c r="G60" s="4" t="s">
        <v>2333</v>
      </c>
      <c r="H60" s="4" t="s">
        <v>2743</v>
      </c>
      <c r="I60" s="4">
        <v>0</v>
      </c>
      <c r="J60" s="4">
        <v>1833.33</v>
      </c>
      <c r="K60" s="4">
        <f t="shared" si="1"/>
        <v>84.89</v>
      </c>
      <c r="L60" s="4">
        <f t="shared" si="2"/>
        <v>51</v>
      </c>
      <c r="M60" s="4">
        <f t="shared" si="3"/>
        <v>33.89</v>
      </c>
      <c r="N60" s="4">
        <v>7.21</v>
      </c>
      <c r="O60" s="4">
        <v>0</v>
      </c>
      <c r="P60" s="4">
        <v>84</v>
      </c>
      <c r="Q60" s="4">
        <v>20.7</v>
      </c>
      <c r="R60" s="4">
        <v>8.1</v>
      </c>
      <c r="S60" s="4">
        <v>18.71</v>
      </c>
      <c r="T60" s="4">
        <v>-18.71</v>
      </c>
      <c r="U60" s="4">
        <v>0.3</v>
      </c>
      <c r="V60" s="4">
        <v>346.33</v>
      </c>
      <c r="W60" s="4">
        <v>90.74</v>
      </c>
      <c r="X60" s="4">
        <v>59.2</v>
      </c>
      <c r="Y60" s="4">
        <v>70.400000000000006</v>
      </c>
      <c r="Z60" s="4">
        <v>9.99</v>
      </c>
      <c r="AA60" s="4">
        <v>-0.91</v>
      </c>
      <c r="AB60" s="4">
        <v>9.6199999999999992</v>
      </c>
      <c r="AC60" s="4">
        <v>-76.38</v>
      </c>
      <c r="AD60" s="4">
        <v>980</v>
      </c>
      <c r="AE60" s="4">
        <v>8765</v>
      </c>
      <c r="AF60" s="4">
        <v>108.62</v>
      </c>
      <c r="AG60" s="4">
        <v>0.88</v>
      </c>
      <c r="AH60" s="4">
        <v>-154.11000000000001</v>
      </c>
      <c r="AI60" s="4">
        <v>79.900000000000006</v>
      </c>
      <c r="AJ60" s="4">
        <v>60</v>
      </c>
      <c r="AK60" s="4">
        <v>9</v>
      </c>
      <c r="AL60" s="4">
        <v>9</v>
      </c>
      <c r="AM60" s="4">
        <v>0.56999999999999995</v>
      </c>
      <c r="AN60" s="4">
        <v>588</v>
      </c>
      <c r="AO60" s="4">
        <v>593.1</v>
      </c>
      <c r="AP60" s="4">
        <v>971960.34</v>
      </c>
      <c r="AQ60" s="4">
        <v>224283.22</v>
      </c>
      <c r="AR60" s="4" t="s">
        <v>303</v>
      </c>
      <c r="AS60" s="5">
        <f t="shared" si="0"/>
        <v>42.675634703196344</v>
      </c>
    </row>
    <row r="61" spans="1:45" ht="14.25" customHeight="1" x14ac:dyDescent="0.55000000000000004">
      <c r="A61" s="4">
        <v>0</v>
      </c>
      <c r="B61" s="4">
        <v>8.1</v>
      </c>
      <c r="C61" s="4">
        <v>1282.5999999999999</v>
      </c>
      <c r="D61" s="4">
        <v>7.8</v>
      </c>
      <c r="E61" s="4" t="s">
        <v>2744</v>
      </c>
      <c r="F61" s="4" t="s">
        <v>2745</v>
      </c>
      <c r="G61" s="4" t="s">
        <v>2333</v>
      </c>
      <c r="H61" s="4" t="s">
        <v>2746</v>
      </c>
      <c r="I61" s="4">
        <v>0</v>
      </c>
      <c r="J61" s="4">
        <v>1921.29</v>
      </c>
      <c r="K61" s="4">
        <f t="shared" si="1"/>
        <v>53.8</v>
      </c>
      <c r="L61" s="4">
        <f t="shared" si="2"/>
        <v>51.95</v>
      </c>
      <c r="M61" s="4">
        <f t="shared" si="3"/>
        <v>1.8499999999999943</v>
      </c>
      <c r="N61" s="4">
        <v>7.08</v>
      </c>
      <c r="O61" s="4">
        <v>0</v>
      </c>
      <c r="P61" s="4">
        <v>97</v>
      </c>
      <c r="Q61" s="4">
        <v>17.7</v>
      </c>
      <c r="R61" s="4">
        <v>8.1</v>
      </c>
      <c r="S61" s="4">
        <v>17.34</v>
      </c>
      <c r="T61" s="4">
        <v>-17.34</v>
      </c>
      <c r="U61" s="4">
        <v>0.67</v>
      </c>
      <c r="V61" s="4">
        <v>820.87</v>
      </c>
      <c r="W61" s="4">
        <v>209.96</v>
      </c>
      <c r="X61" s="4">
        <v>118.05</v>
      </c>
      <c r="Y61" s="4">
        <v>167.26</v>
      </c>
      <c r="Z61" s="4">
        <v>5.7</v>
      </c>
      <c r="AA61" s="4">
        <v>-0.28000000000000003</v>
      </c>
      <c r="AB61" s="4">
        <v>8.3699999999999992</v>
      </c>
      <c r="AC61" s="4">
        <v>-87.7</v>
      </c>
      <c r="AD61" s="4">
        <v>980</v>
      </c>
      <c r="AE61" s="4">
        <v>8765</v>
      </c>
      <c r="AF61" s="4">
        <v>108.62</v>
      </c>
      <c r="AG61" s="4">
        <v>0.88</v>
      </c>
      <c r="AH61" s="4">
        <v>-326.77</v>
      </c>
      <c r="AI61" s="4">
        <v>71.91</v>
      </c>
      <c r="AJ61" s="4">
        <v>60</v>
      </c>
      <c r="AK61" s="4">
        <v>9</v>
      </c>
      <c r="AL61" s="4">
        <v>9</v>
      </c>
      <c r="AM61" s="4">
        <v>0.63</v>
      </c>
      <c r="AN61" s="4">
        <v>588</v>
      </c>
      <c r="AO61" s="4">
        <v>593.66999999999996</v>
      </c>
      <c r="AP61" s="4">
        <v>617408.17000000004</v>
      </c>
      <c r="AQ61" s="4">
        <v>190517.28</v>
      </c>
      <c r="AR61" s="4" t="s">
        <v>1347</v>
      </c>
      <c r="AS61" s="5">
        <f t="shared" si="0"/>
        <v>24.365918378995435</v>
      </c>
    </row>
    <row r="62" spans="1:45" ht="14.25" customHeight="1" x14ac:dyDescent="0.55000000000000004">
      <c r="A62" s="4">
        <v>0</v>
      </c>
      <c r="B62" s="4">
        <v>8.1</v>
      </c>
      <c r="C62" s="4">
        <v>713.38</v>
      </c>
      <c r="D62" s="4">
        <v>7.8</v>
      </c>
      <c r="E62" s="4" t="s">
        <v>2747</v>
      </c>
      <c r="F62" s="4" t="s">
        <v>2748</v>
      </c>
      <c r="G62" s="4" t="s">
        <v>2333</v>
      </c>
      <c r="H62" s="4" t="s">
        <v>2749</v>
      </c>
      <c r="I62" s="4">
        <v>0</v>
      </c>
      <c r="J62" s="4">
        <v>1881.64</v>
      </c>
      <c r="K62" s="4">
        <f t="shared" si="1"/>
        <v>67.81</v>
      </c>
      <c r="L62" s="4">
        <f t="shared" si="2"/>
        <v>48.17</v>
      </c>
      <c r="M62" s="4">
        <f t="shared" si="3"/>
        <v>19.64</v>
      </c>
      <c r="N62" s="4">
        <v>7.15</v>
      </c>
      <c r="O62" s="4">
        <v>0</v>
      </c>
      <c r="P62" s="4">
        <v>77</v>
      </c>
      <c r="Q62" s="4">
        <v>21.2</v>
      </c>
      <c r="R62" s="4">
        <v>8.1</v>
      </c>
      <c r="S62" s="4">
        <v>18.3</v>
      </c>
      <c r="T62" s="4">
        <v>-18.3</v>
      </c>
      <c r="U62" s="4">
        <v>0.38</v>
      </c>
      <c r="V62" s="4">
        <v>456.56</v>
      </c>
      <c r="W62" s="4">
        <v>118.23</v>
      </c>
      <c r="X62" s="4">
        <v>71.98</v>
      </c>
      <c r="Y62" s="4">
        <v>92.92</v>
      </c>
      <c r="Z62" s="4">
        <v>11.97</v>
      </c>
      <c r="AA62" s="4">
        <v>-0.72</v>
      </c>
      <c r="AB62" s="4">
        <v>9.25</v>
      </c>
      <c r="AC62" s="4">
        <v>-79.430000000000007</v>
      </c>
      <c r="AD62" s="4">
        <v>980</v>
      </c>
      <c r="AE62" s="4">
        <v>8765</v>
      </c>
      <c r="AF62" s="4">
        <v>108.62</v>
      </c>
      <c r="AG62" s="4">
        <v>0.88</v>
      </c>
      <c r="AH62" s="4">
        <v>-174.95</v>
      </c>
      <c r="AI62" s="4">
        <v>119.85</v>
      </c>
      <c r="AJ62" s="4">
        <v>60</v>
      </c>
      <c r="AK62" s="4">
        <v>9</v>
      </c>
      <c r="AL62" s="4">
        <v>9</v>
      </c>
      <c r="AM62" s="4">
        <v>0.38</v>
      </c>
      <c r="AN62" s="4">
        <v>588</v>
      </c>
      <c r="AO62" s="4">
        <v>591.4</v>
      </c>
      <c r="AP62" s="4">
        <v>772118.9</v>
      </c>
      <c r="AQ62" s="4">
        <v>325581.05</v>
      </c>
      <c r="AR62" s="4" t="s">
        <v>307</v>
      </c>
      <c r="AS62" s="5">
        <f t="shared" si="0"/>
        <v>25.487320205479453</v>
      </c>
    </row>
    <row r="63" spans="1:45" ht="14.25" customHeight="1" x14ac:dyDescent="0.55000000000000004">
      <c r="A63" s="4">
        <v>0</v>
      </c>
      <c r="B63" s="4">
        <v>8.1</v>
      </c>
      <c r="C63" s="4">
        <v>1559.28</v>
      </c>
      <c r="D63" s="4">
        <v>7.8</v>
      </c>
      <c r="E63" s="4" t="s">
        <v>2750</v>
      </c>
      <c r="F63" s="4" t="s">
        <v>2710</v>
      </c>
      <c r="G63" s="4" t="s">
        <v>2333</v>
      </c>
      <c r="H63" s="4" t="s">
        <v>2751</v>
      </c>
      <c r="I63" s="4">
        <v>0</v>
      </c>
      <c r="J63" s="4">
        <v>2055.98</v>
      </c>
      <c r="K63" s="4">
        <f t="shared" si="1"/>
        <v>51.43</v>
      </c>
      <c r="L63" s="4">
        <f t="shared" si="2"/>
        <v>46.980000000000004</v>
      </c>
      <c r="M63" s="4">
        <f t="shared" si="3"/>
        <v>4.4499999999999957</v>
      </c>
      <c r="N63" s="4">
        <v>7.19</v>
      </c>
      <c r="O63" s="4">
        <v>0</v>
      </c>
      <c r="P63" s="4">
        <v>61</v>
      </c>
      <c r="Q63" s="4">
        <v>23</v>
      </c>
      <c r="R63" s="4">
        <v>8.1</v>
      </c>
      <c r="S63" s="4">
        <v>17.84</v>
      </c>
      <c r="T63" s="4">
        <v>-17.84</v>
      </c>
      <c r="U63" s="4">
        <v>0.76</v>
      </c>
      <c r="V63" s="4">
        <v>997.94</v>
      </c>
      <c r="W63" s="4">
        <v>257.10000000000002</v>
      </c>
      <c r="X63" s="4">
        <v>150.78</v>
      </c>
      <c r="Y63" s="4">
        <v>203.31</v>
      </c>
      <c r="Z63" s="4">
        <v>11.5</v>
      </c>
      <c r="AA63" s="4">
        <v>-0.1</v>
      </c>
      <c r="AB63" s="4">
        <v>8</v>
      </c>
      <c r="AC63" s="4">
        <v>-83.12</v>
      </c>
      <c r="AD63" s="4">
        <v>980</v>
      </c>
      <c r="AE63" s="4">
        <v>8765</v>
      </c>
      <c r="AF63" s="4">
        <v>108.62</v>
      </c>
      <c r="AG63" s="4">
        <v>0.88</v>
      </c>
      <c r="AH63" s="4">
        <v>-449.63</v>
      </c>
      <c r="AI63" s="4">
        <v>151.80000000000001</v>
      </c>
      <c r="AJ63" s="4">
        <v>60</v>
      </c>
      <c r="AK63" s="4">
        <v>9</v>
      </c>
      <c r="AL63" s="4">
        <v>9</v>
      </c>
      <c r="AM63" s="4">
        <v>0.3</v>
      </c>
      <c r="AN63" s="4">
        <v>588</v>
      </c>
      <c r="AO63" s="4">
        <v>590.67999999999995</v>
      </c>
      <c r="AP63" s="4">
        <v>477418.17</v>
      </c>
      <c r="AQ63" s="4">
        <v>368232.77</v>
      </c>
      <c r="AR63" s="4" t="s">
        <v>312</v>
      </c>
      <c r="AS63" s="5">
        <f t="shared" si="0"/>
        <v>6.2320433789954315</v>
      </c>
    </row>
    <row r="64" spans="1:45" ht="14.25" customHeight="1" x14ac:dyDescent="0.55000000000000004">
      <c r="A64" s="4">
        <v>0</v>
      </c>
      <c r="B64" s="4">
        <v>8.1</v>
      </c>
      <c r="C64" s="4">
        <v>824.44</v>
      </c>
      <c r="D64" s="4">
        <v>7.8</v>
      </c>
      <c r="E64" s="4" t="s">
        <v>2752</v>
      </c>
      <c r="F64" s="4" t="s">
        <v>2753</v>
      </c>
      <c r="G64" s="4" t="s">
        <v>2333</v>
      </c>
      <c r="H64" s="4" t="s">
        <v>2754</v>
      </c>
      <c r="I64" s="4">
        <v>0</v>
      </c>
      <c r="J64" s="4">
        <v>1906.43</v>
      </c>
      <c r="K64" s="4">
        <f t="shared" si="1"/>
        <v>62.8</v>
      </c>
      <c r="L64" s="4">
        <f t="shared" si="2"/>
        <v>47.22</v>
      </c>
      <c r="M64" s="4">
        <f t="shared" si="3"/>
        <v>15.579999999999998</v>
      </c>
      <c r="N64" s="4">
        <v>7.14</v>
      </c>
      <c r="O64" s="4">
        <v>0</v>
      </c>
      <c r="P64" s="4">
        <v>66</v>
      </c>
      <c r="Q64" s="4">
        <v>22.6</v>
      </c>
      <c r="R64" s="4">
        <v>8.1</v>
      </c>
      <c r="S64" s="4">
        <v>18.16</v>
      </c>
      <c r="T64" s="4">
        <v>-18.16</v>
      </c>
      <c r="U64" s="4">
        <v>0.43</v>
      </c>
      <c r="V64" s="4">
        <v>527.64</v>
      </c>
      <c r="W64" s="4">
        <v>136.19</v>
      </c>
      <c r="X64" s="4">
        <v>81.2</v>
      </c>
      <c r="Y64" s="4">
        <v>107.42</v>
      </c>
      <c r="Z64" s="4">
        <v>13.3</v>
      </c>
      <c r="AA64" s="4">
        <v>-0.62</v>
      </c>
      <c r="AB64" s="4">
        <v>9.0299999999999994</v>
      </c>
      <c r="AC64" s="4">
        <v>-80.48</v>
      </c>
      <c r="AD64" s="4">
        <v>980</v>
      </c>
      <c r="AE64" s="4">
        <v>8765</v>
      </c>
      <c r="AF64" s="4">
        <v>108.62</v>
      </c>
      <c r="AG64" s="4">
        <v>0.88</v>
      </c>
      <c r="AH64" s="4">
        <v>-191.39</v>
      </c>
      <c r="AI64" s="4">
        <v>143.81</v>
      </c>
      <c r="AJ64" s="4">
        <v>60</v>
      </c>
      <c r="AK64" s="4">
        <v>9</v>
      </c>
      <c r="AL64" s="4">
        <v>9</v>
      </c>
      <c r="AM64" s="4">
        <v>0.31</v>
      </c>
      <c r="AN64" s="4">
        <v>588</v>
      </c>
      <c r="AO64" s="4">
        <v>590.83000000000004</v>
      </c>
      <c r="AP64" s="4">
        <v>705393.78</v>
      </c>
      <c r="AQ64" s="4">
        <v>359347</v>
      </c>
      <c r="AR64" s="4" t="s">
        <v>317</v>
      </c>
      <c r="AS64" s="5">
        <f t="shared" si="0"/>
        <v>19.751528538812789</v>
      </c>
    </row>
    <row r="65" spans="1:45" ht="14.25" customHeight="1" x14ac:dyDescent="0.55000000000000004">
      <c r="A65" s="4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f t="shared" si="1"/>
        <v>0</v>
      </c>
      <c r="L65" s="4">
        <f t="shared" si="2"/>
        <v>0</v>
      </c>
      <c r="M65" s="4">
        <f t="shared" si="3"/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5">
        <f t="shared" si="0"/>
        <v>0</v>
      </c>
    </row>
    <row r="66" spans="1:45" ht="14.25" customHeight="1" x14ac:dyDescent="0.55000000000000004">
      <c r="A66" s="4">
        <v>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f t="shared" si="1"/>
        <v>0</v>
      </c>
      <c r="L66" s="4">
        <f t="shared" si="2"/>
        <v>0</v>
      </c>
      <c r="M66" s="4">
        <f t="shared" si="3"/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5">
        <f t="shared" si="0"/>
        <v>0</v>
      </c>
    </row>
    <row r="67" spans="1:45" ht="14.25" customHeight="1" x14ac:dyDescent="0.55000000000000004">
      <c r="A67" s="4">
        <v>0</v>
      </c>
      <c r="B67" s="4">
        <v>8.1</v>
      </c>
      <c r="C67" s="4">
        <v>1812</v>
      </c>
      <c r="D67" s="4">
        <v>7.8</v>
      </c>
      <c r="E67" s="4" t="s">
        <v>2755</v>
      </c>
      <c r="F67" s="4" t="s">
        <v>2671</v>
      </c>
      <c r="G67" s="4" t="s">
        <v>2333</v>
      </c>
      <c r="H67" s="4" t="s">
        <v>2756</v>
      </c>
      <c r="I67" s="4">
        <v>0</v>
      </c>
      <c r="J67" s="4">
        <v>2062.29</v>
      </c>
      <c r="K67" s="4">
        <f t="shared" ref="K67:K130" si="4">IF(E67=0,0,
VALUE(MID(E67,2,FIND(",",E67)-2))+
VALUE(MID(F67,2,FIND(",",F67)-2))+
VALUE(MID(G67,2,FIND(",",G67)-2))
)</f>
        <v>50</v>
      </c>
      <c r="L67" s="4">
        <f t="shared" ref="L67:L130" si="5">IF(E67=0,0,
VALUE(MID(E67,FIND(",",E67)+1,FIND("]",E67)-FIND(",",E67)-1))+
VALUE(MID(F67,FIND(",",F67)+1,FIND("]",F67)-FIND(",",F67)-1))+
VALUE(MID(G67,FIND(",",G67)+1,FIND("]",G67)-FIND(",",G67)-1))
)</f>
        <v>46.55</v>
      </c>
      <c r="M67" s="4">
        <f t="shared" ref="M67:M130" si="6">(K67-L67)</f>
        <v>3.4500000000000028</v>
      </c>
      <c r="N67" s="4">
        <v>7.18</v>
      </c>
      <c r="O67" s="4">
        <v>0</v>
      </c>
      <c r="P67" s="4">
        <v>62</v>
      </c>
      <c r="Q67" s="4">
        <v>23.3</v>
      </c>
      <c r="R67" s="4">
        <v>8.1</v>
      </c>
      <c r="S67" s="4">
        <v>18.25</v>
      </c>
      <c r="T67" s="4">
        <v>-18.25</v>
      </c>
      <c r="U67" s="4">
        <v>0.88</v>
      </c>
      <c r="V67" s="4">
        <v>1159.68</v>
      </c>
      <c r="W67" s="4">
        <v>298.39</v>
      </c>
      <c r="X67" s="4">
        <v>173.57</v>
      </c>
      <c r="Y67" s="4">
        <v>236.29</v>
      </c>
      <c r="Z67" s="4">
        <v>12.35</v>
      </c>
      <c r="AA67" s="4">
        <v>0.02</v>
      </c>
      <c r="AB67" s="4">
        <v>7.76</v>
      </c>
      <c r="AC67" s="4">
        <v>-79.77</v>
      </c>
      <c r="AD67" s="4">
        <v>980</v>
      </c>
      <c r="AE67" s="4">
        <v>8765</v>
      </c>
      <c r="AF67" s="4">
        <v>108.62</v>
      </c>
      <c r="AG67" s="4">
        <v>0.88</v>
      </c>
      <c r="AH67" s="4">
        <v>-895.03</v>
      </c>
      <c r="AI67" s="4">
        <v>167.78</v>
      </c>
      <c r="AJ67" s="4">
        <v>60</v>
      </c>
      <c r="AK67" s="4">
        <v>9</v>
      </c>
      <c r="AL67" s="4">
        <v>9</v>
      </c>
      <c r="AM67" s="4">
        <v>0.27</v>
      </c>
      <c r="AN67" s="4">
        <v>588</v>
      </c>
      <c r="AO67" s="4">
        <v>590.42999999999995</v>
      </c>
      <c r="AP67" s="4">
        <v>461629.99</v>
      </c>
      <c r="AQ67" s="4">
        <v>383465.53</v>
      </c>
      <c r="AR67" s="4" t="s">
        <v>331</v>
      </c>
      <c r="AS67" s="5">
        <f t="shared" si="0"/>
        <v>4.4614417808219153</v>
      </c>
    </row>
    <row r="68" spans="1:45" ht="14.25" customHeight="1" x14ac:dyDescent="0.55000000000000004">
      <c r="A68" s="4">
        <v>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f t="shared" si="4"/>
        <v>0</v>
      </c>
      <c r="L68" s="4">
        <f t="shared" si="5"/>
        <v>0</v>
      </c>
      <c r="M68" s="4">
        <f t="shared" si="6"/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5">
        <f t="shared" si="0"/>
        <v>0</v>
      </c>
    </row>
    <row r="69" spans="1:45" ht="14.25" customHeight="1" x14ac:dyDescent="0.55000000000000004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f t="shared" si="4"/>
        <v>0</v>
      </c>
      <c r="L69" s="4">
        <f t="shared" si="5"/>
        <v>0</v>
      </c>
      <c r="M69" s="4">
        <f t="shared" si="6"/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5">
        <f t="shared" si="0"/>
        <v>0</v>
      </c>
    </row>
    <row r="70" spans="1:45" ht="14.25" customHeight="1" x14ac:dyDescent="0.55000000000000004">
      <c r="A70" s="4">
        <v>0</v>
      </c>
      <c r="B70" s="4">
        <v>8.1</v>
      </c>
      <c r="C70" s="4">
        <v>512.25</v>
      </c>
      <c r="D70" s="4">
        <v>7.8</v>
      </c>
      <c r="E70" s="4" t="s">
        <v>2757</v>
      </c>
      <c r="F70" s="4" t="s">
        <v>2745</v>
      </c>
      <c r="G70" s="4" t="s">
        <v>2333</v>
      </c>
      <c r="H70" s="4" t="s">
        <v>2758</v>
      </c>
      <c r="I70" s="4">
        <v>0</v>
      </c>
      <c r="J70" s="4">
        <v>1831.67</v>
      </c>
      <c r="K70" s="4">
        <f t="shared" si="4"/>
        <v>90.91</v>
      </c>
      <c r="L70" s="4">
        <f t="shared" si="5"/>
        <v>51.95</v>
      </c>
      <c r="M70" s="4">
        <f t="shared" si="6"/>
        <v>38.959999999999994</v>
      </c>
      <c r="N70" s="4">
        <v>7.25</v>
      </c>
      <c r="O70" s="4">
        <v>0</v>
      </c>
      <c r="P70" s="4">
        <v>92</v>
      </c>
      <c r="Q70" s="4">
        <v>19.100000000000001</v>
      </c>
      <c r="R70" s="4">
        <v>8.1</v>
      </c>
      <c r="S70" s="4">
        <v>18.13</v>
      </c>
      <c r="T70" s="4">
        <v>-18.13</v>
      </c>
      <c r="U70" s="4">
        <v>0.28000000000000003</v>
      </c>
      <c r="V70" s="4">
        <v>327.84</v>
      </c>
      <c r="W70" s="4">
        <v>86.28</v>
      </c>
      <c r="X70" s="4">
        <v>57.69</v>
      </c>
      <c r="Y70" s="4">
        <v>66.61</v>
      </c>
      <c r="Z70" s="4">
        <v>9.6300000000000008</v>
      </c>
      <c r="AA70" s="4">
        <v>-0.94</v>
      </c>
      <c r="AB70" s="4">
        <v>9.68</v>
      </c>
      <c r="AC70" s="4">
        <v>-80.78</v>
      </c>
      <c r="AD70" s="4">
        <v>980</v>
      </c>
      <c r="AE70" s="4">
        <v>8765</v>
      </c>
      <c r="AF70" s="4">
        <v>108.62</v>
      </c>
      <c r="AG70" s="4">
        <v>0.88</v>
      </c>
      <c r="AH70" s="4">
        <v>-150.80000000000001</v>
      </c>
      <c r="AI70" s="4">
        <v>71.91</v>
      </c>
      <c r="AJ70" s="4">
        <v>60</v>
      </c>
      <c r="AK70" s="4">
        <v>9</v>
      </c>
      <c r="AL70" s="4">
        <v>9</v>
      </c>
      <c r="AM70" s="4">
        <v>0.63</v>
      </c>
      <c r="AN70" s="4">
        <v>588</v>
      </c>
      <c r="AO70" s="4">
        <v>593.66999999999996</v>
      </c>
      <c r="AP70" s="4">
        <v>1027057.76</v>
      </c>
      <c r="AQ70" s="4">
        <v>190517.28</v>
      </c>
      <c r="AR70" s="4" t="s">
        <v>345</v>
      </c>
      <c r="AS70" s="5">
        <f t="shared" si="0"/>
        <v>47.747744292237442</v>
      </c>
    </row>
    <row r="71" spans="1:45" ht="14.25" customHeight="1" x14ac:dyDescent="0.55000000000000004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f t="shared" si="4"/>
        <v>0</v>
      </c>
      <c r="L71" s="4">
        <f t="shared" si="5"/>
        <v>0</v>
      </c>
      <c r="M71" s="4">
        <f t="shared" si="6"/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5">
        <f t="shared" si="0"/>
        <v>0</v>
      </c>
    </row>
    <row r="72" spans="1:45" ht="14.25" customHeight="1" x14ac:dyDescent="0.55000000000000004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f t="shared" si="4"/>
        <v>0</v>
      </c>
      <c r="L72" s="4">
        <f t="shared" si="5"/>
        <v>0</v>
      </c>
      <c r="M72" s="4">
        <f t="shared" si="6"/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5">
        <f t="shared" si="0"/>
        <v>0</v>
      </c>
    </row>
    <row r="73" spans="1:45" ht="14.25" customHeight="1" x14ac:dyDescent="0.55000000000000004">
      <c r="A73" s="4">
        <v>0</v>
      </c>
      <c r="B73" s="4">
        <v>8.1</v>
      </c>
      <c r="C73" s="4">
        <v>517.80999999999995</v>
      </c>
      <c r="D73" s="4">
        <v>7.8</v>
      </c>
      <c r="E73" s="4" t="s">
        <v>2759</v>
      </c>
      <c r="F73" s="4" t="s">
        <v>2745</v>
      </c>
      <c r="G73" s="4" t="s">
        <v>2333</v>
      </c>
      <c r="H73" s="4" t="s">
        <v>2760</v>
      </c>
      <c r="I73" s="4">
        <v>0</v>
      </c>
      <c r="J73" s="4">
        <v>1834.13</v>
      </c>
      <c r="K73" s="4">
        <f t="shared" si="4"/>
        <v>89.59</v>
      </c>
      <c r="L73" s="4">
        <f t="shared" si="5"/>
        <v>51.95</v>
      </c>
      <c r="M73" s="4">
        <f t="shared" si="6"/>
        <v>37.64</v>
      </c>
      <c r="N73" s="4">
        <v>7.24</v>
      </c>
      <c r="O73" s="4">
        <v>0</v>
      </c>
      <c r="P73" s="4">
        <v>95</v>
      </c>
      <c r="Q73" s="4">
        <v>18.600000000000001</v>
      </c>
      <c r="R73" s="4">
        <v>8.1</v>
      </c>
      <c r="S73" s="4">
        <v>17.989999999999998</v>
      </c>
      <c r="T73" s="4">
        <v>-17.989999999999998</v>
      </c>
      <c r="U73" s="4">
        <v>0.28000000000000003</v>
      </c>
      <c r="V73" s="4">
        <v>331.4</v>
      </c>
      <c r="W73" s="4">
        <v>87.15</v>
      </c>
      <c r="X73" s="4">
        <v>58.01</v>
      </c>
      <c r="Y73" s="4">
        <v>67.34</v>
      </c>
      <c r="Z73" s="4">
        <v>9.49</v>
      </c>
      <c r="AA73" s="4">
        <v>-0.94</v>
      </c>
      <c r="AB73" s="4">
        <v>9.67</v>
      </c>
      <c r="AC73" s="4">
        <v>-81.86</v>
      </c>
      <c r="AD73" s="4">
        <v>980</v>
      </c>
      <c r="AE73" s="4">
        <v>8765</v>
      </c>
      <c r="AF73" s="4">
        <v>108.62</v>
      </c>
      <c r="AG73" s="4">
        <v>0.88</v>
      </c>
      <c r="AH73" s="4">
        <v>-151.36000000000001</v>
      </c>
      <c r="AI73" s="4">
        <v>71.91</v>
      </c>
      <c r="AJ73" s="4">
        <v>60</v>
      </c>
      <c r="AK73" s="4">
        <v>9</v>
      </c>
      <c r="AL73" s="4">
        <v>9</v>
      </c>
      <c r="AM73" s="4">
        <v>0.63</v>
      </c>
      <c r="AN73" s="4">
        <v>588</v>
      </c>
      <c r="AO73" s="4">
        <v>593.66999999999996</v>
      </c>
      <c r="AP73" s="4">
        <v>1012496.52</v>
      </c>
      <c r="AQ73" s="4">
        <v>190517.28</v>
      </c>
      <c r="AR73" s="4" t="s">
        <v>355</v>
      </c>
      <c r="AS73" s="5">
        <f t="shared" si="0"/>
        <v>46.916623287671236</v>
      </c>
    </row>
    <row r="74" spans="1:45" ht="14.25" customHeight="1" x14ac:dyDescent="0.55000000000000004">
      <c r="A74" s="4">
        <v>0</v>
      </c>
      <c r="B74" s="4">
        <v>8.1</v>
      </c>
      <c r="C74" s="4">
        <v>947</v>
      </c>
      <c r="D74" s="4">
        <v>7.8</v>
      </c>
      <c r="E74" s="4" t="s">
        <v>2761</v>
      </c>
      <c r="F74" s="4" t="s">
        <v>2745</v>
      </c>
      <c r="G74" s="4" t="s">
        <v>2333</v>
      </c>
      <c r="H74" s="4" t="s">
        <v>2762</v>
      </c>
      <c r="I74" s="4">
        <v>0</v>
      </c>
      <c r="J74" s="4">
        <v>1904.95</v>
      </c>
      <c r="K74" s="4">
        <f t="shared" si="4"/>
        <v>59.2</v>
      </c>
      <c r="L74" s="4">
        <f t="shared" si="5"/>
        <v>51.95</v>
      </c>
      <c r="M74" s="4">
        <f t="shared" si="6"/>
        <v>7.25</v>
      </c>
      <c r="N74" s="4">
        <v>7.11</v>
      </c>
      <c r="O74" s="4">
        <v>0</v>
      </c>
      <c r="P74" s="4">
        <v>90</v>
      </c>
      <c r="Q74" s="4">
        <v>19.399999999999999</v>
      </c>
      <c r="R74" s="4">
        <v>8.1</v>
      </c>
      <c r="S74" s="4">
        <v>18.18</v>
      </c>
      <c r="T74" s="4">
        <v>-18.18</v>
      </c>
      <c r="U74" s="4">
        <v>0.5</v>
      </c>
      <c r="V74" s="4">
        <v>606.08000000000004</v>
      </c>
      <c r="W74" s="4">
        <v>155.81</v>
      </c>
      <c r="X74" s="4">
        <v>90.58</v>
      </c>
      <c r="Y74" s="4">
        <v>123.43</v>
      </c>
      <c r="Z74" s="4">
        <v>6.27</v>
      </c>
      <c r="AA74" s="4">
        <v>-0.52</v>
      </c>
      <c r="AB74" s="4">
        <v>8.83</v>
      </c>
      <c r="AC74" s="4">
        <v>-80.37</v>
      </c>
      <c r="AD74" s="4">
        <v>980</v>
      </c>
      <c r="AE74" s="4">
        <v>8765</v>
      </c>
      <c r="AF74" s="4">
        <v>108.62</v>
      </c>
      <c r="AG74" s="4">
        <v>0.88</v>
      </c>
      <c r="AH74" s="4">
        <v>-216.01</v>
      </c>
      <c r="AI74" s="4">
        <v>71.91</v>
      </c>
      <c r="AJ74" s="4">
        <v>60</v>
      </c>
      <c r="AK74" s="4">
        <v>9</v>
      </c>
      <c r="AL74" s="4">
        <v>9</v>
      </c>
      <c r="AM74" s="4">
        <v>0.63</v>
      </c>
      <c r="AN74" s="4">
        <v>588</v>
      </c>
      <c r="AO74" s="4">
        <v>593.66999999999996</v>
      </c>
      <c r="AP74" s="4">
        <v>677097.52</v>
      </c>
      <c r="AQ74" s="4">
        <v>190517.28</v>
      </c>
      <c r="AR74" s="4" t="s">
        <v>1398</v>
      </c>
      <c r="AS74" s="5">
        <f t="shared" si="0"/>
        <v>27.772844748858446</v>
      </c>
    </row>
    <row r="75" spans="1:45" ht="14.25" customHeight="1" x14ac:dyDescent="0.55000000000000004">
      <c r="A75" s="4">
        <v>0</v>
      </c>
      <c r="B75" s="4">
        <v>8.1</v>
      </c>
      <c r="C75" s="4">
        <v>627.29</v>
      </c>
      <c r="D75" s="4">
        <v>7.8</v>
      </c>
      <c r="E75" s="4" t="s">
        <v>2763</v>
      </c>
      <c r="F75" s="4" t="s">
        <v>2745</v>
      </c>
      <c r="G75" s="4" t="s">
        <v>2333</v>
      </c>
      <c r="H75" s="4" t="s">
        <v>2764</v>
      </c>
      <c r="I75" s="4">
        <v>0</v>
      </c>
      <c r="J75" s="4">
        <v>1866.66</v>
      </c>
      <c r="K75" s="4">
        <f t="shared" si="4"/>
        <v>74</v>
      </c>
      <c r="L75" s="4">
        <f t="shared" si="5"/>
        <v>51.95</v>
      </c>
      <c r="M75" s="4">
        <f t="shared" si="6"/>
        <v>22.049999999999997</v>
      </c>
      <c r="N75" s="4">
        <v>7.18</v>
      </c>
      <c r="O75" s="4">
        <v>0</v>
      </c>
      <c r="P75" s="4">
        <v>96</v>
      </c>
      <c r="Q75" s="4">
        <v>18.100000000000001</v>
      </c>
      <c r="R75" s="4">
        <v>8.1</v>
      </c>
      <c r="S75" s="4">
        <v>17.62</v>
      </c>
      <c r="T75" s="4">
        <v>-17.62</v>
      </c>
      <c r="U75" s="4">
        <v>0.34</v>
      </c>
      <c r="V75" s="4">
        <v>401.47</v>
      </c>
      <c r="W75" s="4">
        <v>104.46</v>
      </c>
      <c r="X75" s="4">
        <v>65.459999999999994</v>
      </c>
      <c r="Y75" s="4">
        <v>81.67</v>
      </c>
      <c r="Z75" s="4">
        <v>7.83</v>
      </c>
      <c r="AA75" s="4">
        <v>-0.81</v>
      </c>
      <c r="AB75" s="4">
        <v>9.43</v>
      </c>
      <c r="AC75" s="4">
        <v>-85.12</v>
      </c>
      <c r="AD75" s="4">
        <v>980</v>
      </c>
      <c r="AE75" s="4">
        <v>8765</v>
      </c>
      <c r="AF75" s="4">
        <v>108.62</v>
      </c>
      <c r="AG75" s="4">
        <v>0.88</v>
      </c>
      <c r="AH75" s="4">
        <v>-163.6</v>
      </c>
      <c r="AI75" s="4">
        <v>71.91</v>
      </c>
      <c r="AJ75" s="4">
        <v>60</v>
      </c>
      <c r="AK75" s="4">
        <v>9</v>
      </c>
      <c r="AL75" s="4">
        <v>9</v>
      </c>
      <c r="AM75" s="4">
        <v>0.63</v>
      </c>
      <c r="AN75" s="4">
        <v>588</v>
      </c>
      <c r="AO75" s="4">
        <v>593.66999999999996</v>
      </c>
      <c r="AP75" s="4">
        <v>840371.55</v>
      </c>
      <c r="AQ75" s="4">
        <v>190517.28</v>
      </c>
      <c r="AR75" s="4" t="s">
        <v>1403</v>
      </c>
      <c r="AS75" s="5">
        <f t="shared" si="0"/>
        <v>37.092138698630137</v>
      </c>
    </row>
    <row r="76" spans="1:45" ht="14.25" customHeight="1" x14ac:dyDescent="0.55000000000000004">
      <c r="A76" s="4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f t="shared" si="4"/>
        <v>0</v>
      </c>
      <c r="L76" s="4">
        <f t="shared" si="5"/>
        <v>0</v>
      </c>
      <c r="M76" s="4">
        <f t="shared" si="6"/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5">
        <f t="shared" si="0"/>
        <v>0</v>
      </c>
    </row>
    <row r="77" spans="1:45" ht="14.25" customHeight="1" x14ac:dyDescent="0.55000000000000004">
      <c r="A77" s="4">
        <v>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f t="shared" si="4"/>
        <v>0</v>
      </c>
      <c r="L77" s="4">
        <f t="shared" si="5"/>
        <v>0</v>
      </c>
      <c r="M77" s="4">
        <f t="shared" si="6"/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5">
        <f t="shared" si="0"/>
        <v>0</v>
      </c>
    </row>
    <row r="78" spans="1:45" ht="14.25" customHeight="1" x14ac:dyDescent="0.55000000000000004">
      <c r="A78" s="4">
        <v>0</v>
      </c>
      <c r="B78" s="4">
        <v>8.1</v>
      </c>
      <c r="C78" s="4">
        <v>1460.31</v>
      </c>
      <c r="D78" s="4">
        <v>7.8</v>
      </c>
      <c r="E78" s="4" t="s">
        <v>2765</v>
      </c>
      <c r="F78" s="4" t="s">
        <v>2710</v>
      </c>
      <c r="G78" s="4" t="s">
        <v>2333</v>
      </c>
      <c r="H78" s="4" t="s">
        <v>2766</v>
      </c>
      <c r="I78" s="4">
        <v>0</v>
      </c>
      <c r="J78" s="4">
        <v>2052.85</v>
      </c>
      <c r="K78" s="4">
        <f t="shared" si="4"/>
        <v>52.15</v>
      </c>
      <c r="L78" s="4">
        <f t="shared" si="5"/>
        <v>46.980000000000004</v>
      </c>
      <c r="M78" s="4">
        <f t="shared" si="6"/>
        <v>5.1699999999999946</v>
      </c>
      <c r="N78" s="4">
        <v>7.19</v>
      </c>
      <c r="O78" s="4">
        <v>0</v>
      </c>
      <c r="P78" s="4">
        <v>62</v>
      </c>
      <c r="Q78" s="4">
        <v>22.9</v>
      </c>
      <c r="R78" s="4">
        <v>8.1</v>
      </c>
      <c r="S78" s="4">
        <v>17.89</v>
      </c>
      <c r="T78" s="4">
        <v>-17.89</v>
      </c>
      <c r="U78" s="4">
        <v>0.71</v>
      </c>
      <c r="V78" s="4">
        <v>934.6</v>
      </c>
      <c r="W78" s="4">
        <v>240.93</v>
      </c>
      <c r="X78" s="4">
        <v>141.87</v>
      </c>
      <c r="Y78" s="4">
        <v>190.39</v>
      </c>
      <c r="Z78" s="4">
        <v>11.66</v>
      </c>
      <c r="AA78" s="4">
        <v>-0.15</v>
      </c>
      <c r="AB78" s="4">
        <v>8.1</v>
      </c>
      <c r="AC78" s="4">
        <v>-82.72</v>
      </c>
      <c r="AD78" s="4">
        <v>980</v>
      </c>
      <c r="AE78" s="4">
        <v>8765</v>
      </c>
      <c r="AF78" s="4">
        <v>108.62</v>
      </c>
      <c r="AG78" s="4">
        <v>0.88</v>
      </c>
      <c r="AH78" s="4">
        <v>-376.32</v>
      </c>
      <c r="AI78" s="4">
        <v>151.80000000000001</v>
      </c>
      <c r="AJ78" s="4">
        <v>60</v>
      </c>
      <c r="AK78" s="4">
        <v>9</v>
      </c>
      <c r="AL78" s="4">
        <v>9</v>
      </c>
      <c r="AM78" s="4">
        <v>0.3</v>
      </c>
      <c r="AN78" s="4">
        <v>588</v>
      </c>
      <c r="AO78" s="4">
        <v>590.67999999999995</v>
      </c>
      <c r="AP78" s="4">
        <v>485389.31</v>
      </c>
      <c r="AQ78" s="4">
        <v>368232.77</v>
      </c>
      <c r="AR78" s="4" t="s">
        <v>370</v>
      </c>
      <c r="AS78" s="5">
        <f t="shared" si="0"/>
        <v>6.6870171232876698</v>
      </c>
    </row>
    <row r="79" spans="1:45" ht="14.25" customHeight="1" x14ac:dyDescent="0.55000000000000004">
      <c r="A79" s="4">
        <v>0</v>
      </c>
      <c r="B79" s="4">
        <v>8.1</v>
      </c>
      <c r="C79" s="4">
        <v>669.49</v>
      </c>
      <c r="D79" s="4">
        <v>7.8</v>
      </c>
      <c r="E79" s="4" t="s">
        <v>2767</v>
      </c>
      <c r="F79" s="4" t="s">
        <v>2768</v>
      </c>
      <c r="G79" s="4" t="s">
        <v>2333</v>
      </c>
      <c r="H79" s="4" t="s">
        <v>2769</v>
      </c>
      <c r="I79" s="4">
        <v>0</v>
      </c>
      <c r="J79" s="4">
        <v>1874.71</v>
      </c>
      <c r="K79" s="4">
        <f t="shared" si="4"/>
        <v>70.599999999999994</v>
      </c>
      <c r="L79" s="4">
        <f t="shared" si="5"/>
        <v>48.58</v>
      </c>
      <c r="M79" s="4">
        <f t="shared" si="6"/>
        <v>22.019999999999996</v>
      </c>
      <c r="N79" s="4">
        <v>7.16</v>
      </c>
      <c r="O79" s="4">
        <v>0</v>
      </c>
      <c r="P79" s="4">
        <v>90</v>
      </c>
      <c r="Q79" s="4">
        <v>19.8</v>
      </c>
      <c r="R79" s="4">
        <v>8.1</v>
      </c>
      <c r="S79" s="4">
        <v>18.57</v>
      </c>
      <c r="T79" s="4">
        <v>-18.57</v>
      </c>
      <c r="U79" s="4">
        <v>0.36</v>
      </c>
      <c r="V79" s="4">
        <v>428.48</v>
      </c>
      <c r="W79" s="4">
        <v>111.2</v>
      </c>
      <c r="X79" s="4">
        <v>68.61</v>
      </c>
      <c r="Y79" s="4">
        <v>87.18</v>
      </c>
      <c r="Z79" s="4">
        <v>11.63</v>
      </c>
      <c r="AA79" s="4">
        <v>-0.77</v>
      </c>
      <c r="AB79" s="4">
        <v>9.34</v>
      </c>
      <c r="AC79" s="4">
        <v>-77.34</v>
      </c>
      <c r="AD79" s="4">
        <v>980</v>
      </c>
      <c r="AE79" s="4">
        <v>8765</v>
      </c>
      <c r="AF79" s="4">
        <v>108.62</v>
      </c>
      <c r="AG79" s="4">
        <v>0.88</v>
      </c>
      <c r="AH79" s="4">
        <v>-168.96</v>
      </c>
      <c r="AI79" s="4">
        <v>111.86</v>
      </c>
      <c r="AJ79" s="4">
        <v>60</v>
      </c>
      <c r="AK79" s="4">
        <v>9</v>
      </c>
      <c r="AL79" s="4">
        <v>9</v>
      </c>
      <c r="AM79" s="4">
        <v>0.4</v>
      </c>
      <c r="AN79" s="4">
        <v>588</v>
      </c>
      <c r="AO79" s="4">
        <v>591.64</v>
      </c>
      <c r="AP79" s="4">
        <v>802928.04</v>
      </c>
      <c r="AQ79" s="4">
        <v>311109.93</v>
      </c>
      <c r="AR79" s="4" t="s">
        <v>375</v>
      </c>
      <c r="AS79" s="5">
        <f t="shared" si="0"/>
        <v>28.071809931506852</v>
      </c>
    </row>
    <row r="80" spans="1:45" ht="14.25" customHeight="1" x14ac:dyDescent="0.55000000000000004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f t="shared" si="4"/>
        <v>0</v>
      </c>
      <c r="L80" s="4">
        <f t="shared" si="5"/>
        <v>0</v>
      </c>
      <c r="M80" s="4">
        <f t="shared" si="6"/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5">
        <f t="shared" si="0"/>
        <v>0</v>
      </c>
    </row>
    <row r="81" spans="1:45" ht="14.25" customHeight="1" x14ac:dyDescent="0.55000000000000004">
      <c r="A81" s="4">
        <v>0</v>
      </c>
      <c r="B81" s="4">
        <v>8.1</v>
      </c>
      <c r="C81" s="4">
        <v>521.20000000000005</v>
      </c>
      <c r="D81" s="4">
        <v>7.8</v>
      </c>
      <c r="E81" s="4" t="s">
        <v>2770</v>
      </c>
      <c r="F81" s="4" t="s">
        <v>2771</v>
      </c>
      <c r="G81" s="4" t="s">
        <v>2333</v>
      </c>
      <c r="H81" s="4" t="s">
        <v>2772</v>
      </c>
      <c r="I81" s="4">
        <v>0</v>
      </c>
      <c r="J81" s="4">
        <v>1758.3</v>
      </c>
      <c r="K81" s="4">
        <f t="shared" si="4"/>
        <v>88.83</v>
      </c>
      <c r="L81" s="4">
        <f t="shared" si="5"/>
        <v>50.23</v>
      </c>
      <c r="M81" s="4">
        <f t="shared" si="6"/>
        <v>38.6</v>
      </c>
      <c r="N81" s="4">
        <v>7.16</v>
      </c>
      <c r="O81" s="4">
        <v>0</v>
      </c>
      <c r="P81" s="4">
        <v>86</v>
      </c>
      <c r="Q81" s="4">
        <v>21</v>
      </c>
      <c r="R81" s="4">
        <v>8.1</v>
      </c>
      <c r="S81" s="4">
        <v>19.25</v>
      </c>
      <c r="T81" s="4">
        <v>-19.25</v>
      </c>
      <c r="U81" s="4">
        <v>0.3</v>
      </c>
      <c r="V81" s="4">
        <v>333.57</v>
      </c>
      <c r="W81" s="4">
        <v>87.21</v>
      </c>
      <c r="X81" s="4">
        <v>56.35</v>
      </c>
      <c r="Y81" s="4">
        <v>67.8</v>
      </c>
      <c r="Z81" s="4">
        <v>11.5</v>
      </c>
      <c r="AA81" s="4">
        <v>-0.95</v>
      </c>
      <c r="AB81" s="4">
        <v>9.6999999999999993</v>
      </c>
      <c r="AC81" s="4">
        <v>-72.650000000000006</v>
      </c>
      <c r="AD81" s="4">
        <v>980</v>
      </c>
      <c r="AE81" s="4">
        <v>8765</v>
      </c>
      <c r="AF81" s="4">
        <v>108.62</v>
      </c>
      <c r="AG81" s="4">
        <v>0.88</v>
      </c>
      <c r="AH81" s="4">
        <v>-154.38999999999999</v>
      </c>
      <c r="AI81" s="4">
        <v>87.89</v>
      </c>
      <c r="AJ81" s="4">
        <v>60</v>
      </c>
      <c r="AK81" s="4">
        <v>9</v>
      </c>
      <c r="AL81" s="4">
        <v>9</v>
      </c>
      <c r="AM81" s="4">
        <v>0.52</v>
      </c>
      <c r="AN81" s="4">
        <v>588</v>
      </c>
      <c r="AO81" s="4">
        <v>592.64</v>
      </c>
      <c r="AP81" s="4">
        <v>1095196.1599999999</v>
      </c>
      <c r="AQ81" s="4">
        <v>251909.9</v>
      </c>
      <c r="AR81" s="4" t="s">
        <v>384</v>
      </c>
      <c r="AS81" s="5">
        <f t="shared" si="0"/>
        <v>48.13277739726027</v>
      </c>
    </row>
    <row r="82" spans="1:45" ht="14.25" customHeight="1" x14ac:dyDescent="0.55000000000000004">
      <c r="A82" s="4">
        <v>0</v>
      </c>
      <c r="B82" s="4">
        <v>8.1</v>
      </c>
      <c r="C82" s="4">
        <v>767.02</v>
      </c>
      <c r="D82" s="4">
        <v>7.8</v>
      </c>
      <c r="E82" s="4" t="s">
        <v>2773</v>
      </c>
      <c r="F82" s="4" t="s">
        <v>2774</v>
      </c>
      <c r="G82" s="4" t="s">
        <v>2333</v>
      </c>
      <c r="H82" s="4" t="s">
        <v>2775</v>
      </c>
      <c r="I82" s="4">
        <v>0</v>
      </c>
      <c r="J82" s="4">
        <v>1911.44</v>
      </c>
      <c r="K82" s="4">
        <f t="shared" si="4"/>
        <v>65.099999999999994</v>
      </c>
      <c r="L82" s="4">
        <f t="shared" si="5"/>
        <v>47.81</v>
      </c>
      <c r="M82" s="4">
        <f t="shared" si="6"/>
        <v>17.289999999999992</v>
      </c>
      <c r="N82" s="4">
        <v>7.16</v>
      </c>
      <c r="O82" s="4">
        <v>0</v>
      </c>
      <c r="P82" s="4">
        <v>84</v>
      </c>
      <c r="Q82" s="4">
        <v>21.3</v>
      </c>
      <c r="R82" s="4">
        <v>8.1</v>
      </c>
      <c r="S82" s="4">
        <v>19.29</v>
      </c>
      <c r="T82" s="4">
        <v>-19.29</v>
      </c>
      <c r="U82" s="4">
        <v>0.4</v>
      </c>
      <c r="V82" s="4">
        <v>490.89</v>
      </c>
      <c r="W82" s="4">
        <v>127.05</v>
      </c>
      <c r="X82" s="4">
        <v>77.02</v>
      </c>
      <c r="Y82" s="4">
        <v>99.92</v>
      </c>
      <c r="Z82" s="4">
        <v>12.25</v>
      </c>
      <c r="AA82" s="4">
        <v>-0.67</v>
      </c>
      <c r="AB82" s="4">
        <v>9.1300000000000008</v>
      </c>
      <c r="AC82" s="4">
        <v>-72.400000000000006</v>
      </c>
      <c r="AD82" s="4">
        <v>980</v>
      </c>
      <c r="AE82" s="4">
        <v>8765</v>
      </c>
      <c r="AF82" s="4">
        <v>108.62</v>
      </c>
      <c r="AG82" s="4">
        <v>0.88</v>
      </c>
      <c r="AH82" s="4">
        <v>-181.43</v>
      </c>
      <c r="AI82" s="4">
        <v>127.83</v>
      </c>
      <c r="AJ82" s="4">
        <v>60</v>
      </c>
      <c r="AK82" s="4">
        <v>9</v>
      </c>
      <c r="AL82" s="4">
        <v>9</v>
      </c>
      <c r="AM82" s="4">
        <v>0.35</v>
      </c>
      <c r="AN82" s="4">
        <v>588</v>
      </c>
      <c r="AO82" s="4">
        <v>591.19000000000005</v>
      </c>
      <c r="AP82" s="4">
        <v>719432.77</v>
      </c>
      <c r="AQ82" s="4">
        <v>338243.28</v>
      </c>
      <c r="AR82" s="4" t="s">
        <v>388</v>
      </c>
      <c r="AS82" s="5">
        <f t="shared" si="0"/>
        <v>21.75739098173516</v>
      </c>
    </row>
    <row r="83" spans="1:45" ht="14.25" customHeight="1" x14ac:dyDescent="0.55000000000000004">
      <c r="A83" s="4">
        <v>0</v>
      </c>
      <c r="B83" s="4">
        <v>8.1</v>
      </c>
      <c r="C83" s="4">
        <v>532.69000000000005</v>
      </c>
      <c r="D83" s="4">
        <v>7.8</v>
      </c>
      <c r="E83" s="4" t="s">
        <v>2776</v>
      </c>
      <c r="F83" s="4" t="s">
        <v>2777</v>
      </c>
      <c r="G83" s="4" t="s">
        <v>2333</v>
      </c>
      <c r="H83" s="4" t="s">
        <v>2778</v>
      </c>
      <c r="I83" s="4">
        <v>0</v>
      </c>
      <c r="J83" s="4">
        <v>1938.21</v>
      </c>
      <c r="K83" s="4">
        <f t="shared" si="4"/>
        <v>86.460000000000008</v>
      </c>
      <c r="L83" s="4">
        <f t="shared" si="5"/>
        <v>51.95</v>
      </c>
      <c r="M83" s="4">
        <f t="shared" si="6"/>
        <v>34.510000000000005</v>
      </c>
      <c r="N83" s="4">
        <v>7.33</v>
      </c>
      <c r="O83" s="4">
        <v>0</v>
      </c>
      <c r="P83" s="4">
        <v>98</v>
      </c>
      <c r="Q83" s="4">
        <v>16.7</v>
      </c>
      <c r="R83" s="4">
        <v>8.1</v>
      </c>
      <c r="S83" s="4">
        <v>16.45</v>
      </c>
      <c r="T83" s="4">
        <v>-16.45</v>
      </c>
      <c r="U83" s="4">
        <v>0.27</v>
      </c>
      <c r="V83" s="4">
        <v>340.92</v>
      </c>
      <c r="W83" s="4">
        <v>90.03</v>
      </c>
      <c r="X83" s="4">
        <v>61.12</v>
      </c>
      <c r="Y83" s="4">
        <v>69.28</v>
      </c>
      <c r="Z83" s="4">
        <v>9.15</v>
      </c>
      <c r="AA83" s="4">
        <v>-0.9</v>
      </c>
      <c r="AB83" s="4">
        <v>9.6</v>
      </c>
      <c r="AC83" s="4">
        <v>-96.98</v>
      </c>
      <c r="AD83" s="4">
        <v>980</v>
      </c>
      <c r="AE83" s="4">
        <v>8765</v>
      </c>
      <c r="AF83" s="4">
        <v>108.62</v>
      </c>
      <c r="AG83" s="4">
        <v>0.88</v>
      </c>
      <c r="AH83" s="4">
        <v>-149.79</v>
      </c>
      <c r="AI83" s="4">
        <v>71.91</v>
      </c>
      <c r="AJ83" s="4">
        <v>60</v>
      </c>
      <c r="AK83" s="4">
        <v>9</v>
      </c>
      <c r="AL83" s="4">
        <v>9</v>
      </c>
      <c r="AM83" s="4">
        <v>0.63</v>
      </c>
      <c r="AN83" s="4">
        <v>588</v>
      </c>
      <c r="AO83" s="4">
        <v>593.66999999999996</v>
      </c>
      <c r="AP83" s="4">
        <v>864031.3</v>
      </c>
      <c r="AQ83" s="4">
        <v>190517.28</v>
      </c>
      <c r="AR83" s="4" t="s">
        <v>1433</v>
      </c>
      <c r="AS83" s="5">
        <f t="shared" si="0"/>
        <v>38.442581050228313</v>
      </c>
    </row>
    <row r="84" spans="1:45" ht="14.25" customHeight="1" x14ac:dyDescent="0.55000000000000004">
      <c r="A84" s="4">
        <v>0</v>
      </c>
      <c r="B84" s="4">
        <v>8.1</v>
      </c>
      <c r="C84" s="4">
        <v>541.96</v>
      </c>
      <c r="D84" s="4">
        <v>7.8</v>
      </c>
      <c r="E84" s="4" t="s">
        <v>2779</v>
      </c>
      <c r="F84" s="4" t="s">
        <v>2777</v>
      </c>
      <c r="G84" s="4" t="s">
        <v>2333</v>
      </c>
      <c r="H84" s="4" t="s">
        <v>2780</v>
      </c>
      <c r="I84" s="4">
        <v>0</v>
      </c>
      <c r="J84" s="4">
        <v>1942.71</v>
      </c>
      <c r="K84" s="4">
        <f t="shared" si="4"/>
        <v>84.740000000000009</v>
      </c>
      <c r="L84" s="4">
        <f t="shared" si="5"/>
        <v>51.95</v>
      </c>
      <c r="M84" s="4">
        <f t="shared" si="6"/>
        <v>32.790000000000006</v>
      </c>
      <c r="N84" s="4">
        <v>7.32</v>
      </c>
      <c r="O84" s="4">
        <v>0</v>
      </c>
      <c r="P84" s="4">
        <v>98</v>
      </c>
      <c r="Q84" s="4">
        <v>17.100000000000001</v>
      </c>
      <c r="R84" s="4">
        <v>8.1</v>
      </c>
      <c r="S84" s="4">
        <v>16.850000000000001</v>
      </c>
      <c r="T84" s="4">
        <v>-16.850000000000001</v>
      </c>
      <c r="U84" s="4">
        <v>0.28000000000000003</v>
      </c>
      <c r="V84" s="4">
        <v>346.85</v>
      </c>
      <c r="W84" s="4">
        <v>91.51</v>
      </c>
      <c r="X84" s="4">
        <v>61.79</v>
      </c>
      <c r="Y84" s="4">
        <v>70.489999999999995</v>
      </c>
      <c r="Z84" s="4">
        <v>8.9700000000000006</v>
      </c>
      <c r="AA84" s="4">
        <v>-0.89</v>
      </c>
      <c r="AB84" s="4">
        <v>9.58</v>
      </c>
      <c r="AC84" s="4">
        <v>-92.53</v>
      </c>
      <c r="AD84" s="4">
        <v>980</v>
      </c>
      <c r="AE84" s="4">
        <v>8765</v>
      </c>
      <c r="AF84" s="4">
        <v>108.62</v>
      </c>
      <c r="AG84" s="4">
        <v>0.88</v>
      </c>
      <c r="AH84" s="4">
        <v>-150.65</v>
      </c>
      <c r="AI84" s="4">
        <v>71.91</v>
      </c>
      <c r="AJ84" s="4">
        <v>60</v>
      </c>
      <c r="AK84" s="4">
        <v>9</v>
      </c>
      <c r="AL84" s="4">
        <v>9</v>
      </c>
      <c r="AM84" s="4">
        <v>0.63</v>
      </c>
      <c r="AN84" s="4">
        <v>588</v>
      </c>
      <c r="AO84" s="4">
        <v>593.66999999999996</v>
      </c>
      <c r="AP84" s="4">
        <v>845100.61</v>
      </c>
      <c r="AQ84" s="4">
        <v>190517.28</v>
      </c>
      <c r="AR84" s="4" t="s">
        <v>393</v>
      </c>
      <c r="AS84" s="5">
        <f t="shared" si="0"/>
        <v>37.362062214611868</v>
      </c>
    </row>
    <row r="85" spans="1:45" ht="14.25" customHeight="1" x14ac:dyDescent="0.55000000000000004">
      <c r="A85" s="4">
        <v>0</v>
      </c>
      <c r="B85" s="4">
        <v>8.1</v>
      </c>
      <c r="C85" s="4">
        <v>554.41999999999996</v>
      </c>
      <c r="D85" s="4">
        <v>7.8</v>
      </c>
      <c r="E85" s="4" t="s">
        <v>2781</v>
      </c>
      <c r="F85" s="4" t="s">
        <v>2782</v>
      </c>
      <c r="G85" s="4" t="s">
        <v>2333</v>
      </c>
      <c r="H85" s="4" t="s">
        <v>2783</v>
      </c>
      <c r="I85" s="4">
        <v>0</v>
      </c>
      <c r="J85" s="4">
        <v>1938.23</v>
      </c>
      <c r="K85" s="4">
        <f t="shared" si="4"/>
        <v>82.67</v>
      </c>
      <c r="L85" s="4">
        <f t="shared" si="5"/>
        <v>51.95</v>
      </c>
      <c r="M85" s="4">
        <f t="shared" si="6"/>
        <v>30.72</v>
      </c>
      <c r="N85" s="4">
        <v>7.31</v>
      </c>
      <c r="O85" s="4">
        <v>0</v>
      </c>
      <c r="P85" s="4">
        <v>97</v>
      </c>
      <c r="Q85" s="4">
        <v>16.8</v>
      </c>
      <c r="R85" s="4">
        <v>8.1</v>
      </c>
      <c r="S85" s="4">
        <v>16.440000000000001</v>
      </c>
      <c r="T85" s="4">
        <v>-16.440000000000001</v>
      </c>
      <c r="U85" s="4">
        <v>0.28999999999999998</v>
      </c>
      <c r="V85" s="4">
        <v>354.83</v>
      </c>
      <c r="W85" s="4">
        <v>93.44</v>
      </c>
      <c r="X85" s="4">
        <v>62.48</v>
      </c>
      <c r="Y85" s="4">
        <v>72.12</v>
      </c>
      <c r="Z85" s="4">
        <v>8.75</v>
      </c>
      <c r="AA85" s="4">
        <v>-0.88</v>
      </c>
      <c r="AB85" s="4">
        <v>9.5500000000000007</v>
      </c>
      <c r="AC85" s="4">
        <v>-97.18</v>
      </c>
      <c r="AD85" s="4">
        <v>980</v>
      </c>
      <c r="AE85" s="4">
        <v>8765</v>
      </c>
      <c r="AF85" s="4">
        <v>108.62</v>
      </c>
      <c r="AG85" s="4">
        <v>0.88</v>
      </c>
      <c r="AH85" s="4">
        <v>-152.13999999999999</v>
      </c>
      <c r="AI85" s="4">
        <v>71.91</v>
      </c>
      <c r="AJ85" s="4">
        <v>60</v>
      </c>
      <c r="AK85" s="4">
        <v>9</v>
      </c>
      <c r="AL85" s="4">
        <v>9</v>
      </c>
      <c r="AM85" s="4">
        <v>0.63</v>
      </c>
      <c r="AN85" s="4">
        <v>588</v>
      </c>
      <c r="AO85" s="4">
        <v>593.66999999999996</v>
      </c>
      <c r="AP85" s="4">
        <v>833613.51</v>
      </c>
      <c r="AQ85" s="4">
        <v>190517.28</v>
      </c>
      <c r="AR85" s="4" t="s">
        <v>398</v>
      </c>
      <c r="AS85" s="5">
        <f t="shared" si="0"/>
        <v>36.706405821917805</v>
      </c>
    </row>
    <row r="86" spans="1:45" ht="14.25" customHeight="1" x14ac:dyDescent="0.55000000000000004">
      <c r="A86" s="4">
        <v>0</v>
      </c>
      <c r="B86" s="4">
        <v>8.1</v>
      </c>
      <c r="C86" s="4">
        <v>746.58</v>
      </c>
      <c r="D86" s="4">
        <v>7.8</v>
      </c>
      <c r="E86" s="4" t="s">
        <v>2784</v>
      </c>
      <c r="F86" s="4" t="s">
        <v>2785</v>
      </c>
      <c r="G86" s="4" t="s">
        <v>2333</v>
      </c>
      <c r="H86" s="4" t="s">
        <v>2786</v>
      </c>
      <c r="I86" s="4">
        <v>0</v>
      </c>
      <c r="J86" s="4">
        <v>1897.45</v>
      </c>
      <c r="K86" s="4">
        <f t="shared" si="4"/>
        <v>66.06</v>
      </c>
      <c r="L86" s="4">
        <f t="shared" si="5"/>
        <v>47.81</v>
      </c>
      <c r="M86" s="4">
        <f t="shared" si="6"/>
        <v>18.25</v>
      </c>
      <c r="N86" s="4">
        <v>7.15</v>
      </c>
      <c r="O86" s="4">
        <v>0</v>
      </c>
      <c r="P86" s="4">
        <v>85</v>
      </c>
      <c r="Q86" s="4">
        <v>21</v>
      </c>
      <c r="R86" s="4">
        <v>8.1</v>
      </c>
      <c r="S86" s="4">
        <v>19.12</v>
      </c>
      <c r="T86" s="4">
        <v>-19.12</v>
      </c>
      <c r="U86" s="4">
        <v>0.39</v>
      </c>
      <c r="V86" s="4">
        <v>477.81</v>
      </c>
      <c r="W86" s="4">
        <v>123.66</v>
      </c>
      <c r="X86" s="4">
        <v>74.98</v>
      </c>
      <c r="Y86" s="4">
        <v>97.25</v>
      </c>
      <c r="Z86" s="4">
        <v>12.43</v>
      </c>
      <c r="AA86" s="4">
        <v>-0.69</v>
      </c>
      <c r="AB86" s="4">
        <v>9.18</v>
      </c>
      <c r="AC86" s="4">
        <v>-73.48</v>
      </c>
      <c r="AD86" s="4">
        <v>980</v>
      </c>
      <c r="AE86" s="4">
        <v>8765</v>
      </c>
      <c r="AF86" s="4">
        <v>108.62</v>
      </c>
      <c r="AG86" s="4">
        <v>0.88</v>
      </c>
      <c r="AH86" s="4">
        <v>-179.09</v>
      </c>
      <c r="AI86" s="4">
        <v>127.83</v>
      </c>
      <c r="AJ86" s="4">
        <v>60</v>
      </c>
      <c r="AK86" s="4">
        <v>9</v>
      </c>
      <c r="AL86" s="4">
        <v>9</v>
      </c>
      <c r="AM86" s="4">
        <v>0.35</v>
      </c>
      <c r="AN86" s="4">
        <v>588</v>
      </c>
      <c r="AO86" s="4">
        <v>591.19000000000005</v>
      </c>
      <c r="AP86" s="4">
        <v>741391.47</v>
      </c>
      <c r="AQ86" s="4">
        <v>338243.28</v>
      </c>
      <c r="AR86" s="4" t="s">
        <v>403</v>
      </c>
      <c r="AS86" s="5">
        <f t="shared" si="0"/>
        <v>23.01074143835616</v>
      </c>
    </row>
    <row r="87" spans="1:45" ht="14.25" customHeight="1" x14ac:dyDescent="0.55000000000000004">
      <c r="A87" s="4">
        <v>0</v>
      </c>
      <c r="B87" s="4">
        <v>8.1</v>
      </c>
      <c r="C87" s="4">
        <v>535.26</v>
      </c>
      <c r="D87" s="4">
        <v>7.8</v>
      </c>
      <c r="E87" s="4" t="s">
        <v>2787</v>
      </c>
      <c r="F87" s="4" t="s">
        <v>2777</v>
      </c>
      <c r="G87" s="4" t="s">
        <v>2333</v>
      </c>
      <c r="H87" s="4" t="s">
        <v>2788</v>
      </c>
      <c r="I87" s="4">
        <v>0</v>
      </c>
      <c r="J87" s="4">
        <v>1939.49</v>
      </c>
      <c r="K87" s="4">
        <f t="shared" si="4"/>
        <v>85.960000000000008</v>
      </c>
      <c r="L87" s="4">
        <f t="shared" si="5"/>
        <v>51.95</v>
      </c>
      <c r="M87" s="4">
        <f t="shared" si="6"/>
        <v>34.010000000000005</v>
      </c>
      <c r="N87" s="4">
        <v>7.33</v>
      </c>
      <c r="O87" s="4">
        <v>0</v>
      </c>
      <c r="P87" s="4">
        <v>98</v>
      </c>
      <c r="Q87" s="4">
        <v>16.8</v>
      </c>
      <c r="R87" s="4">
        <v>8.1</v>
      </c>
      <c r="S87" s="4">
        <v>16.55</v>
      </c>
      <c r="T87" s="4">
        <v>-16.55</v>
      </c>
      <c r="U87" s="4">
        <v>0.28000000000000003</v>
      </c>
      <c r="V87" s="4">
        <v>342.56</v>
      </c>
      <c r="W87" s="4">
        <v>90.44</v>
      </c>
      <c r="X87" s="4">
        <v>61.3</v>
      </c>
      <c r="Y87" s="4">
        <v>69.62</v>
      </c>
      <c r="Z87" s="4">
        <v>9.1</v>
      </c>
      <c r="AA87" s="4">
        <v>-0.9</v>
      </c>
      <c r="AB87" s="4">
        <v>9.59</v>
      </c>
      <c r="AC87" s="4">
        <v>-95.83</v>
      </c>
      <c r="AD87" s="4">
        <v>980</v>
      </c>
      <c r="AE87" s="4">
        <v>8765</v>
      </c>
      <c r="AF87" s="4">
        <v>108.62</v>
      </c>
      <c r="AG87" s="4">
        <v>0.88</v>
      </c>
      <c r="AH87" s="4">
        <v>-150.03</v>
      </c>
      <c r="AI87" s="4">
        <v>71.91</v>
      </c>
      <c r="AJ87" s="4">
        <v>60</v>
      </c>
      <c r="AK87" s="4">
        <v>9</v>
      </c>
      <c r="AL87" s="4">
        <v>9</v>
      </c>
      <c r="AM87" s="4">
        <v>0.63</v>
      </c>
      <c r="AN87" s="4">
        <v>588</v>
      </c>
      <c r="AO87" s="4">
        <v>593.66999999999996</v>
      </c>
      <c r="AP87" s="4">
        <v>858602.68</v>
      </c>
      <c r="AQ87" s="4">
        <v>190517.28</v>
      </c>
      <c r="AR87" s="4" t="s">
        <v>408</v>
      </c>
      <c r="AS87" s="5">
        <f t="shared" si="0"/>
        <v>38.132728310502287</v>
      </c>
    </row>
    <row r="88" spans="1:45" ht="14.25" customHeight="1" x14ac:dyDescent="0.55000000000000004">
      <c r="A88" s="4">
        <v>0</v>
      </c>
      <c r="B88" s="4">
        <v>8.1</v>
      </c>
      <c r="C88" s="4">
        <v>667.83</v>
      </c>
      <c r="D88" s="4">
        <v>7.8</v>
      </c>
      <c r="E88" s="4" t="s">
        <v>2789</v>
      </c>
      <c r="F88" s="4" t="s">
        <v>2790</v>
      </c>
      <c r="G88" s="4" t="s">
        <v>2333</v>
      </c>
      <c r="H88" s="4" t="s">
        <v>2791</v>
      </c>
      <c r="I88" s="4">
        <v>0</v>
      </c>
      <c r="J88" s="4">
        <v>1994.63</v>
      </c>
      <c r="K88" s="4">
        <f t="shared" si="4"/>
        <v>70.72</v>
      </c>
      <c r="L88" s="4">
        <f t="shared" si="5"/>
        <v>51</v>
      </c>
      <c r="M88" s="4">
        <f t="shared" si="6"/>
        <v>19.72</v>
      </c>
      <c r="N88" s="4">
        <v>7.29</v>
      </c>
      <c r="O88" s="4">
        <v>0</v>
      </c>
      <c r="P88" s="4">
        <v>97</v>
      </c>
      <c r="Q88" s="4">
        <v>16.899999999999999</v>
      </c>
      <c r="R88" s="4">
        <v>8.1</v>
      </c>
      <c r="S88" s="4">
        <v>16.54</v>
      </c>
      <c r="T88" s="4">
        <v>-16.54</v>
      </c>
      <c r="U88" s="4">
        <v>0.33</v>
      </c>
      <c r="V88" s="4">
        <v>427.41</v>
      </c>
      <c r="W88" s="4">
        <v>111.85</v>
      </c>
      <c r="X88" s="4">
        <v>72.11</v>
      </c>
      <c r="Y88" s="4">
        <v>86.94</v>
      </c>
      <c r="Z88" s="4">
        <v>8.32</v>
      </c>
      <c r="AA88" s="4">
        <v>-0.74</v>
      </c>
      <c r="AB88" s="4">
        <v>9.2899999999999991</v>
      </c>
      <c r="AC88" s="4">
        <v>-96.02</v>
      </c>
      <c r="AD88" s="4">
        <v>980</v>
      </c>
      <c r="AE88" s="4">
        <v>8765</v>
      </c>
      <c r="AF88" s="4">
        <v>108.62</v>
      </c>
      <c r="AG88" s="4">
        <v>0.88</v>
      </c>
      <c r="AH88" s="4">
        <v>-163.30000000000001</v>
      </c>
      <c r="AI88" s="4">
        <v>79.900000000000006</v>
      </c>
      <c r="AJ88" s="4">
        <v>60</v>
      </c>
      <c r="AK88" s="4">
        <v>9</v>
      </c>
      <c r="AL88" s="4">
        <v>9</v>
      </c>
      <c r="AM88" s="4">
        <v>0.56999999999999995</v>
      </c>
      <c r="AN88" s="4">
        <v>588</v>
      </c>
      <c r="AO88" s="4">
        <v>593.1</v>
      </c>
      <c r="AP88" s="4">
        <v>678967.22</v>
      </c>
      <c r="AQ88" s="4">
        <v>224283.22</v>
      </c>
      <c r="AR88" s="4" t="s">
        <v>413</v>
      </c>
      <c r="AS88" s="5">
        <f t="shared" si="0"/>
        <v>25.952283105022833</v>
      </c>
    </row>
    <row r="89" spans="1:45" ht="14.25" customHeight="1" x14ac:dyDescent="0.55000000000000004">
      <c r="A89" s="4">
        <v>0</v>
      </c>
      <c r="B89" s="4">
        <v>8.1</v>
      </c>
      <c r="C89" s="4">
        <v>749.07</v>
      </c>
      <c r="D89" s="4">
        <v>7.8</v>
      </c>
      <c r="E89" s="4" t="s">
        <v>2792</v>
      </c>
      <c r="F89" s="4" t="s">
        <v>2785</v>
      </c>
      <c r="G89" s="4" t="s">
        <v>2333</v>
      </c>
      <c r="H89" s="4" t="s">
        <v>2793</v>
      </c>
      <c r="I89" s="4">
        <v>0</v>
      </c>
      <c r="J89" s="4">
        <v>1897.78</v>
      </c>
      <c r="K89" s="4">
        <f t="shared" si="4"/>
        <v>65.94</v>
      </c>
      <c r="L89" s="4">
        <f t="shared" si="5"/>
        <v>47.81</v>
      </c>
      <c r="M89" s="4">
        <f t="shared" si="6"/>
        <v>18.129999999999995</v>
      </c>
      <c r="N89" s="4">
        <v>7.15</v>
      </c>
      <c r="O89" s="4">
        <v>0</v>
      </c>
      <c r="P89" s="4">
        <v>85</v>
      </c>
      <c r="Q89" s="4">
        <v>21</v>
      </c>
      <c r="R89" s="4">
        <v>8.1</v>
      </c>
      <c r="S89" s="4">
        <v>19.12</v>
      </c>
      <c r="T89" s="4">
        <v>-19.12</v>
      </c>
      <c r="U89" s="4">
        <v>0.39</v>
      </c>
      <c r="V89" s="4">
        <v>479.4</v>
      </c>
      <c r="W89" s="4">
        <v>124.06</v>
      </c>
      <c r="X89" s="4">
        <v>75.17</v>
      </c>
      <c r="Y89" s="4">
        <v>97.58</v>
      </c>
      <c r="Z89" s="4">
        <v>12.41</v>
      </c>
      <c r="AA89" s="4">
        <v>-0.69</v>
      </c>
      <c r="AB89" s="4">
        <v>9.17</v>
      </c>
      <c r="AC89" s="4">
        <v>-73.48</v>
      </c>
      <c r="AD89" s="4">
        <v>980</v>
      </c>
      <c r="AE89" s="4">
        <v>8765</v>
      </c>
      <c r="AF89" s="4">
        <v>108.62</v>
      </c>
      <c r="AG89" s="4">
        <v>0.88</v>
      </c>
      <c r="AH89" s="4">
        <v>-179.46</v>
      </c>
      <c r="AI89" s="4">
        <v>127.83</v>
      </c>
      <c r="AJ89" s="4">
        <v>60</v>
      </c>
      <c r="AK89" s="4">
        <v>9</v>
      </c>
      <c r="AL89" s="4">
        <v>9</v>
      </c>
      <c r="AM89" s="4">
        <v>0.35</v>
      </c>
      <c r="AN89" s="4">
        <v>588</v>
      </c>
      <c r="AO89" s="4">
        <v>591.19000000000005</v>
      </c>
      <c r="AP89" s="4">
        <v>740055.26</v>
      </c>
      <c r="AQ89" s="4">
        <v>338243.28</v>
      </c>
      <c r="AR89" s="4" t="s">
        <v>418</v>
      </c>
      <c r="AS89" s="5">
        <f t="shared" si="0"/>
        <v>22.934473744292237</v>
      </c>
    </row>
    <row r="90" spans="1:45" ht="14.25" customHeight="1" x14ac:dyDescent="0.55000000000000004">
      <c r="A90" s="4">
        <v>0</v>
      </c>
      <c r="B90" s="4">
        <v>8.1</v>
      </c>
      <c r="C90" s="4">
        <v>497.45</v>
      </c>
      <c r="D90" s="4">
        <v>7.8</v>
      </c>
      <c r="E90" s="4" t="s">
        <v>2794</v>
      </c>
      <c r="F90" s="4" t="s">
        <v>2795</v>
      </c>
      <c r="G90" s="4" t="s">
        <v>2333</v>
      </c>
      <c r="H90" s="4" t="s">
        <v>2796</v>
      </c>
      <c r="I90" s="4">
        <v>0</v>
      </c>
      <c r="J90" s="4">
        <v>1740.79</v>
      </c>
      <c r="K90" s="4">
        <f t="shared" si="4"/>
        <v>94.92</v>
      </c>
      <c r="L90" s="4">
        <f t="shared" si="5"/>
        <v>51.95</v>
      </c>
      <c r="M90" s="4">
        <f t="shared" si="6"/>
        <v>42.97</v>
      </c>
      <c r="N90" s="4">
        <v>7.18</v>
      </c>
      <c r="O90" s="4">
        <v>0</v>
      </c>
      <c r="P90" s="4">
        <v>80</v>
      </c>
      <c r="Q90" s="4">
        <v>22</v>
      </c>
      <c r="R90" s="4">
        <v>8.1</v>
      </c>
      <c r="S90" s="4">
        <v>19.45</v>
      </c>
      <c r="T90" s="4">
        <v>-19.45</v>
      </c>
      <c r="U90" s="4">
        <v>0.28999999999999998</v>
      </c>
      <c r="V90" s="4">
        <v>318.37</v>
      </c>
      <c r="W90" s="4">
        <v>83.51</v>
      </c>
      <c r="X90" s="4">
        <v>55.02</v>
      </c>
      <c r="Y90" s="4">
        <v>64.680000000000007</v>
      </c>
      <c r="Z90" s="4">
        <v>10.050000000000001</v>
      </c>
      <c r="AA90" s="4">
        <v>-0.98</v>
      </c>
      <c r="AB90" s="4">
        <v>9.75</v>
      </c>
      <c r="AC90" s="4">
        <v>-71.37</v>
      </c>
      <c r="AD90" s="4">
        <v>980</v>
      </c>
      <c r="AE90" s="4">
        <v>8765</v>
      </c>
      <c r="AF90" s="4">
        <v>108.62</v>
      </c>
      <c r="AG90" s="4">
        <v>0.88</v>
      </c>
      <c r="AH90" s="4">
        <v>-152.08000000000001</v>
      </c>
      <c r="AI90" s="4">
        <v>71.91</v>
      </c>
      <c r="AJ90" s="4">
        <v>60</v>
      </c>
      <c r="AK90" s="4">
        <v>9</v>
      </c>
      <c r="AL90" s="4">
        <v>9</v>
      </c>
      <c r="AM90" s="4">
        <v>0.63</v>
      </c>
      <c r="AN90" s="4">
        <v>588</v>
      </c>
      <c r="AO90" s="4">
        <v>593.66999999999996</v>
      </c>
      <c r="AP90" s="4">
        <v>1173858.33</v>
      </c>
      <c r="AQ90" s="4">
        <v>190517.28</v>
      </c>
      <c r="AR90" s="4" t="s">
        <v>422</v>
      </c>
      <c r="AS90" s="5">
        <f t="shared" si="0"/>
        <v>56.126772260273974</v>
      </c>
    </row>
    <row r="91" spans="1:45" ht="14.25" customHeight="1" x14ac:dyDescent="0.55000000000000004">
      <c r="A91" s="4">
        <v>0</v>
      </c>
      <c r="B91" s="4">
        <v>8.1</v>
      </c>
      <c r="C91" s="4">
        <v>736.24</v>
      </c>
      <c r="D91" s="4">
        <v>7.8</v>
      </c>
      <c r="E91" s="4" t="s">
        <v>2797</v>
      </c>
      <c r="F91" s="4" t="s">
        <v>2798</v>
      </c>
      <c r="G91" s="4" t="s">
        <v>2333</v>
      </c>
      <c r="H91" s="4" t="s">
        <v>2799</v>
      </c>
      <c r="I91" s="4">
        <v>0</v>
      </c>
      <c r="J91" s="4">
        <v>1896.07</v>
      </c>
      <c r="K91" s="4">
        <f t="shared" si="4"/>
        <v>66.58</v>
      </c>
      <c r="L91" s="4">
        <f t="shared" si="5"/>
        <v>48.17</v>
      </c>
      <c r="M91" s="4">
        <f t="shared" si="6"/>
        <v>18.409999999999997</v>
      </c>
      <c r="N91" s="4">
        <v>7.16</v>
      </c>
      <c r="O91" s="4">
        <v>0</v>
      </c>
      <c r="P91" s="4">
        <v>90</v>
      </c>
      <c r="Q91" s="4">
        <v>19.7</v>
      </c>
      <c r="R91" s="4">
        <v>8.1</v>
      </c>
      <c r="S91" s="4">
        <v>18.47</v>
      </c>
      <c r="T91" s="4">
        <v>-18.47</v>
      </c>
      <c r="U91" s="4">
        <v>0.39</v>
      </c>
      <c r="V91" s="4">
        <v>471.19</v>
      </c>
      <c r="W91" s="4">
        <v>122</v>
      </c>
      <c r="X91" s="4">
        <v>74.16</v>
      </c>
      <c r="Y91" s="4">
        <v>95.9</v>
      </c>
      <c r="Z91" s="4">
        <v>11.75</v>
      </c>
      <c r="AA91" s="4">
        <v>-0.7</v>
      </c>
      <c r="AB91" s="4">
        <v>9.1999999999999993</v>
      </c>
      <c r="AC91" s="4">
        <v>-78.08</v>
      </c>
      <c r="AD91" s="4">
        <v>980</v>
      </c>
      <c r="AE91" s="4">
        <v>8765</v>
      </c>
      <c r="AF91" s="4">
        <v>108.62</v>
      </c>
      <c r="AG91" s="4">
        <v>0.88</v>
      </c>
      <c r="AH91" s="4">
        <v>-177.58</v>
      </c>
      <c r="AI91" s="4">
        <v>119.85</v>
      </c>
      <c r="AJ91" s="4">
        <v>60</v>
      </c>
      <c r="AK91" s="4">
        <v>9</v>
      </c>
      <c r="AL91" s="4">
        <v>9</v>
      </c>
      <c r="AM91" s="4">
        <v>0.38</v>
      </c>
      <c r="AN91" s="4">
        <v>588</v>
      </c>
      <c r="AO91" s="4">
        <v>591.4</v>
      </c>
      <c r="AP91" s="4">
        <v>747105.09</v>
      </c>
      <c r="AQ91" s="4">
        <v>325581.05</v>
      </c>
      <c r="AR91" s="4" t="s">
        <v>427</v>
      </c>
      <c r="AS91" s="5">
        <f t="shared" si="0"/>
        <v>24.059591324200913</v>
      </c>
    </row>
    <row r="92" spans="1:45" ht="14.25" customHeight="1" x14ac:dyDescent="0.55000000000000004">
      <c r="A92" s="4">
        <v>0</v>
      </c>
      <c r="B92" s="4">
        <v>8.1</v>
      </c>
      <c r="C92" s="4">
        <v>785.21</v>
      </c>
      <c r="D92" s="4">
        <v>7.8</v>
      </c>
      <c r="E92" s="4" t="s">
        <v>2800</v>
      </c>
      <c r="F92" s="4" t="s">
        <v>2801</v>
      </c>
      <c r="G92" s="4" t="s">
        <v>2333</v>
      </c>
      <c r="H92" s="4" t="s">
        <v>2802</v>
      </c>
      <c r="I92" s="4">
        <v>0</v>
      </c>
      <c r="J92" s="4">
        <v>1913.66</v>
      </c>
      <c r="K92" s="4">
        <f t="shared" si="4"/>
        <v>64.31</v>
      </c>
      <c r="L92" s="4">
        <f t="shared" si="5"/>
        <v>48.17</v>
      </c>
      <c r="M92" s="4">
        <f t="shared" si="6"/>
        <v>16.14</v>
      </c>
      <c r="N92" s="4">
        <v>7.16</v>
      </c>
      <c r="O92" s="4">
        <v>0</v>
      </c>
      <c r="P92" s="4">
        <v>85</v>
      </c>
      <c r="Q92" s="4">
        <v>20.5</v>
      </c>
      <c r="R92" s="4">
        <v>8.1</v>
      </c>
      <c r="S92" s="4">
        <v>18.64</v>
      </c>
      <c r="T92" s="4">
        <v>-18.64</v>
      </c>
      <c r="U92" s="4">
        <v>0.41</v>
      </c>
      <c r="V92" s="4">
        <v>502.54</v>
      </c>
      <c r="W92" s="4">
        <v>129.99</v>
      </c>
      <c r="X92" s="4">
        <v>78.489999999999995</v>
      </c>
      <c r="Y92" s="4">
        <v>102.3</v>
      </c>
      <c r="Z92" s="4">
        <v>11.35</v>
      </c>
      <c r="AA92" s="4">
        <v>-0.65</v>
      </c>
      <c r="AB92" s="4">
        <v>9.1</v>
      </c>
      <c r="AC92" s="4">
        <v>-76.88</v>
      </c>
      <c r="AD92" s="4">
        <v>980</v>
      </c>
      <c r="AE92" s="4">
        <v>8765</v>
      </c>
      <c r="AF92" s="4">
        <v>108.62</v>
      </c>
      <c r="AG92" s="4">
        <v>0.88</v>
      </c>
      <c r="AH92" s="4">
        <v>-184.21</v>
      </c>
      <c r="AI92" s="4">
        <v>119.85</v>
      </c>
      <c r="AJ92" s="4">
        <v>60</v>
      </c>
      <c r="AK92" s="4">
        <v>9</v>
      </c>
      <c r="AL92" s="4">
        <v>9</v>
      </c>
      <c r="AM92" s="4">
        <v>0.38</v>
      </c>
      <c r="AN92" s="4">
        <v>588</v>
      </c>
      <c r="AO92" s="4">
        <v>591.4</v>
      </c>
      <c r="AP92" s="4">
        <v>710747.06</v>
      </c>
      <c r="AQ92" s="4">
        <v>325581.05</v>
      </c>
      <c r="AR92" s="4" t="s">
        <v>432</v>
      </c>
      <c r="AS92" s="5">
        <f t="shared" si="0"/>
        <v>21.984361301369866</v>
      </c>
    </row>
    <row r="93" spans="1:45" ht="14.25" customHeight="1" x14ac:dyDescent="0.55000000000000004">
      <c r="A93" s="4">
        <v>0</v>
      </c>
      <c r="B93" s="4">
        <v>8.1</v>
      </c>
      <c r="C93" s="4">
        <v>534.37</v>
      </c>
      <c r="D93" s="4">
        <v>7.8</v>
      </c>
      <c r="E93" s="4" t="s">
        <v>2803</v>
      </c>
      <c r="F93" s="4" t="s">
        <v>2777</v>
      </c>
      <c r="G93" s="4" t="s">
        <v>2333</v>
      </c>
      <c r="H93" s="4" t="s">
        <v>2804</v>
      </c>
      <c r="I93" s="4">
        <v>0</v>
      </c>
      <c r="J93" s="4">
        <v>1939.05</v>
      </c>
      <c r="K93" s="4">
        <f t="shared" si="4"/>
        <v>86.13</v>
      </c>
      <c r="L93" s="4">
        <f t="shared" si="5"/>
        <v>51.95</v>
      </c>
      <c r="M93" s="4">
        <f t="shared" si="6"/>
        <v>34.179999999999993</v>
      </c>
      <c r="N93" s="4">
        <v>7.33</v>
      </c>
      <c r="O93" s="4">
        <v>0</v>
      </c>
      <c r="P93" s="4">
        <v>96</v>
      </c>
      <c r="Q93" s="4">
        <v>17.100000000000001</v>
      </c>
      <c r="R93" s="4">
        <v>8.1</v>
      </c>
      <c r="S93" s="4">
        <v>16.62</v>
      </c>
      <c r="T93" s="4">
        <v>-16.62</v>
      </c>
      <c r="U93" s="4">
        <v>0.28000000000000003</v>
      </c>
      <c r="V93" s="4">
        <v>342</v>
      </c>
      <c r="W93" s="4">
        <v>90.3</v>
      </c>
      <c r="X93" s="4">
        <v>61.24</v>
      </c>
      <c r="Y93" s="4">
        <v>69.5</v>
      </c>
      <c r="Z93" s="4">
        <v>9.1199999999999992</v>
      </c>
      <c r="AA93" s="4">
        <v>-0.9</v>
      </c>
      <c r="AB93" s="4">
        <v>9.6</v>
      </c>
      <c r="AC93" s="4">
        <v>-95.1</v>
      </c>
      <c r="AD93" s="4">
        <v>980</v>
      </c>
      <c r="AE93" s="4">
        <v>8765</v>
      </c>
      <c r="AF93" s="4">
        <v>108.62</v>
      </c>
      <c r="AG93" s="4">
        <v>0.88</v>
      </c>
      <c r="AH93" s="4">
        <v>-149.94999999999999</v>
      </c>
      <c r="AI93" s="4">
        <v>71.91</v>
      </c>
      <c r="AJ93" s="4">
        <v>60</v>
      </c>
      <c r="AK93" s="4">
        <v>9</v>
      </c>
      <c r="AL93" s="4">
        <v>9</v>
      </c>
      <c r="AM93" s="4">
        <v>0.63</v>
      </c>
      <c r="AN93" s="4">
        <v>588</v>
      </c>
      <c r="AO93" s="4">
        <v>593.66999999999996</v>
      </c>
      <c r="AP93" s="4">
        <v>860449.93</v>
      </c>
      <c r="AQ93" s="4">
        <v>190517.28</v>
      </c>
      <c r="AR93" s="4" t="s">
        <v>1468</v>
      </c>
      <c r="AS93" s="5">
        <f t="shared" si="0"/>
        <v>38.238164954337904</v>
      </c>
    </row>
    <row r="94" spans="1:45" ht="14.25" customHeight="1" x14ac:dyDescent="0.55000000000000004">
      <c r="A94" s="4">
        <v>0</v>
      </c>
      <c r="B94" s="4">
        <v>8.1</v>
      </c>
      <c r="C94" s="4">
        <v>496.76</v>
      </c>
      <c r="D94" s="4">
        <v>7.8</v>
      </c>
      <c r="E94" s="4" t="s">
        <v>2805</v>
      </c>
      <c r="F94" s="4" t="s">
        <v>2806</v>
      </c>
      <c r="G94" s="4" t="s">
        <v>2333</v>
      </c>
      <c r="H94" s="4" t="s">
        <v>2807</v>
      </c>
      <c r="I94" s="4">
        <v>0</v>
      </c>
      <c r="J94" s="4">
        <v>1740.53</v>
      </c>
      <c r="K94" s="4">
        <f t="shared" si="4"/>
        <v>95.13</v>
      </c>
      <c r="L94" s="4">
        <f t="shared" si="5"/>
        <v>51</v>
      </c>
      <c r="M94" s="4">
        <f t="shared" si="6"/>
        <v>44.129999999999995</v>
      </c>
      <c r="N94" s="4">
        <v>7.18</v>
      </c>
      <c r="O94" s="4">
        <v>0</v>
      </c>
      <c r="P94" s="4">
        <v>79</v>
      </c>
      <c r="Q94" s="4">
        <v>22</v>
      </c>
      <c r="R94" s="4">
        <v>8.1</v>
      </c>
      <c r="S94" s="4">
        <v>19.32</v>
      </c>
      <c r="T94" s="4">
        <v>-19.32</v>
      </c>
      <c r="U94" s="4">
        <v>0.28999999999999998</v>
      </c>
      <c r="V94" s="4">
        <v>317.92</v>
      </c>
      <c r="W94" s="4">
        <v>83.41</v>
      </c>
      <c r="X94" s="4">
        <v>54.99</v>
      </c>
      <c r="Y94" s="4">
        <v>64.59</v>
      </c>
      <c r="Z94" s="4">
        <v>11.19</v>
      </c>
      <c r="AA94" s="4">
        <v>-0.98</v>
      </c>
      <c r="AB94" s="4">
        <v>9.75</v>
      </c>
      <c r="AC94" s="4">
        <v>-72.19</v>
      </c>
      <c r="AD94" s="4">
        <v>980</v>
      </c>
      <c r="AE94" s="4">
        <v>8765</v>
      </c>
      <c r="AF94" s="4">
        <v>108.62</v>
      </c>
      <c r="AG94" s="4">
        <v>0.88</v>
      </c>
      <c r="AH94" s="4">
        <v>-152.01</v>
      </c>
      <c r="AI94" s="4">
        <v>79.900000000000006</v>
      </c>
      <c r="AJ94" s="4">
        <v>60</v>
      </c>
      <c r="AK94" s="4">
        <v>9</v>
      </c>
      <c r="AL94" s="4">
        <v>9</v>
      </c>
      <c r="AM94" s="4">
        <v>0.56999999999999995</v>
      </c>
      <c r="AN94" s="4">
        <v>588</v>
      </c>
      <c r="AO94" s="4">
        <v>593.1</v>
      </c>
      <c r="AP94" s="4">
        <v>1176158.3500000001</v>
      </c>
      <c r="AQ94" s="4">
        <v>224283.22</v>
      </c>
      <c r="AR94" s="4" t="s">
        <v>436</v>
      </c>
      <c r="AS94" s="5">
        <f t="shared" si="0"/>
        <v>54.330772260273982</v>
      </c>
    </row>
    <row r="95" spans="1:45" ht="14.25" customHeight="1" x14ac:dyDescent="0.55000000000000004">
      <c r="A95" s="4">
        <v>0</v>
      </c>
      <c r="B95" s="4">
        <v>8.1</v>
      </c>
      <c r="C95" s="4">
        <v>665.02</v>
      </c>
      <c r="D95" s="4">
        <v>7.8</v>
      </c>
      <c r="E95" s="4" t="s">
        <v>2808</v>
      </c>
      <c r="F95" s="4" t="s">
        <v>2768</v>
      </c>
      <c r="G95" s="4" t="s">
        <v>2333</v>
      </c>
      <c r="H95" s="4" t="s">
        <v>2809</v>
      </c>
      <c r="I95" s="4">
        <v>0</v>
      </c>
      <c r="J95" s="4">
        <v>1873.93</v>
      </c>
      <c r="K95" s="4">
        <f t="shared" si="4"/>
        <v>70.92</v>
      </c>
      <c r="L95" s="4">
        <f t="shared" si="5"/>
        <v>48.58</v>
      </c>
      <c r="M95" s="4">
        <f t="shared" si="6"/>
        <v>22.340000000000003</v>
      </c>
      <c r="N95" s="4">
        <v>7.17</v>
      </c>
      <c r="O95" s="4">
        <v>0</v>
      </c>
      <c r="P95" s="4">
        <v>89</v>
      </c>
      <c r="Q95" s="4">
        <v>20.399999999999999</v>
      </c>
      <c r="R95" s="4">
        <v>8.1</v>
      </c>
      <c r="S95" s="4">
        <v>19.04</v>
      </c>
      <c r="T95" s="4">
        <v>-19.04</v>
      </c>
      <c r="U95" s="4">
        <v>0.35</v>
      </c>
      <c r="V95" s="4">
        <v>425.61</v>
      </c>
      <c r="W95" s="4">
        <v>110.49</v>
      </c>
      <c r="X95" s="4">
        <v>68.28</v>
      </c>
      <c r="Y95" s="4">
        <v>86.6</v>
      </c>
      <c r="Z95" s="4">
        <v>11.68</v>
      </c>
      <c r="AA95" s="4">
        <v>-0.77</v>
      </c>
      <c r="AB95" s="4">
        <v>9.35</v>
      </c>
      <c r="AC95" s="4">
        <v>-74.05</v>
      </c>
      <c r="AD95" s="4">
        <v>980</v>
      </c>
      <c r="AE95" s="4">
        <v>8765</v>
      </c>
      <c r="AF95" s="4">
        <v>108.62</v>
      </c>
      <c r="AG95" s="4">
        <v>0.88</v>
      </c>
      <c r="AH95" s="4">
        <v>-168.38</v>
      </c>
      <c r="AI95" s="4">
        <v>111.86</v>
      </c>
      <c r="AJ95" s="4">
        <v>60</v>
      </c>
      <c r="AK95" s="4">
        <v>9</v>
      </c>
      <c r="AL95" s="4">
        <v>9</v>
      </c>
      <c r="AM95" s="4">
        <v>0.4</v>
      </c>
      <c r="AN95" s="4">
        <v>588</v>
      </c>
      <c r="AO95" s="4">
        <v>591.64</v>
      </c>
      <c r="AP95" s="4">
        <v>806479.28</v>
      </c>
      <c r="AQ95" s="4">
        <v>311109.93</v>
      </c>
      <c r="AR95" s="4" t="s">
        <v>441</v>
      </c>
      <c r="AS95" s="5">
        <f t="shared" si="0"/>
        <v>28.274506278538816</v>
      </c>
    </row>
    <row r="96" spans="1:45" ht="14.25" customHeight="1" x14ac:dyDescent="0.55000000000000004">
      <c r="A96" s="4">
        <v>0</v>
      </c>
      <c r="B96" s="4">
        <v>8.1</v>
      </c>
      <c r="C96" s="4">
        <v>538.08000000000004</v>
      </c>
      <c r="D96" s="4">
        <v>7.8</v>
      </c>
      <c r="E96" s="4" t="s">
        <v>2810</v>
      </c>
      <c r="F96" s="4" t="s">
        <v>2811</v>
      </c>
      <c r="G96" s="4" t="s">
        <v>2333</v>
      </c>
      <c r="H96" s="4" t="s">
        <v>2812</v>
      </c>
      <c r="I96" s="4">
        <v>0</v>
      </c>
      <c r="J96" s="4">
        <v>1950.74</v>
      </c>
      <c r="K96" s="4">
        <f t="shared" si="4"/>
        <v>85.44</v>
      </c>
      <c r="L96" s="4">
        <f t="shared" si="5"/>
        <v>51.95</v>
      </c>
      <c r="M96" s="4">
        <f t="shared" si="6"/>
        <v>33.489999999999995</v>
      </c>
      <c r="N96" s="4">
        <v>7.33</v>
      </c>
      <c r="O96" s="4">
        <v>0</v>
      </c>
      <c r="P96" s="4">
        <v>97</v>
      </c>
      <c r="Q96" s="4">
        <v>17.100000000000001</v>
      </c>
      <c r="R96" s="4">
        <v>8.1</v>
      </c>
      <c r="S96" s="4">
        <v>16.739999999999998</v>
      </c>
      <c r="T96" s="4">
        <v>-16.739999999999998</v>
      </c>
      <c r="U96" s="4">
        <v>0.28000000000000003</v>
      </c>
      <c r="V96" s="4">
        <v>344.37</v>
      </c>
      <c r="W96" s="4">
        <v>90.94</v>
      </c>
      <c r="X96" s="4">
        <v>61.72</v>
      </c>
      <c r="Y96" s="4">
        <v>69.989999999999995</v>
      </c>
      <c r="Z96" s="4">
        <v>9.0500000000000007</v>
      </c>
      <c r="AA96" s="4">
        <v>-0.89</v>
      </c>
      <c r="AB96" s="4">
        <v>9.58</v>
      </c>
      <c r="AC96" s="4">
        <v>-93.8</v>
      </c>
      <c r="AD96" s="4">
        <v>980</v>
      </c>
      <c r="AE96" s="4">
        <v>8765</v>
      </c>
      <c r="AF96" s="4">
        <v>108.62</v>
      </c>
      <c r="AG96" s="4">
        <v>0.88</v>
      </c>
      <c r="AH96" s="4">
        <v>-150</v>
      </c>
      <c r="AI96" s="4">
        <v>71.91</v>
      </c>
      <c r="AJ96" s="4">
        <v>60</v>
      </c>
      <c r="AK96" s="4">
        <v>9</v>
      </c>
      <c r="AL96" s="4">
        <v>9</v>
      </c>
      <c r="AM96" s="4">
        <v>0.63</v>
      </c>
      <c r="AN96" s="4">
        <v>588</v>
      </c>
      <c r="AO96" s="4">
        <v>593.66999999999996</v>
      </c>
      <c r="AP96" s="4">
        <v>841408.13</v>
      </c>
      <c r="AQ96" s="4">
        <v>190517.28</v>
      </c>
      <c r="AR96" s="4" t="s">
        <v>1481</v>
      </c>
      <c r="AS96" s="5">
        <f t="shared" si="0"/>
        <v>37.15130422374429</v>
      </c>
    </row>
    <row r="97" spans="1:45" ht="14.25" customHeight="1" x14ac:dyDescent="0.55000000000000004">
      <c r="A97" s="4">
        <v>0</v>
      </c>
      <c r="B97" s="4">
        <v>8.1</v>
      </c>
      <c r="C97" s="4">
        <v>737.45</v>
      </c>
      <c r="D97" s="4">
        <v>7.8</v>
      </c>
      <c r="E97" s="4" t="s">
        <v>2813</v>
      </c>
      <c r="F97" s="4" t="s">
        <v>2814</v>
      </c>
      <c r="G97" s="4" t="s">
        <v>2333</v>
      </c>
      <c r="H97" s="4" t="s">
        <v>2815</v>
      </c>
      <c r="I97" s="4">
        <v>0</v>
      </c>
      <c r="J97" s="4">
        <v>1952.59</v>
      </c>
      <c r="K97" s="4">
        <f t="shared" si="4"/>
        <v>66.52000000000001</v>
      </c>
      <c r="L97" s="4">
        <f t="shared" si="5"/>
        <v>49.04</v>
      </c>
      <c r="M97" s="4">
        <f t="shared" si="6"/>
        <v>17.480000000000011</v>
      </c>
      <c r="N97" s="4">
        <v>7.21</v>
      </c>
      <c r="O97" s="4">
        <v>0</v>
      </c>
      <c r="P97" s="4">
        <v>95</v>
      </c>
      <c r="Q97" s="4">
        <v>18.7</v>
      </c>
      <c r="R97" s="4">
        <v>8.1</v>
      </c>
      <c r="S97" s="4">
        <v>18.09</v>
      </c>
      <c r="T97" s="4">
        <v>-18.09</v>
      </c>
      <c r="U97" s="4">
        <v>0.38</v>
      </c>
      <c r="V97" s="4">
        <v>471.97</v>
      </c>
      <c r="W97" s="4">
        <v>122.68</v>
      </c>
      <c r="X97" s="4">
        <v>76.209999999999994</v>
      </c>
      <c r="Y97" s="4">
        <v>96.05</v>
      </c>
      <c r="Z97" s="4">
        <v>10.17</v>
      </c>
      <c r="AA97" s="4">
        <v>-0.68</v>
      </c>
      <c r="AB97" s="4">
        <v>9.17</v>
      </c>
      <c r="AC97" s="4">
        <v>-81.05</v>
      </c>
      <c r="AD97" s="4">
        <v>980</v>
      </c>
      <c r="AE97" s="4">
        <v>8765</v>
      </c>
      <c r="AF97" s="4">
        <v>108.62</v>
      </c>
      <c r="AG97" s="4">
        <v>0.88</v>
      </c>
      <c r="AH97" s="4">
        <v>-174.55</v>
      </c>
      <c r="AI97" s="4">
        <v>103.87</v>
      </c>
      <c r="AJ97" s="4">
        <v>60</v>
      </c>
      <c r="AK97" s="4">
        <v>9</v>
      </c>
      <c r="AL97" s="4">
        <v>9</v>
      </c>
      <c r="AM97" s="4">
        <v>0.44</v>
      </c>
      <c r="AN97" s="4">
        <v>588</v>
      </c>
      <c r="AO97" s="4">
        <v>591.91999999999996</v>
      </c>
      <c r="AP97" s="4">
        <v>689481.75</v>
      </c>
      <c r="AQ97" s="4">
        <v>294412.49</v>
      </c>
      <c r="AR97" s="4" t="s">
        <v>446</v>
      </c>
      <c r="AS97" s="5">
        <f t="shared" si="0"/>
        <v>22.549615296803655</v>
      </c>
    </row>
    <row r="98" spans="1:45" ht="14.25" customHeight="1" x14ac:dyDescent="0.55000000000000004">
      <c r="A98" s="4">
        <v>0</v>
      </c>
      <c r="B98" s="4">
        <v>8.1</v>
      </c>
      <c r="C98" s="4">
        <v>664.75</v>
      </c>
      <c r="D98" s="4">
        <v>7.8</v>
      </c>
      <c r="E98" s="4" t="s">
        <v>2816</v>
      </c>
      <c r="F98" s="4" t="s">
        <v>2817</v>
      </c>
      <c r="G98" s="4" t="s">
        <v>2333</v>
      </c>
      <c r="H98" s="4" t="s">
        <v>2818</v>
      </c>
      <c r="I98" s="4">
        <v>0</v>
      </c>
      <c r="J98" s="4">
        <v>1982.98</v>
      </c>
      <c r="K98" s="4">
        <f t="shared" si="4"/>
        <v>70.94</v>
      </c>
      <c r="L98" s="4">
        <f t="shared" si="5"/>
        <v>51</v>
      </c>
      <c r="M98" s="4">
        <f t="shared" si="6"/>
        <v>19.939999999999998</v>
      </c>
      <c r="N98" s="4">
        <v>7.28</v>
      </c>
      <c r="O98" s="4">
        <v>0</v>
      </c>
      <c r="P98" s="4">
        <v>97</v>
      </c>
      <c r="Q98" s="4">
        <v>18.100000000000001</v>
      </c>
      <c r="R98" s="4">
        <v>8.1</v>
      </c>
      <c r="S98" s="4">
        <v>17.739999999999998</v>
      </c>
      <c r="T98" s="4">
        <v>-17.739999999999998</v>
      </c>
      <c r="U98" s="4">
        <v>0.34</v>
      </c>
      <c r="V98" s="4">
        <v>425.44</v>
      </c>
      <c r="W98" s="4">
        <v>111.27</v>
      </c>
      <c r="X98" s="4">
        <v>71.540000000000006</v>
      </c>
      <c r="Y98" s="4">
        <v>86.54</v>
      </c>
      <c r="Z98" s="4">
        <v>8.35</v>
      </c>
      <c r="AA98" s="4">
        <v>-0.75</v>
      </c>
      <c r="AB98" s="4">
        <v>9.3000000000000007</v>
      </c>
      <c r="AC98" s="4">
        <v>-84.06</v>
      </c>
      <c r="AD98" s="4">
        <v>980</v>
      </c>
      <c r="AE98" s="4">
        <v>8765</v>
      </c>
      <c r="AF98" s="4">
        <v>108.62</v>
      </c>
      <c r="AG98" s="4">
        <v>0.88</v>
      </c>
      <c r="AH98" s="4">
        <v>-163.4</v>
      </c>
      <c r="AI98" s="4">
        <v>79.900000000000006</v>
      </c>
      <c r="AJ98" s="4">
        <v>60</v>
      </c>
      <c r="AK98" s="4">
        <v>9</v>
      </c>
      <c r="AL98" s="4">
        <v>9</v>
      </c>
      <c r="AM98" s="4">
        <v>0.56999999999999995</v>
      </c>
      <c r="AN98" s="4">
        <v>588</v>
      </c>
      <c r="AO98" s="4">
        <v>593.1</v>
      </c>
      <c r="AP98" s="4">
        <v>692819.14</v>
      </c>
      <c r="AQ98" s="4">
        <v>224283.22</v>
      </c>
      <c r="AR98" s="4" t="s">
        <v>451</v>
      </c>
      <c r="AS98" s="5">
        <f t="shared" si="0"/>
        <v>26.742917808219179</v>
      </c>
    </row>
    <row r="99" spans="1:45" ht="14.25" customHeight="1" x14ac:dyDescent="0.55000000000000004">
      <c r="A99" s="4">
        <v>0</v>
      </c>
      <c r="B99" s="4">
        <v>8.1</v>
      </c>
      <c r="C99" s="4">
        <v>540.53</v>
      </c>
      <c r="D99" s="4">
        <v>7.8</v>
      </c>
      <c r="E99" s="4" t="s">
        <v>2819</v>
      </c>
      <c r="F99" s="4" t="s">
        <v>2811</v>
      </c>
      <c r="G99" s="4" t="s">
        <v>2333</v>
      </c>
      <c r="H99" s="4" t="s">
        <v>2820</v>
      </c>
      <c r="I99" s="4">
        <v>0</v>
      </c>
      <c r="J99" s="4">
        <v>1951.94</v>
      </c>
      <c r="K99" s="4">
        <f t="shared" si="4"/>
        <v>85</v>
      </c>
      <c r="L99" s="4">
        <f t="shared" si="5"/>
        <v>51.95</v>
      </c>
      <c r="M99" s="4">
        <f t="shared" si="6"/>
        <v>33.049999999999997</v>
      </c>
      <c r="N99" s="4">
        <v>7.33</v>
      </c>
      <c r="O99" s="4">
        <v>0</v>
      </c>
      <c r="P99" s="4">
        <v>98</v>
      </c>
      <c r="Q99" s="4">
        <v>16.600000000000001</v>
      </c>
      <c r="R99" s="4">
        <v>8.1</v>
      </c>
      <c r="S99" s="4">
        <v>16.350000000000001</v>
      </c>
      <c r="T99" s="4">
        <v>-16.350000000000001</v>
      </c>
      <c r="U99" s="4">
        <v>0.28000000000000003</v>
      </c>
      <c r="V99" s="4">
        <v>345.94</v>
      </c>
      <c r="W99" s="4">
        <v>91.33</v>
      </c>
      <c r="X99" s="4">
        <v>61.9</v>
      </c>
      <c r="Y99" s="4">
        <v>70.31</v>
      </c>
      <c r="Z99" s="4">
        <v>9</v>
      </c>
      <c r="AA99" s="4">
        <v>-0.89</v>
      </c>
      <c r="AB99" s="4">
        <v>9.58</v>
      </c>
      <c r="AC99" s="4">
        <v>-98.16</v>
      </c>
      <c r="AD99" s="4">
        <v>980</v>
      </c>
      <c r="AE99" s="4">
        <v>8765</v>
      </c>
      <c r="AF99" s="4">
        <v>108.62</v>
      </c>
      <c r="AG99" s="4">
        <v>0.88</v>
      </c>
      <c r="AH99" s="4">
        <v>-150.22</v>
      </c>
      <c r="AI99" s="4">
        <v>71.91</v>
      </c>
      <c r="AJ99" s="4">
        <v>60</v>
      </c>
      <c r="AK99" s="4">
        <v>9</v>
      </c>
      <c r="AL99" s="4">
        <v>9</v>
      </c>
      <c r="AM99" s="4">
        <v>0.63</v>
      </c>
      <c r="AN99" s="4">
        <v>588</v>
      </c>
      <c r="AO99" s="4">
        <v>593.66999999999996</v>
      </c>
      <c r="AP99" s="4">
        <v>836518.14</v>
      </c>
      <c r="AQ99" s="4">
        <v>190517.28</v>
      </c>
      <c r="AR99" s="4" t="s">
        <v>456</v>
      </c>
      <c r="AS99" s="5">
        <f t="shared" si="0"/>
        <v>36.87219520547945</v>
      </c>
    </row>
    <row r="100" spans="1:45" ht="14.25" customHeight="1" x14ac:dyDescent="0.55000000000000004">
      <c r="A100" s="4">
        <v>0</v>
      </c>
      <c r="B100" s="4">
        <v>8.1</v>
      </c>
      <c r="C100" s="4">
        <v>497.18</v>
      </c>
      <c r="D100" s="4">
        <v>7.8</v>
      </c>
      <c r="E100" s="4" t="s">
        <v>2821</v>
      </c>
      <c r="F100" s="4" t="s">
        <v>2806</v>
      </c>
      <c r="G100" s="4" t="s">
        <v>2333</v>
      </c>
      <c r="H100" s="4" t="s">
        <v>2822</v>
      </c>
      <c r="I100" s="4">
        <v>0</v>
      </c>
      <c r="J100" s="4">
        <v>1740.69</v>
      </c>
      <c r="K100" s="4">
        <f t="shared" si="4"/>
        <v>95</v>
      </c>
      <c r="L100" s="4">
        <f t="shared" si="5"/>
        <v>51</v>
      </c>
      <c r="M100" s="4">
        <f t="shared" si="6"/>
        <v>44</v>
      </c>
      <c r="N100" s="4">
        <v>7.18</v>
      </c>
      <c r="O100" s="4">
        <v>0</v>
      </c>
      <c r="P100" s="4">
        <v>80</v>
      </c>
      <c r="Q100" s="4">
        <v>22</v>
      </c>
      <c r="R100" s="4">
        <v>8.1</v>
      </c>
      <c r="S100" s="4">
        <v>19.45</v>
      </c>
      <c r="T100" s="4">
        <v>-19.45</v>
      </c>
      <c r="U100" s="4">
        <v>0.28999999999999998</v>
      </c>
      <c r="V100" s="4">
        <v>318.19</v>
      </c>
      <c r="W100" s="4">
        <v>83.47</v>
      </c>
      <c r="X100" s="4">
        <v>55.01</v>
      </c>
      <c r="Y100" s="4">
        <v>64.650000000000006</v>
      </c>
      <c r="Z100" s="4">
        <v>11.18</v>
      </c>
      <c r="AA100" s="4">
        <v>-0.98</v>
      </c>
      <c r="AB100" s="4">
        <v>9.75</v>
      </c>
      <c r="AC100" s="4">
        <v>-71.37</v>
      </c>
      <c r="AD100" s="4">
        <v>980</v>
      </c>
      <c r="AE100" s="4">
        <v>8765</v>
      </c>
      <c r="AF100" s="4">
        <v>108.62</v>
      </c>
      <c r="AG100" s="4">
        <v>0.88</v>
      </c>
      <c r="AH100" s="4">
        <v>-152.05000000000001</v>
      </c>
      <c r="AI100" s="4">
        <v>79.900000000000006</v>
      </c>
      <c r="AJ100" s="4">
        <v>60</v>
      </c>
      <c r="AK100" s="4">
        <v>9</v>
      </c>
      <c r="AL100" s="4">
        <v>9</v>
      </c>
      <c r="AM100" s="4">
        <v>0.56999999999999995</v>
      </c>
      <c r="AN100" s="4">
        <v>588</v>
      </c>
      <c r="AO100" s="4">
        <v>593.1</v>
      </c>
      <c r="AP100" s="4">
        <v>1174757.3500000001</v>
      </c>
      <c r="AQ100" s="4">
        <v>224283.22</v>
      </c>
      <c r="AR100" s="4" t="s">
        <v>460</v>
      </c>
      <c r="AS100" s="5">
        <f t="shared" si="0"/>
        <v>54.250806506849322</v>
      </c>
    </row>
    <row r="101" spans="1:45" ht="14.25" customHeight="1" x14ac:dyDescent="0.55000000000000004">
      <c r="A101" s="4">
        <v>0</v>
      </c>
      <c r="B101" s="4">
        <v>8.1</v>
      </c>
      <c r="C101" s="4">
        <v>538.37</v>
      </c>
      <c r="D101" s="4">
        <v>7.8</v>
      </c>
      <c r="E101" s="4" t="s">
        <v>2823</v>
      </c>
      <c r="F101" s="4" t="s">
        <v>2777</v>
      </c>
      <c r="G101" s="4" t="s">
        <v>2333</v>
      </c>
      <c r="H101" s="4" t="s">
        <v>2824</v>
      </c>
      <c r="I101" s="4">
        <v>0</v>
      </c>
      <c r="J101" s="4">
        <v>1941</v>
      </c>
      <c r="K101" s="4">
        <f t="shared" si="4"/>
        <v>85.39</v>
      </c>
      <c r="L101" s="4">
        <f t="shared" si="5"/>
        <v>51.95</v>
      </c>
      <c r="M101" s="4">
        <f t="shared" si="6"/>
        <v>33.44</v>
      </c>
      <c r="N101" s="4">
        <v>7.32</v>
      </c>
      <c r="O101" s="4">
        <v>0</v>
      </c>
      <c r="P101" s="4">
        <v>98</v>
      </c>
      <c r="Q101" s="4">
        <v>17.100000000000001</v>
      </c>
      <c r="R101" s="4">
        <v>8.1</v>
      </c>
      <c r="S101" s="4">
        <v>16.850000000000001</v>
      </c>
      <c r="T101" s="4">
        <v>-16.850000000000001</v>
      </c>
      <c r="U101" s="4">
        <v>0.28000000000000003</v>
      </c>
      <c r="V101" s="4">
        <v>344.56</v>
      </c>
      <c r="W101" s="4">
        <v>90.94</v>
      </c>
      <c r="X101" s="4">
        <v>61.53</v>
      </c>
      <c r="Y101" s="4">
        <v>70.02</v>
      </c>
      <c r="Z101" s="4">
        <v>9.0399999999999991</v>
      </c>
      <c r="AA101" s="4">
        <v>-0.89</v>
      </c>
      <c r="AB101" s="4">
        <v>9.59</v>
      </c>
      <c r="AC101" s="4">
        <v>-92.53</v>
      </c>
      <c r="AD101" s="4">
        <v>980</v>
      </c>
      <c r="AE101" s="4">
        <v>8765</v>
      </c>
      <c r="AF101" s="4">
        <v>108.62</v>
      </c>
      <c r="AG101" s="4">
        <v>0.88</v>
      </c>
      <c r="AH101" s="4">
        <v>-150.32</v>
      </c>
      <c r="AI101" s="4">
        <v>71.91</v>
      </c>
      <c r="AJ101" s="4">
        <v>60</v>
      </c>
      <c r="AK101" s="4">
        <v>9</v>
      </c>
      <c r="AL101" s="4">
        <v>9</v>
      </c>
      <c r="AM101" s="4">
        <v>0.63</v>
      </c>
      <c r="AN101" s="4">
        <v>588</v>
      </c>
      <c r="AO101" s="4">
        <v>593.66999999999996</v>
      </c>
      <c r="AP101" s="4">
        <v>852213.9</v>
      </c>
      <c r="AQ101" s="4">
        <v>190517.28</v>
      </c>
      <c r="AR101" s="4" t="s">
        <v>465</v>
      </c>
      <c r="AS101" s="5">
        <f t="shared" si="0"/>
        <v>37.768071917808221</v>
      </c>
    </row>
    <row r="102" spans="1:45" ht="14.25" customHeight="1" x14ac:dyDescent="0.55000000000000004">
      <c r="A102" s="4">
        <v>0</v>
      </c>
      <c r="B102" s="4">
        <v>8.1</v>
      </c>
      <c r="C102" s="4">
        <v>654.20000000000005</v>
      </c>
      <c r="D102" s="4">
        <v>7.8</v>
      </c>
      <c r="E102" s="4" t="s">
        <v>2825</v>
      </c>
      <c r="F102" s="4" t="s">
        <v>2826</v>
      </c>
      <c r="G102" s="4" t="s">
        <v>2333</v>
      </c>
      <c r="H102" s="4" t="s">
        <v>2827</v>
      </c>
      <c r="I102" s="4">
        <v>0</v>
      </c>
      <c r="J102" s="4">
        <v>1980.45</v>
      </c>
      <c r="K102" s="4">
        <f t="shared" si="4"/>
        <v>71.740000000000009</v>
      </c>
      <c r="L102" s="4">
        <f t="shared" si="5"/>
        <v>50.23</v>
      </c>
      <c r="M102" s="4">
        <f t="shared" si="6"/>
        <v>21.510000000000012</v>
      </c>
      <c r="N102" s="4">
        <v>7.28</v>
      </c>
      <c r="O102" s="4">
        <v>0</v>
      </c>
      <c r="P102" s="4">
        <v>97</v>
      </c>
      <c r="Q102" s="4">
        <v>17.3</v>
      </c>
      <c r="R102" s="4">
        <v>8.1</v>
      </c>
      <c r="S102" s="4">
        <v>16.940000000000001</v>
      </c>
      <c r="T102" s="4">
        <v>-16.940000000000001</v>
      </c>
      <c r="U102" s="4">
        <v>0.33</v>
      </c>
      <c r="V102" s="4">
        <v>418.69</v>
      </c>
      <c r="W102" s="4">
        <v>109.56</v>
      </c>
      <c r="X102" s="4">
        <v>70.67</v>
      </c>
      <c r="Y102" s="4">
        <v>85.16</v>
      </c>
      <c r="Z102" s="4">
        <v>9.2799999999999994</v>
      </c>
      <c r="AA102" s="4">
        <v>-0.76</v>
      </c>
      <c r="AB102" s="4">
        <v>9.32</v>
      </c>
      <c r="AC102" s="4">
        <v>-91.67</v>
      </c>
      <c r="AD102" s="4">
        <v>980</v>
      </c>
      <c r="AE102" s="4">
        <v>8765</v>
      </c>
      <c r="AF102" s="4">
        <v>108.62</v>
      </c>
      <c r="AG102" s="4">
        <v>0.88</v>
      </c>
      <c r="AH102" s="4">
        <v>-162.21</v>
      </c>
      <c r="AI102" s="4">
        <v>87.89</v>
      </c>
      <c r="AJ102" s="4">
        <v>60</v>
      </c>
      <c r="AK102" s="4">
        <v>9</v>
      </c>
      <c r="AL102" s="4">
        <v>9</v>
      </c>
      <c r="AM102" s="4">
        <v>0.52</v>
      </c>
      <c r="AN102" s="4">
        <v>588</v>
      </c>
      <c r="AO102" s="4">
        <v>592.64</v>
      </c>
      <c r="AP102" s="4">
        <v>701570.75</v>
      </c>
      <c r="AQ102" s="4">
        <v>251909.9</v>
      </c>
      <c r="AR102" s="4" t="s">
        <v>469</v>
      </c>
      <c r="AS102" s="5">
        <f t="shared" si="0"/>
        <v>25.665573630136986</v>
      </c>
    </row>
    <row r="103" spans="1:45" ht="14.25" customHeight="1" x14ac:dyDescent="0.55000000000000004">
      <c r="A103" s="4">
        <v>0</v>
      </c>
      <c r="B103" s="4">
        <v>8.1</v>
      </c>
      <c r="C103" s="4">
        <v>497.34</v>
      </c>
      <c r="D103" s="4">
        <v>7.8</v>
      </c>
      <c r="E103" s="4" t="s">
        <v>2828</v>
      </c>
      <c r="F103" s="4" t="s">
        <v>2806</v>
      </c>
      <c r="G103" s="4" t="s">
        <v>2333</v>
      </c>
      <c r="H103" s="4" t="s">
        <v>2829</v>
      </c>
      <c r="I103" s="4">
        <v>0</v>
      </c>
      <c r="J103" s="4">
        <v>1740.75</v>
      </c>
      <c r="K103" s="4">
        <f t="shared" si="4"/>
        <v>94.95</v>
      </c>
      <c r="L103" s="4">
        <f t="shared" si="5"/>
        <v>51</v>
      </c>
      <c r="M103" s="4">
        <f t="shared" si="6"/>
        <v>43.95</v>
      </c>
      <c r="N103" s="4">
        <v>7.18</v>
      </c>
      <c r="O103" s="4">
        <v>0</v>
      </c>
      <c r="P103" s="4">
        <v>78</v>
      </c>
      <c r="Q103" s="4">
        <v>22</v>
      </c>
      <c r="R103" s="4">
        <v>8.1</v>
      </c>
      <c r="S103" s="4">
        <v>19.190000000000001</v>
      </c>
      <c r="T103" s="4">
        <v>-19.190000000000001</v>
      </c>
      <c r="U103" s="4">
        <v>0.28999999999999998</v>
      </c>
      <c r="V103" s="4">
        <v>318.3</v>
      </c>
      <c r="W103" s="4">
        <v>83.5</v>
      </c>
      <c r="X103" s="4">
        <v>55.02</v>
      </c>
      <c r="Y103" s="4">
        <v>64.67</v>
      </c>
      <c r="Z103" s="4">
        <v>11.17</v>
      </c>
      <c r="AA103" s="4">
        <v>-0.98</v>
      </c>
      <c r="AB103" s="4">
        <v>9.75</v>
      </c>
      <c r="AC103" s="4">
        <v>-73.040000000000006</v>
      </c>
      <c r="AD103" s="4">
        <v>980</v>
      </c>
      <c r="AE103" s="4">
        <v>8765</v>
      </c>
      <c r="AF103" s="4">
        <v>108.62</v>
      </c>
      <c r="AG103" s="4">
        <v>0.88</v>
      </c>
      <c r="AH103" s="4">
        <v>-152.07</v>
      </c>
      <c r="AI103" s="4">
        <v>79.900000000000006</v>
      </c>
      <c r="AJ103" s="4">
        <v>60</v>
      </c>
      <c r="AK103" s="4">
        <v>9</v>
      </c>
      <c r="AL103" s="4">
        <v>9</v>
      </c>
      <c r="AM103" s="4">
        <v>0.56999999999999995</v>
      </c>
      <c r="AN103" s="4">
        <v>588</v>
      </c>
      <c r="AO103" s="4">
        <v>593.1</v>
      </c>
      <c r="AP103" s="4">
        <v>1174203.7</v>
      </c>
      <c r="AQ103" s="4">
        <v>224283.22</v>
      </c>
      <c r="AR103" s="4" t="s">
        <v>473</v>
      </c>
      <c r="AS103" s="5">
        <f t="shared" si="0"/>
        <v>54.219205479452057</v>
      </c>
    </row>
    <row r="104" spans="1:45" ht="14.25" customHeight="1" x14ac:dyDescent="0.55000000000000004">
      <c r="A104" s="4">
        <v>0</v>
      </c>
      <c r="B104" s="4">
        <v>8.1</v>
      </c>
      <c r="C104" s="4">
        <v>1008.93</v>
      </c>
      <c r="D104" s="4">
        <v>7.8</v>
      </c>
      <c r="E104" s="4" t="s">
        <v>2830</v>
      </c>
      <c r="F104" s="4" t="s">
        <v>2831</v>
      </c>
      <c r="G104" s="4" t="s">
        <v>2333</v>
      </c>
      <c r="H104" s="4" t="s">
        <v>2832</v>
      </c>
      <c r="I104" s="4">
        <v>0</v>
      </c>
      <c r="J104" s="4">
        <v>2029.49</v>
      </c>
      <c r="K104" s="4">
        <f t="shared" si="4"/>
        <v>57.84</v>
      </c>
      <c r="L104" s="4">
        <f t="shared" si="5"/>
        <v>47.81</v>
      </c>
      <c r="M104" s="4">
        <f t="shared" si="6"/>
        <v>10.030000000000001</v>
      </c>
      <c r="N104" s="4">
        <v>7.22</v>
      </c>
      <c r="O104" s="4">
        <v>0</v>
      </c>
      <c r="P104" s="4">
        <v>98</v>
      </c>
      <c r="Q104" s="4">
        <v>17</v>
      </c>
      <c r="R104" s="4">
        <v>8.1</v>
      </c>
      <c r="S104" s="4">
        <v>16.75</v>
      </c>
      <c r="T104" s="4">
        <v>-16.75</v>
      </c>
      <c r="U104" s="4">
        <v>0.5</v>
      </c>
      <c r="V104" s="4">
        <v>645.71</v>
      </c>
      <c r="W104" s="4">
        <v>167.25</v>
      </c>
      <c r="X104" s="4">
        <v>101.47</v>
      </c>
      <c r="Y104" s="4">
        <v>131.47999999999999</v>
      </c>
      <c r="Z104" s="4">
        <v>10.89</v>
      </c>
      <c r="AA104" s="4">
        <v>-0.44</v>
      </c>
      <c r="AB104" s="4">
        <v>8.68</v>
      </c>
      <c r="AC104" s="4">
        <v>-93.61</v>
      </c>
      <c r="AD104" s="4">
        <v>980</v>
      </c>
      <c r="AE104" s="4">
        <v>8765</v>
      </c>
      <c r="AF104" s="4">
        <v>108.62</v>
      </c>
      <c r="AG104" s="4">
        <v>0.88</v>
      </c>
      <c r="AH104" s="4">
        <v>-216.01</v>
      </c>
      <c r="AI104" s="4">
        <v>127.83</v>
      </c>
      <c r="AJ104" s="4">
        <v>60</v>
      </c>
      <c r="AK104" s="4">
        <v>9</v>
      </c>
      <c r="AL104" s="4">
        <v>9</v>
      </c>
      <c r="AM104" s="4">
        <v>0.35</v>
      </c>
      <c r="AN104" s="4">
        <v>588</v>
      </c>
      <c r="AO104" s="4">
        <v>591.19000000000005</v>
      </c>
      <c r="AP104" s="4">
        <v>548172.39</v>
      </c>
      <c r="AQ104" s="4">
        <v>338243.28</v>
      </c>
      <c r="AR104" s="4" t="s">
        <v>478</v>
      </c>
      <c r="AS104" s="5">
        <f t="shared" si="0"/>
        <v>11.9822551369863</v>
      </c>
    </row>
    <row r="105" spans="1:45" ht="14.25" customHeight="1" x14ac:dyDescent="0.55000000000000004">
      <c r="A105" s="4">
        <v>0</v>
      </c>
      <c r="B105" s="4">
        <v>8.1</v>
      </c>
      <c r="C105" s="4">
        <v>497.42</v>
      </c>
      <c r="D105" s="4">
        <v>7.8</v>
      </c>
      <c r="E105" s="4" t="s">
        <v>2833</v>
      </c>
      <c r="F105" s="4" t="s">
        <v>2834</v>
      </c>
      <c r="G105" s="4" t="s">
        <v>2333</v>
      </c>
      <c r="H105" s="4" t="s">
        <v>2835</v>
      </c>
      <c r="I105" s="4">
        <v>0</v>
      </c>
      <c r="J105" s="4">
        <v>1731.48</v>
      </c>
      <c r="K105" s="4">
        <f t="shared" si="4"/>
        <v>94.93</v>
      </c>
      <c r="L105" s="4">
        <f t="shared" si="5"/>
        <v>51</v>
      </c>
      <c r="M105" s="4">
        <f t="shared" si="6"/>
        <v>43.930000000000007</v>
      </c>
      <c r="N105" s="4">
        <v>7.17</v>
      </c>
      <c r="O105" s="4">
        <v>0</v>
      </c>
      <c r="P105" s="4">
        <v>85</v>
      </c>
      <c r="Q105" s="4">
        <v>20.8</v>
      </c>
      <c r="R105" s="4">
        <v>8.1</v>
      </c>
      <c r="S105" s="4">
        <v>18.93</v>
      </c>
      <c r="T105" s="4">
        <v>-18.93</v>
      </c>
      <c r="U105" s="4">
        <v>0.28999999999999998</v>
      </c>
      <c r="V105" s="4">
        <v>318.35000000000002</v>
      </c>
      <c r="W105" s="4">
        <v>83.45</v>
      </c>
      <c r="X105" s="4">
        <v>54.8</v>
      </c>
      <c r="Y105" s="4">
        <v>64.680000000000007</v>
      </c>
      <c r="Z105" s="4">
        <v>11.17</v>
      </c>
      <c r="AA105" s="4">
        <v>-0.98</v>
      </c>
      <c r="AB105" s="4">
        <v>9.76</v>
      </c>
      <c r="AC105" s="4">
        <v>-74.8</v>
      </c>
      <c r="AD105" s="4">
        <v>980</v>
      </c>
      <c r="AE105" s="4">
        <v>8765</v>
      </c>
      <c r="AF105" s="4">
        <v>108.62</v>
      </c>
      <c r="AG105" s="4">
        <v>0.88</v>
      </c>
      <c r="AH105" s="4">
        <v>-152.41</v>
      </c>
      <c r="AI105" s="4">
        <v>79.900000000000006</v>
      </c>
      <c r="AJ105" s="4">
        <v>60</v>
      </c>
      <c r="AK105" s="4">
        <v>9</v>
      </c>
      <c r="AL105" s="4">
        <v>9</v>
      </c>
      <c r="AM105" s="4">
        <v>0.56999999999999995</v>
      </c>
      <c r="AN105" s="4">
        <v>588</v>
      </c>
      <c r="AO105" s="4">
        <v>593.1</v>
      </c>
      <c r="AP105" s="4">
        <v>1185342.1399999999</v>
      </c>
      <c r="AQ105" s="4">
        <v>224283.22</v>
      </c>
      <c r="AR105" s="4" t="s">
        <v>483</v>
      </c>
      <c r="AS105" s="5">
        <f t="shared" si="0"/>
        <v>54.854961187214606</v>
      </c>
    </row>
    <row r="106" spans="1:45" ht="14.25" customHeight="1" x14ac:dyDescent="0.55000000000000004">
      <c r="A106" s="4">
        <v>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f t="shared" si="4"/>
        <v>0</v>
      </c>
      <c r="L106" s="4">
        <f t="shared" si="5"/>
        <v>0</v>
      </c>
      <c r="M106" s="4">
        <f t="shared" si="6"/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5">
        <f t="shared" si="0"/>
        <v>0</v>
      </c>
    </row>
    <row r="107" spans="1:45" ht="14.25" customHeight="1" x14ac:dyDescent="0.55000000000000004">
      <c r="A107" s="4">
        <v>0</v>
      </c>
      <c r="B107" s="4">
        <v>8.1</v>
      </c>
      <c r="C107" s="4">
        <v>511.43</v>
      </c>
      <c r="D107" s="4">
        <v>7.8</v>
      </c>
      <c r="E107" s="4" t="s">
        <v>2836</v>
      </c>
      <c r="F107" s="4" t="s">
        <v>2745</v>
      </c>
      <c r="G107" s="4" t="s">
        <v>2333</v>
      </c>
      <c r="H107" s="4" t="s">
        <v>2837</v>
      </c>
      <c r="I107" s="4">
        <v>0</v>
      </c>
      <c r="J107" s="4">
        <v>1831.3</v>
      </c>
      <c r="K107" s="4">
        <f t="shared" si="4"/>
        <v>91.11</v>
      </c>
      <c r="L107" s="4">
        <f t="shared" si="5"/>
        <v>51.95</v>
      </c>
      <c r="M107" s="4">
        <f t="shared" si="6"/>
        <v>39.159999999999997</v>
      </c>
      <c r="N107" s="4">
        <v>7.25</v>
      </c>
      <c r="O107" s="4">
        <v>0</v>
      </c>
      <c r="P107" s="4">
        <v>85</v>
      </c>
      <c r="Q107" s="4">
        <v>20.399999999999999</v>
      </c>
      <c r="R107" s="4">
        <v>8.1</v>
      </c>
      <c r="S107" s="4">
        <v>18.54</v>
      </c>
      <c r="T107" s="4">
        <v>-18.54</v>
      </c>
      <c r="U107" s="4">
        <v>0.28000000000000003</v>
      </c>
      <c r="V107" s="4">
        <v>327.32</v>
      </c>
      <c r="W107" s="4">
        <v>86.15</v>
      </c>
      <c r="X107" s="4">
        <v>57.64</v>
      </c>
      <c r="Y107" s="4">
        <v>66.510000000000005</v>
      </c>
      <c r="Z107" s="4">
        <v>9.65</v>
      </c>
      <c r="AA107" s="4">
        <v>-0.94</v>
      </c>
      <c r="AB107" s="4">
        <v>9.69</v>
      </c>
      <c r="AC107" s="4">
        <v>-77.59</v>
      </c>
      <c r="AD107" s="4">
        <v>980</v>
      </c>
      <c r="AE107" s="4">
        <v>8765</v>
      </c>
      <c r="AF107" s="4">
        <v>108.62</v>
      </c>
      <c r="AG107" s="4">
        <v>0.88</v>
      </c>
      <c r="AH107" s="4">
        <v>-150.72</v>
      </c>
      <c r="AI107" s="4">
        <v>71.91</v>
      </c>
      <c r="AJ107" s="4">
        <v>60</v>
      </c>
      <c r="AK107" s="4">
        <v>9</v>
      </c>
      <c r="AL107" s="4">
        <v>9</v>
      </c>
      <c r="AM107" s="4">
        <v>0.63</v>
      </c>
      <c r="AN107" s="4">
        <v>588</v>
      </c>
      <c r="AO107" s="4">
        <v>593.66999999999996</v>
      </c>
      <c r="AP107" s="4">
        <v>1029279.74</v>
      </c>
      <c r="AQ107" s="4">
        <v>190517.28</v>
      </c>
      <c r="AR107" s="4" t="s">
        <v>493</v>
      </c>
      <c r="AS107" s="5">
        <f t="shared" si="0"/>
        <v>47.874569634703192</v>
      </c>
    </row>
    <row r="108" spans="1:45" ht="14.25" customHeight="1" x14ac:dyDescent="0.55000000000000004">
      <c r="A108" s="4">
        <v>0</v>
      </c>
      <c r="B108" s="4">
        <v>8.1</v>
      </c>
      <c r="C108" s="4">
        <v>516.30999999999995</v>
      </c>
      <c r="D108" s="4">
        <v>7.8</v>
      </c>
      <c r="E108" s="4" t="s">
        <v>2838</v>
      </c>
      <c r="F108" s="4" t="s">
        <v>2745</v>
      </c>
      <c r="G108" s="4" t="s">
        <v>2333</v>
      </c>
      <c r="H108" s="4" t="s">
        <v>2839</v>
      </c>
      <c r="I108" s="4">
        <v>0</v>
      </c>
      <c r="J108" s="4">
        <v>1833.48</v>
      </c>
      <c r="K108" s="4">
        <f t="shared" si="4"/>
        <v>89.94</v>
      </c>
      <c r="L108" s="4">
        <f t="shared" si="5"/>
        <v>51.95</v>
      </c>
      <c r="M108" s="4">
        <f t="shared" si="6"/>
        <v>37.989999999999995</v>
      </c>
      <c r="N108" s="4">
        <v>7.24</v>
      </c>
      <c r="O108" s="4">
        <v>0</v>
      </c>
      <c r="P108" s="4">
        <v>76</v>
      </c>
      <c r="Q108" s="4">
        <v>21.8</v>
      </c>
      <c r="R108" s="4">
        <v>8.1</v>
      </c>
      <c r="S108" s="4">
        <v>18.739999999999998</v>
      </c>
      <c r="T108" s="4">
        <v>-18.739999999999998</v>
      </c>
      <c r="U108" s="4">
        <v>0.28000000000000003</v>
      </c>
      <c r="V108" s="4">
        <v>330.44</v>
      </c>
      <c r="W108" s="4">
        <v>86.91</v>
      </c>
      <c r="X108" s="4">
        <v>57.92</v>
      </c>
      <c r="Y108" s="4">
        <v>67.150000000000006</v>
      </c>
      <c r="Z108" s="4">
        <v>9.52</v>
      </c>
      <c r="AA108" s="4">
        <v>-0.94</v>
      </c>
      <c r="AB108" s="4">
        <v>9.68</v>
      </c>
      <c r="AC108" s="4">
        <v>-76.13</v>
      </c>
      <c r="AD108" s="4">
        <v>980</v>
      </c>
      <c r="AE108" s="4">
        <v>8765</v>
      </c>
      <c r="AF108" s="4">
        <v>108.62</v>
      </c>
      <c r="AG108" s="4">
        <v>0.88</v>
      </c>
      <c r="AH108" s="4">
        <v>-151.19999999999999</v>
      </c>
      <c r="AI108" s="4">
        <v>71.91</v>
      </c>
      <c r="AJ108" s="4">
        <v>60</v>
      </c>
      <c r="AK108" s="4">
        <v>9</v>
      </c>
      <c r="AL108" s="4">
        <v>9</v>
      </c>
      <c r="AM108" s="4">
        <v>0.63</v>
      </c>
      <c r="AN108" s="4">
        <v>588</v>
      </c>
      <c r="AO108" s="4">
        <v>593.66999999999996</v>
      </c>
      <c r="AP108" s="4">
        <v>1016340.7</v>
      </c>
      <c r="AQ108" s="4">
        <v>190517.28</v>
      </c>
      <c r="AR108" s="4" t="s">
        <v>497</v>
      </c>
      <c r="AS108" s="5">
        <f t="shared" si="0"/>
        <v>47.136039954337896</v>
      </c>
    </row>
    <row r="109" spans="1:45" ht="14.25" customHeight="1" x14ac:dyDescent="0.55000000000000004">
      <c r="A109" s="4">
        <v>0</v>
      </c>
      <c r="B109" s="4">
        <v>8.1</v>
      </c>
      <c r="C109" s="4">
        <v>2913.32</v>
      </c>
      <c r="D109" s="4">
        <v>7.8</v>
      </c>
      <c r="E109" s="4" t="s">
        <v>2840</v>
      </c>
      <c r="F109" s="4" t="s">
        <v>2811</v>
      </c>
      <c r="G109" s="4" t="s">
        <v>2333</v>
      </c>
      <c r="H109" s="4" t="s">
        <v>2841</v>
      </c>
      <c r="I109" s="4">
        <v>0</v>
      </c>
      <c r="J109" s="4">
        <v>2089.61</v>
      </c>
      <c r="K109" s="4">
        <f t="shared" si="4"/>
        <v>46.92</v>
      </c>
      <c r="L109" s="4">
        <f t="shared" si="5"/>
        <v>51.95</v>
      </c>
      <c r="M109" s="4">
        <f t="shared" si="6"/>
        <v>-5.0300000000000011</v>
      </c>
      <c r="N109" s="4">
        <v>7.18</v>
      </c>
      <c r="O109" s="4">
        <v>0</v>
      </c>
      <c r="P109" s="4">
        <v>89</v>
      </c>
      <c r="Q109" s="4">
        <v>18.899999999999999</v>
      </c>
      <c r="R109" s="4">
        <v>8.1</v>
      </c>
      <c r="S109" s="4">
        <v>17.559999999999999</v>
      </c>
      <c r="T109" s="4">
        <v>-17.559999999999999</v>
      </c>
      <c r="U109" s="4">
        <v>1.39</v>
      </c>
      <c r="V109" s="4">
        <v>1864.52</v>
      </c>
      <c r="W109" s="4">
        <v>478.85</v>
      </c>
      <c r="X109" s="4">
        <v>275.02999999999997</v>
      </c>
      <c r="Y109" s="4">
        <v>380</v>
      </c>
      <c r="Z109" s="4">
        <v>4.97</v>
      </c>
      <c r="AA109" s="4">
        <v>0.4</v>
      </c>
      <c r="AB109" s="4">
        <v>6.99</v>
      </c>
      <c r="AC109" s="4">
        <v>-85.58</v>
      </c>
      <c r="AD109" s="4">
        <v>980</v>
      </c>
      <c r="AE109" s="4">
        <v>8765</v>
      </c>
      <c r="AF109" s="4">
        <v>108.62</v>
      </c>
      <c r="AG109" s="4">
        <v>0.88</v>
      </c>
      <c r="AH109" s="4">
        <v>275.56</v>
      </c>
      <c r="AI109" s="4">
        <v>71.91</v>
      </c>
      <c r="AJ109" s="4">
        <v>60</v>
      </c>
      <c r="AK109" s="4">
        <v>9</v>
      </c>
      <c r="AL109" s="4">
        <v>9</v>
      </c>
      <c r="AM109" s="4">
        <v>0.63</v>
      </c>
      <c r="AN109" s="4">
        <v>588</v>
      </c>
      <c r="AO109" s="4">
        <v>593.66999999999996</v>
      </c>
      <c r="AP109" s="4">
        <v>416274.55</v>
      </c>
      <c r="AQ109" s="4">
        <v>190517.28</v>
      </c>
      <c r="AR109" s="4" t="s">
        <v>502</v>
      </c>
      <c r="AS109" s="5">
        <f t="shared" si="0"/>
        <v>12.885688926940638</v>
      </c>
    </row>
    <row r="110" spans="1:45" ht="14.25" customHeight="1" x14ac:dyDescent="0.55000000000000004">
      <c r="A110" s="4">
        <v>0</v>
      </c>
      <c r="B110" s="4">
        <v>8.1</v>
      </c>
      <c r="C110" s="4">
        <v>608.04999999999995</v>
      </c>
      <c r="D110" s="4">
        <v>7.8</v>
      </c>
      <c r="E110" s="4" t="s">
        <v>2842</v>
      </c>
      <c r="F110" s="4" t="s">
        <v>2843</v>
      </c>
      <c r="G110" s="4" t="s">
        <v>2333</v>
      </c>
      <c r="H110" s="4" t="s">
        <v>2844</v>
      </c>
      <c r="I110" s="4">
        <v>0</v>
      </c>
      <c r="J110" s="4">
        <v>2020.42</v>
      </c>
      <c r="K110" s="4">
        <f t="shared" si="4"/>
        <v>75.86</v>
      </c>
      <c r="L110" s="4">
        <f t="shared" si="5"/>
        <v>51.95</v>
      </c>
      <c r="M110" s="4">
        <f t="shared" si="6"/>
        <v>23.909999999999997</v>
      </c>
      <c r="N110" s="4">
        <v>7.35</v>
      </c>
      <c r="O110" s="4">
        <v>0</v>
      </c>
      <c r="P110" s="4">
        <v>71</v>
      </c>
      <c r="Q110" s="4">
        <v>22.2</v>
      </c>
      <c r="R110" s="4">
        <v>8.1</v>
      </c>
      <c r="S110" s="4">
        <v>18.46</v>
      </c>
      <c r="T110" s="4">
        <v>-18.46</v>
      </c>
      <c r="U110" s="4">
        <v>0.3</v>
      </c>
      <c r="V110" s="4">
        <v>389.15</v>
      </c>
      <c r="W110" s="4">
        <v>102.44</v>
      </c>
      <c r="X110" s="4">
        <v>68.2</v>
      </c>
      <c r="Y110" s="4">
        <v>79.13</v>
      </c>
      <c r="Z110" s="4">
        <v>8.0299999999999994</v>
      </c>
      <c r="AA110" s="4">
        <v>-0.8</v>
      </c>
      <c r="AB110" s="4">
        <v>9.4</v>
      </c>
      <c r="AC110" s="4">
        <v>-78.17</v>
      </c>
      <c r="AD110" s="4">
        <v>980</v>
      </c>
      <c r="AE110" s="4">
        <v>8765</v>
      </c>
      <c r="AF110" s="4">
        <v>108.62</v>
      </c>
      <c r="AG110" s="4">
        <v>0.88</v>
      </c>
      <c r="AH110" s="4">
        <v>-155.38999999999999</v>
      </c>
      <c r="AI110" s="4">
        <v>71.91</v>
      </c>
      <c r="AJ110" s="4">
        <v>60</v>
      </c>
      <c r="AK110" s="4">
        <v>9</v>
      </c>
      <c r="AL110" s="4">
        <v>9</v>
      </c>
      <c r="AM110" s="4">
        <v>0.63</v>
      </c>
      <c r="AN110" s="4">
        <v>588</v>
      </c>
      <c r="AO110" s="4">
        <v>593.66999999999996</v>
      </c>
      <c r="AP110" s="4">
        <v>690128.84</v>
      </c>
      <c r="AQ110" s="4">
        <v>190517.28</v>
      </c>
      <c r="AR110" s="4" t="s">
        <v>507</v>
      </c>
      <c r="AS110" s="5">
        <f t="shared" si="0"/>
        <v>28.516641552511413</v>
      </c>
    </row>
    <row r="111" spans="1:45" ht="14.25" customHeight="1" x14ac:dyDescent="0.55000000000000004">
      <c r="A111" s="4">
        <v>0</v>
      </c>
      <c r="B111" s="4">
        <v>8.1</v>
      </c>
      <c r="C111" s="4">
        <v>1383.29</v>
      </c>
      <c r="D111" s="4">
        <v>7.8</v>
      </c>
      <c r="E111" s="4" t="s">
        <v>2845</v>
      </c>
      <c r="F111" s="4" t="s">
        <v>2817</v>
      </c>
      <c r="G111" s="4" t="s">
        <v>2333</v>
      </c>
      <c r="H111" s="4" t="s">
        <v>2846</v>
      </c>
      <c r="I111" s="4">
        <v>0</v>
      </c>
      <c r="J111" s="4">
        <v>2050.08</v>
      </c>
      <c r="K111" s="4">
        <f t="shared" si="4"/>
        <v>52.8</v>
      </c>
      <c r="L111" s="4">
        <f t="shared" si="5"/>
        <v>51</v>
      </c>
      <c r="M111" s="4">
        <f t="shared" si="6"/>
        <v>1.7999999999999972</v>
      </c>
      <c r="N111" s="4">
        <v>7.2</v>
      </c>
      <c r="O111" s="4">
        <v>0</v>
      </c>
      <c r="P111" s="4">
        <v>90</v>
      </c>
      <c r="Q111" s="4">
        <v>18.8</v>
      </c>
      <c r="R111" s="4">
        <v>8.1</v>
      </c>
      <c r="S111" s="4">
        <v>17.59</v>
      </c>
      <c r="T111" s="4">
        <v>-17.59</v>
      </c>
      <c r="U111" s="4">
        <v>0.67</v>
      </c>
      <c r="V111" s="4">
        <v>885.31</v>
      </c>
      <c r="W111" s="4">
        <v>228.35</v>
      </c>
      <c r="X111" s="4">
        <v>134.94</v>
      </c>
      <c r="Y111" s="4">
        <v>180.34</v>
      </c>
      <c r="Z111" s="4">
        <v>6.21</v>
      </c>
      <c r="AA111" s="4">
        <v>-0.19</v>
      </c>
      <c r="AB111" s="4">
        <v>8.19</v>
      </c>
      <c r="AC111" s="4">
        <v>-85.37</v>
      </c>
      <c r="AD111" s="4">
        <v>980</v>
      </c>
      <c r="AE111" s="4">
        <v>8765</v>
      </c>
      <c r="AF111" s="4">
        <v>108.62</v>
      </c>
      <c r="AG111" s="4">
        <v>0.88</v>
      </c>
      <c r="AH111" s="4">
        <v>-333.98</v>
      </c>
      <c r="AI111" s="4">
        <v>79.900000000000006</v>
      </c>
      <c r="AJ111" s="4">
        <v>60</v>
      </c>
      <c r="AK111" s="4">
        <v>9</v>
      </c>
      <c r="AL111" s="4">
        <v>9</v>
      </c>
      <c r="AM111" s="4">
        <v>0.56999999999999995</v>
      </c>
      <c r="AN111" s="4">
        <v>588</v>
      </c>
      <c r="AO111" s="4">
        <v>593.1</v>
      </c>
      <c r="AP111" s="4">
        <v>492552.27</v>
      </c>
      <c r="AQ111" s="4">
        <v>224283.22</v>
      </c>
      <c r="AR111" s="4" t="s">
        <v>512</v>
      </c>
      <c r="AS111" s="5">
        <f t="shared" si="0"/>
        <v>15.312160388127857</v>
      </c>
    </row>
    <row r="112" spans="1:45" ht="14.25" customHeight="1" x14ac:dyDescent="0.55000000000000004">
      <c r="A112" s="4">
        <v>0</v>
      </c>
      <c r="B112" s="4">
        <v>8.1</v>
      </c>
      <c r="C112" s="4">
        <v>694.65</v>
      </c>
      <c r="D112" s="4">
        <v>7.8</v>
      </c>
      <c r="E112" s="4" t="s">
        <v>2847</v>
      </c>
      <c r="F112" s="4" t="s">
        <v>2848</v>
      </c>
      <c r="G112" s="4" t="s">
        <v>2333</v>
      </c>
      <c r="H112" s="4" t="s">
        <v>2849</v>
      </c>
      <c r="I112" s="4">
        <v>0</v>
      </c>
      <c r="J112" s="4">
        <v>2000.63</v>
      </c>
      <c r="K112" s="4">
        <f t="shared" si="4"/>
        <v>68.930000000000007</v>
      </c>
      <c r="L112" s="4">
        <f t="shared" si="5"/>
        <v>50.23</v>
      </c>
      <c r="M112" s="4">
        <f t="shared" si="6"/>
        <v>18.70000000000001</v>
      </c>
      <c r="N112" s="4">
        <v>7.28</v>
      </c>
      <c r="O112" s="4">
        <v>0</v>
      </c>
      <c r="P112" s="4">
        <v>85</v>
      </c>
      <c r="Q112" s="4">
        <v>20.100000000000001</v>
      </c>
      <c r="R112" s="4">
        <v>8.1</v>
      </c>
      <c r="S112" s="4">
        <v>18.25</v>
      </c>
      <c r="T112" s="4">
        <v>-18.25</v>
      </c>
      <c r="U112" s="4">
        <v>0.35</v>
      </c>
      <c r="V112" s="4">
        <v>444.58</v>
      </c>
      <c r="W112" s="4">
        <v>116.19</v>
      </c>
      <c r="X112" s="4">
        <v>74.39</v>
      </c>
      <c r="Y112" s="4">
        <v>90.45</v>
      </c>
      <c r="Z112" s="4">
        <v>8.92</v>
      </c>
      <c r="AA112" s="4">
        <v>-0.72</v>
      </c>
      <c r="AB112" s="4">
        <v>9.23</v>
      </c>
      <c r="AC112" s="4">
        <v>-79.819999999999993</v>
      </c>
      <c r="AD112" s="4">
        <v>980</v>
      </c>
      <c r="AE112" s="4">
        <v>8765</v>
      </c>
      <c r="AF112" s="4">
        <v>108.62</v>
      </c>
      <c r="AG112" s="4">
        <v>0.88</v>
      </c>
      <c r="AH112" s="4">
        <v>-166.4</v>
      </c>
      <c r="AI112" s="4">
        <v>87.89</v>
      </c>
      <c r="AJ112" s="4">
        <v>60</v>
      </c>
      <c r="AK112" s="4">
        <v>9</v>
      </c>
      <c r="AL112" s="4">
        <v>9</v>
      </c>
      <c r="AM112" s="4">
        <v>0.52</v>
      </c>
      <c r="AN112" s="4">
        <v>588</v>
      </c>
      <c r="AO112" s="4">
        <v>592.64</v>
      </c>
      <c r="AP112" s="4">
        <v>659169.41</v>
      </c>
      <c r="AQ112" s="4">
        <v>251909.9</v>
      </c>
      <c r="AR112" s="4" t="s">
        <v>517</v>
      </c>
      <c r="AS112" s="5">
        <f t="shared" si="0"/>
        <v>23.24540582191781</v>
      </c>
    </row>
    <row r="113" spans="1:45" ht="14.25" customHeight="1" x14ac:dyDescent="0.55000000000000004">
      <c r="A113" s="4">
        <v>0</v>
      </c>
      <c r="B113" s="4">
        <v>8.1</v>
      </c>
      <c r="C113" s="4">
        <v>497.07</v>
      </c>
      <c r="D113" s="4">
        <v>7.8</v>
      </c>
      <c r="E113" s="4" t="s">
        <v>2850</v>
      </c>
      <c r="F113" s="4" t="s">
        <v>2806</v>
      </c>
      <c r="G113" s="4" t="s">
        <v>2333</v>
      </c>
      <c r="H113" s="4" t="s">
        <v>2851</v>
      </c>
      <c r="I113" s="4">
        <v>0</v>
      </c>
      <c r="J113" s="4">
        <v>1740.65</v>
      </c>
      <c r="K113" s="4">
        <f t="shared" si="4"/>
        <v>95.039999999999992</v>
      </c>
      <c r="L113" s="4">
        <f t="shared" si="5"/>
        <v>51</v>
      </c>
      <c r="M113" s="4">
        <f t="shared" si="6"/>
        <v>44.039999999999992</v>
      </c>
      <c r="N113" s="4">
        <v>7.18</v>
      </c>
      <c r="O113" s="4">
        <v>0</v>
      </c>
      <c r="P113" s="4">
        <v>77</v>
      </c>
      <c r="Q113" s="4">
        <v>22.2</v>
      </c>
      <c r="R113" s="4">
        <v>8.1</v>
      </c>
      <c r="S113" s="4">
        <v>19.25</v>
      </c>
      <c r="T113" s="4">
        <v>-19.25</v>
      </c>
      <c r="U113" s="4">
        <v>0.28999999999999998</v>
      </c>
      <c r="V113" s="4">
        <v>318.13</v>
      </c>
      <c r="W113" s="4">
        <v>83.46</v>
      </c>
      <c r="X113" s="4">
        <v>55</v>
      </c>
      <c r="Y113" s="4">
        <v>64.63</v>
      </c>
      <c r="Z113" s="4">
        <v>11.18</v>
      </c>
      <c r="AA113" s="4">
        <v>-0.98</v>
      </c>
      <c r="AB113" s="4">
        <v>9.75</v>
      </c>
      <c r="AC113" s="4">
        <v>-72.64</v>
      </c>
      <c r="AD113" s="4">
        <v>980</v>
      </c>
      <c r="AE113" s="4">
        <v>8765</v>
      </c>
      <c r="AF113" s="4">
        <v>108.62</v>
      </c>
      <c r="AG113" s="4">
        <v>0.88</v>
      </c>
      <c r="AH113" s="4">
        <v>-152.04</v>
      </c>
      <c r="AI113" s="4">
        <v>79.900000000000006</v>
      </c>
      <c r="AJ113" s="4">
        <v>60</v>
      </c>
      <c r="AK113" s="4">
        <v>9</v>
      </c>
      <c r="AL113" s="4">
        <v>9</v>
      </c>
      <c r="AM113" s="4">
        <v>0.56999999999999995</v>
      </c>
      <c r="AN113" s="4">
        <v>588</v>
      </c>
      <c r="AO113" s="4">
        <v>593.1</v>
      </c>
      <c r="AP113" s="4">
        <v>1175108.01</v>
      </c>
      <c r="AQ113" s="4">
        <v>224283.22</v>
      </c>
      <c r="AR113" s="4" t="s">
        <v>521</v>
      </c>
      <c r="AS113" s="5">
        <f t="shared" si="0"/>
        <v>54.270821347031969</v>
      </c>
    </row>
    <row r="114" spans="1:45" ht="14.25" customHeight="1" x14ac:dyDescent="0.55000000000000004">
      <c r="A114" s="4">
        <v>0</v>
      </c>
      <c r="B114" s="4">
        <v>8.1</v>
      </c>
      <c r="C114" s="4">
        <v>942.01</v>
      </c>
      <c r="D114" s="4">
        <v>7.8</v>
      </c>
      <c r="E114" s="4" t="s">
        <v>2852</v>
      </c>
      <c r="F114" s="4" t="s">
        <v>2843</v>
      </c>
      <c r="G114" s="4" t="s">
        <v>2333</v>
      </c>
      <c r="H114" s="4" t="s">
        <v>2853</v>
      </c>
      <c r="I114" s="4">
        <v>0</v>
      </c>
      <c r="J114" s="4">
        <v>2083.31</v>
      </c>
      <c r="K114" s="4">
        <f t="shared" si="4"/>
        <v>59.32</v>
      </c>
      <c r="L114" s="4">
        <f t="shared" si="5"/>
        <v>51.95</v>
      </c>
      <c r="M114" s="4">
        <f t="shared" si="6"/>
        <v>7.3699999999999974</v>
      </c>
      <c r="N114" s="4">
        <v>7.29</v>
      </c>
      <c r="O114" s="4">
        <v>0</v>
      </c>
      <c r="P114" s="4">
        <v>81</v>
      </c>
      <c r="Q114" s="4">
        <v>21.4</v>
      </c>
      <c r="R114" s="4">
        <v>8.1</v>
      </c>
      <c r="S114" s="4">
        <v>19</v>
      </c>
      <c r="T114" s="4">
        <v>-19</v>
      </c>
      <c r="U114" s="4">
        <v>0.45</v>
      </c>
      <c r="V114" s="4">
        <v>602.89</v>
      </c>
      <c r="W114" s="4">
        <v>156.94999999999999</v>
      </c>
      <c r="X114" s="4">
        <v>98</v>
      </c>
      <c r="Y114" s="4">
        <v>122.73</v>
      </c>
      <c r="Z114" s="4">
        <v>6.28</v>
      </c>
      <c r="AA114" s="4">
        <v>-0.48</v>
      </c>
      <c r="AB114" s="4">
        <v>8.76</v>
      </c>
      <c r="AC114" s="4">
        <v>-74.3</v>
      </c>
      <c r="AD114" s="4">
        <v>980</v>
      </c>
      <c r="AE114" s="4">
        <v>8765</v>
      </c>
      <c r="AF114" s="4">
        <v>108.62</v>
      </c>
      <c r="AG114" s="4">
        <v>0.88</v>
      </c>
      <c r="AH114" s="4">
        <v>-198.28</v>
      </c>
      <c r="AI114" s="4">
        <v>71.91</v>
      </c>
      <c r="AJ114" s="4">
        <v>60</v>
      </c>
      <c r="AK114" s="4">
        <v>9</v>
      </c>
      <c r="AL114" s="4">
        <v>9</v>
      </c>
      <c r="AM114" s="4">
        <v>0.63</v>
      </c>
      <c r="AN114" s="4">
        <v>588</v>
      </c>
      <c r="AO114" s="4">
        <v>593.66999999999996</v>
      </c>
      <c r="AP114" s="4">
        <v>507609.87</v>
      </c>
      <c r="AQ114" s="4">
        <v>190517.28</v>
      </c>
      <c r="AR114" s="4" t="s">
        <v>526</v>
      </c>
      <c r="AS114" s="5">
        <f t="shared" si="0"/>
        <v>18.098892123287669</v>
      </c>
    </row>
    <row r="115" spans="1:45" ht="14.25" customHeight="1" x14ac:dyDescent="0.55000000000000004">
      <c r="A115" s="4">
        <v>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f t="shared" si="4"/>
        <v>0</v>
      </c>
      <c r="L115" s="4">
        <f t="shared" si="5"/>
        <v>0</v>
      </c>
      <c r="M115" s="4">
        <f t="shared" si="6"/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5">
        <f t="shared" si="0"/>
        <v>0</v>
      </c>
    </row>
    <row r="116" spans="1:45" ht="14.25" customHeight="1" x14ac:dyDescent="0.55000000000000004">
      <c r="A116" s="4">
        <v>0</v>
      </c>
      <c r="B116" s="4">
        <v>8.1</v>
      </c>
      <c r="C116" s="4">
        <v>2431.0100000000002</v>
      </c>
      <c r="D116" s="4">
        <v>7.8</v>
      </c>
      <c r="E116" s="4" t="s">
        <v>2854</v>
      </c>
      <c r="F116" s="4" t="s">
        <v>2855</v>
      </c>
      <c r="G116" s="4" t="s">
        <v>2333</v>
      </c>
      <c r="H116" s="4" t="s">
        <v>2856</v>
      </c>
      <c r="I116" s="4">
        <v>0</v>
      </c>
      <c r="J116" s="4">
        <v>2084.98</v>
      </c>
      <c r="K116" s="4">
        <f t="shared" si="4"/>
        <v>47.89</v>
      </c>
      <c r="L116" s="4">
        <f t="shared" si="5"/>
        <v>49.04</v>
      </c>
      <c r="M116" s="4">
        <f t="shared" si="6"/>
        <v>-1.1499999999999986</v>
      </c>
      <c r="N116" s="4">
        <v>7.18</v>
      </c>
      <c r="O116" s="4">
        <v>0</v>
      </c>
      <c r="P116" s="4">
        <v>95</v>
      </c>
      <c r="Q116" s="4">
        <v>18.899999999999999</v>
      </c>
      <c r="R116" s="4">
        <v>8.1</v>
      </c>
      <c r="S116" s="4">
        <v>18.29</v>
      </c>
      <c r="T116" s="4">
        <v>-18.29</v>
      </c>
      <c r="U116" s="4">
        <v>1.17</v>
      </c>
      <c r="V116" s="4">
        <v>1555.85</v>
      </c>
      <c r="W116" s="4">
        <v>399.93</v>
      </c>
      <c r="X116" s="4">
        <v>231.04</v>
      </c>
      <c r="Y116" s="4">
        <v>317.07</v>
      </c>
      <c r="Z116" s="4">
        <v>7.32</v>
      </c>
      <c r="AA116" s="4">
        <v>0.26</v>
      </c>
      <c r="AB116" s="4">
        <v>7.28</v>
      </c>
      <c r="AC116" s="4">
        <v>-79.459999999999994</v>
      </c>
      <c r="AD116" s="4">
        <v>980</v>
      </c>
      <c r="AE116" s="4">
        <v>8765</v>
      </c>
      <c r="AF116" s="4">
        <v>108.62</v>
      </c>
      <c r="AG116" s="4">
        <v>0.88</v>
      </c>
      <c r="AH116" s="4">
        <v>654.5</v>
      </c>
      <c r="AI116" s="4">
        <v>103.87</v>
      </c>
      <c r="AJ116" s="4">
        <v>60</v>
      </c>
      <c r="AK116" s="4">
        <v>9</v>
      </c>
      <c r="AL116" s="4">
        <v>9</v>
      </c>
      <c r="AM116" s="4">
        <v>0.44</v>
      </c>
      <c r="AN116" s="4">
        <v>588</v>
      </c>
      <c r="AO116" s="4">
        <v>591.91999999999996</v>
      </c>
      <c r="AP116" s="4">
        <v>426956.19</v>
      </c>
      <c r="AQ116" s="4">
        <v>294412.49</v>
      </c>
      <c r="AR116" s="4" t="s">
        <v>530</v>
      </c>
      <c r="AS116" s="5">
        <f t="shared" si="0"/>
        <v>7.5652796803652977</v>
      </c>
    </row>
    <row r="117" spans="1:45" ht="14.25" customHeight="1" x14ac:dyDescent="0.55000000000000004">
      <c r="A117" s="4">
        <v>0</v>
      </c>
      <c r="B117" s="4">
        <v>8.1</v>
      </c>
      <c r="C117" s="4">
        <v>730.08</v>
      </c>
      <c r="D117" s="4">
        <v>7.8</v>
      </c>
      <c r="E117" s="4" t="s">
        <v>2857</v>
      </c>
      <c r="F117" s="4" t="s">
        <v>2826</v>
      </c>
      <c r="G117" s="4" t="s">
        <v>2333</v>
      </c>
      <c r="H117" s="4" t="s">
        <v>2858</v>
      </c>
      <c r="I117" s="4">
        <v>0</v>
      </c>
      <c r="J117" s="4">
        <v>1996.38</v>
      </c>
      <c r="K117" s="4">
        <f t="shared" si="4"/>
        <v>66.900000000000006</v>
      </c>
      <c r="L117" s="4">
        <f t="shared" si="5"/>
        <v>50.23</v>
      </c>
      <c r="M117" s="4">
        <f t="shared" si="6"/>
        <v>16.670000000000009</v>
      </c>
      <c r="N117" s="4">
        <v>7.26</v>
      </c>
      <c r="O117" s="4">
        <v>0</v>
      </c>
      <c r="P117" s="4">
        <v>90</v>
      </c>
      <c r="Q117" s="4">
        <v>19</v>
      </c>
      <c r="R117" s="4">
        <v>8.1</v>
      </c>
      <c r="S117" s="4">
        <v>17.78</v>
      </c>
      <c r="T117" s="4">
        <v>-17.78</v>
      </c>
      <c r="U117" s="4">
        <v>0.37</v>
      </c>
      <c r="V117" s="4">
        <v>467.25</v>
      </c>
      <c r="W117" s="4">
        <v>121.86</v>
      </c>
      <c r="X117" s="4">
        <v>77.069999999999993</v>
      </c>
      <c r="Y117" s="4">
        <v>95.08</v>
      </c>
      <c r="Z117" s="4">
        <v>8.66</v>
      </c>
      <c r="AA117" s="4">
        <v>-0.68</v>
      </c>
      <c r="AB117" s="4">
        <v>9.16</v>
      </c>
      <c r="AC117" s="4">
        <v>-83.64</v>
      </c>
      <c r="AD117" s="4">
        <v>980</v>
      </c>
      <c r="AE117" s="4">
        <v>8765</v>
      </c>
      <c r="AF117" s="4">
        <v>108.62</v>
      </c>
      <c r="AG117" s="4">
        <v>0.88</v>
      </c>
      <c r="AH117" s="4">
        <v>-171.25</v>
      </c>
      <c r="AI117" s="4">
        <v>87.89</v>
      </c>
      <c r="AJ117" s="4">
        <v>60</v>
      </c>
      <c r="AK117" s="4">
        <v>9</v>
      </c>
      <c r="AL117" s="4">
        <v>9</v>
      </c>
      <c r="AM117" s="4">
        <v>0.52</v>
      </c>
      <c r="AN117" s="4">
        <v>588</v>
      </c>
      <c r="AO117" s="4">
        <v>592.64</v>
      </c>
      <c r="AP117" s="4">
        <v>648145.78</v>
      </c>
      <c r="AQ117" s="4">
        <v>251909.9</v>
      </c>
      <c r="AR117" s="4" t="s">
        <v>535</v>
      </c>
      <c r="AS117" s="5">
        <f t="shared" si="0"/>
        <v>22.616203196347033</v>
      </c>
    </row>
    <row r="118" spans="1:45" ht="14.25" customHeight="1" x14ac:dyDescent="0.55000000000000004">
      <c r="A118" s="4">
        <v>0</v>
      </c>
      <c r="B118" s="4">
        <v>8.1</v>
      </c>
      <c r="C118" s="4">
        <v>646.4</v>
      </c>
      <c r="D118" s="4">
        <v>7.8</v>
      </c>
      <c r="E118" s="4" t="s">
        <v>2859</v>
      </c>
      <c r="F118" s="4" t="s">
        <v>2817</v>
      </c>
      <c r="G118" s="4" t="s">
        <v>2333</v>
      </c>
      <c r="H118" s="4" t="s">
        <v>2860</v>
      </c>
      <c r="I118" s="4">
        <v>0</v>
      </c>
      <c r="J118" s="4">
        <v>1978.5</v>
      </c>
      <c r="K118" s="4">
        <f t="shared" si="4"/>
        <v>72.36</v>
      </c>
      <c r="L118" s="4">
        <f t="shared" si="5"/>
        <v>51</v>
      </c>
      <c r="M118" s="4">
        <f t="shared" si="6"/>
        <v>21.36</v>
      </c>
      <c r="N118" s="4">
        <v>7.28</v>
      </c>
      <c r="O118" s="4">
        <v>0</v>
      </c>
      <c r="P118" s="4">
        <v>94</v>
      </c>
      <c r="Q118" s="4">
        <v>18.600000000000001</v>
      </c>
      <c r="R118" s="4">
        <v>8.1</v>
      </c>
      <c r="S118" s="4">
        <v>17.87</v>
      </c>
      <c r="T118" s="4">
        <v>-17.87</v>
      </c>
      <c r="U118" s="4">
        <v>0.33</v>
      </c>
      <c r="V118" s="4">
        <v>413.7</v>
      </c>
      <c r="W118" s="4">
        <v>108.3</v>
      </c>
      <c r="X118" s="4">
        <v>70.02</v>
      </c>
      <c r="Y118" s="4">
        <v>84.15</v>
      </c>
      <c r="Z118" s="4">
        <v>8.51</v>
      </c>
      <c r="AA118" s="4">
        <v>-0.77</v>
      </c>
      <c r="AB118" s="4">
        <v>9.34</v>
      </c>
      <c r="AC118" s="4">
        <v>-82.88</v>
      </c>
      <c r="AD118" s="4">
        <v>980</v>
      </c>
      <c r="AE118" s="4">
        <v>8765</v>
      </c>
      <c r="AF118" s="4">
        <v>108.62</v>
      </c>
      <c r="AG118" s="4">
        <v>0.88</v>
      </c>
      <c r="AH118" s="4">
        <v>-161.33000000000001</v>
      </c>
      <c r="AI118" s="4">
        <v>79.900000000000006</v>
      </c>
      <c r="AJ118" s="4">
        <v>60</v>
      </c>
      <c r="AK118" s="4">
        <v>9</v>
      </c>
      <c r="AL118" s="4">
        <v>9</v>
      </c>
      <c r="AM118" s="4">
        <v>0.56999999999999995</v>
      </c>
      <c r="AN118" s="4">
        <v>588</v>
      </c>
      <c r="AO118" s="4">
        <v>593.1</v>
      </c>
      <c r="AP118" s="4">
        <v>708390.11</v>
      </c>
      <c r="AQ118" s="4">
        <v>224283.22</v>
      </c>
      <c r="AR118" s="4" t="s">
        <v>540</v>
      </c>
      <c r="AS118" s="5">
        <f t="shared" si="0"/>
        <v>27.631671803652967</v>
      </c>
    </row>
    <row r="119" spans="1:45" ht="14.25" customHeight="1" x14ac:dyDescent="0.55000000000000004">
      <c r="A119" s="4">
        <v>0</v>
      </c>
      <c r="B119" s="4">
        <v>8.1</v>
      </c>
      <c r="C119" s="4">
        <v>876.07</v>
      </c>
      <c r="D119" s="4">
        <v>7.8</v>
      </c>
      <c r="E119" s="4" t="s">
        <v>2861</v>
      </c>
      <c r="F119" s="4" t="s">
        <v>2862</v>
      </c>
      <c r="G119" s="4" t="s">
        <v>2333</v>
      </c>
      <c r="H119" s="4" t="s">
        <v>2863</v>
      </c>
      <c r="I119" s="4">
        <v>0</v>
      </c>
      <c r="J119" s="4">
        <v>2005.26</v>
      </c>
      <c r="K119" s="4">
        <f t="shared" si="4"/>
        <v>61.11</v>
      </c>
      <c r="L119" s="4">
        <f t="shared" si="5"/>
        <v>50.23</v>
      </c>
      <c r="M119" s="4">
        <f t="shared" si="6"/>
        <v>10.880000000000003</v>
      </c>
      <c r="N119" s="4">
        <v>7.22</v>
      </c>
      <c r="O119" s="4">
        <v>0</v>
      </c>
      <c r="P119" s="4">
        <v>87</v>
      </c>
      <c r="Q119" s="4">
        <v>19.7</v>
      </c>
      <c r="R119" s="4">
        <v>8.1</v>
      </c>
      <c r="S119" s="4">
        <v>18.100000000000001</v>
      </c>
      <c r="T119" s="4">
        <v>-18.100000000000001</v>
      </c>
      <c r="U119" s="4">
        <v>0.44</v>
      </c>
      <c r="V119" s="4">
        <v>560.67999999999995</v>
      </c>
      <c r="W119" s="4">
        <v>145.47999999999999</v>
      </c>
      <c r="X119" s="4">
        <v>89.28</v>
      </c>
      <c r="Y119" s="4">
        <v>114.14</v>
      </c>
      <c r="Z119" s="4">
        <v>7.91</v>
      </c>
      <c r="AA119" s="4">
        <v>-0.55000000000000004</v>
      </c>
      <c r="AB119" s="4">
        <v>8.9</v>
      </c>
      <c r="AC119" s="4">
        <v>-80.959999999999994</v>
      </c>
      <c r="AD119" s="4">
        <v>980</v>
      </c>
      <c r="AE119" s="4">
        <v>8765</v>
      </c>
      <c r="AF119" s="4">
        <v>108.62</v>
      </c>
      <c r="AG119" s="4">
        <v>0.88</v>
      </c>
      <c r="AH119" s="4">
        <v>-192.9</v>
      </c>
      <c r="AI119" s="4">
        <v>87.89</v>
      </c>
      <c r="AJ119" s="4">
        <v>60</v>
      </c>
      <c r="AK119" s="4">
        <v>9</v>
      </c>
      <c r="AL119" s="4">
        <v>9</v>
      </c>
      <c r="AM119" s="4">
        <v>0.52</v>
      </c>
      <c r="AN119" s="4">
        <v>588</v>
      </c>
      <c r="AO119" s="4">
        <v>592.64</v>
      </c>
      <c r="AP119" s="4">
        <v>595606.98</v>
      </c>
      <c r="AQ119" s="4">
        <v>251909.9</v>
      </c>
      <c r="AR119" s="4" t="s">
        <v>545</v>
      </c>
      <c r="AS119" s="5">
        <f t="shared" si="0"/>
        <v>19.617413242009128</v>
      </c>
    </row>
    <row r="120" spans="1:45" ht="14.25" customHeight="1" x14ac:dyDescent="0.55000000000000004">
      <c r="A120" s="4">
        <v>0</v>
      </c>
      <c r="B120" s="4">
        <v>8.1</v>
      </c>
      <c r="C120" s="4">
        <v>936.64</v>
      </c>
      <c r="D120" s="4">
        <v>7.8</v>
      </c>
      <c r="E120" s="4" t="s">
        <v>2864</v>
      </c>
      <c r="F120" s="4" t="s">
        <v>2865</v>
      </c>
      <c r="G120" s="4" t="s">
        <v>2333</v>
      </c>
      <c r="H120" s="4" t="s">
        <v>2866</v>
      </c>
      <c r="I120" s="4">
        <v>0</v>
      </c>
      <c r="J120" s="4">
        <v>2154.15</v>
      </c>
      <c r="K120" s="4">
        <f t="shared" si="4"/>
        <v>59.46</v>
      </c>
      <c r="L120" s="4">
        <f t="shared" si="5"/>
        <v>50.23</v>
      </c>
      <c r="M120" s="4">
        <f t="shared" si="6"/>
        <v>9.230000000000004</v>
      </c>
      <c r="N120" s="4">
        <v>7.36</v>
      </c>
      <c r="O120" s="4">
        <v>0</v>
      </c>
      <c r="P120" s="4">
        <v>75</v>
      </c>
      <c r="Q120" s="4">
        <v>21.9</v>
      </c>
      <c r="R120" s="4">
        <v>8.1</v>
      </c>
      <c r="S120" s="4">
        <v>18.7</v>
      </c>
      <c r="T120" s="4">
        <v>-18.7</v>
      </c>
      <c r="U120" s="4">
        <v>0.43</v>
      </c>
      <c r="V120" s="4">
        <v>599.45000000000005</v>
      </c>
      <c r="W120" s="4">
        <v>156.75</v>
      </c>
      <c r="X120" s="4">
        <v>100.26</v>
      </c>
      <c r="Y120" s="4">
        <v>122.01</v>
      </c>
      <c r="Z120" s="4">
        <v>7.69</v>
      </c>
      <c r="AA120" s="4">
        <v>-0.47</v>
      </c>
      <c r="AB120" s="4">
        <v>8.74</v>
      </c>
      <c r="AC120" s="4">
        <v>-76.38</v>
      </c>
      <c r="AD120" s="4">
        <v>980</v>
      </c>
      <c r="AE120" s="4">
        <v>8765</v>
      </c>
      <c r="AF120" s="4">
        <v>108.62</v>
      </c>
      <c r="AG120" s="4">
        <v>0.88</v>
      </c>
      <c r="AH120" s="4">
        <v>-192.19</v>
      </c>
      <c r="AI120" s="4">
        <v>87.89</v>
      </c>
      <c r="AJ120" s="4">
        <v>60</v>
      </c>
      <c r="AK120" s="4">
        <v>9</v>
      </c>
      <c r="AL120" s="4">
        <v>9</v>
      </c>
      <c r="AM120" s="4">
        <v>0.52</v>
      </c>
      <c r="AN120" s="4">
        <v>588</v>
      </c>
      <c r="AO120" s="4">
        <v>592.64</v>
      </c>
      <c r="AP120" s="4">
        <v>440739.39</v>
      </c>
      <c r="AQ120" s="4">
        <v>251909.9</v>
      </c>
      <c r="AR120" s="4" t="s">
        <v>549</v>
      </c>
      <c r="AS120" s="5">
        <f t="shared" si="0"/>
        <v>10.77793892694064</v>
      </c>
    </row>
    <row r="121" spans="1:45" ht="14.25" customHeight="1" x14ac:dyDescent="0.55000000000000004">
      <c r="A121" s="4">
        <v>0</v>
      </c>
      <c r="B121" s="4">
        <v>8.1</v>
      </c>
      <c r="C121" s="4">
        <v>500.36</v>
      </c>
      <c r="D121" s="4">
        <v>7.8</v>
      </c>
      <c r="E121" s="4" t="s">
        <v>2867</v>
      </c>
      <c r="F121" s="4" t="s">
        <v>2868</v>
      </c>
      <c r="G121" s="4" t="s">
        <v>2333</v>
      </c>
      <c r="H121" s="4" t="s">
        <v>2869</v>
      </c>
      <c r="I121" s="4">
        <v>0</v>
      </c>
      <c r="J121" s="4">
        <v>1751.2</v>
      </c>
      <c r="K121" s="4">
        <f t="shared" si="4"/>
        <v>94.07</v>
      </c>
      <c r="L121" s="4">
        <f t="shared" si="5"/>
        <v>51</v>
      </c>
      <c r="M121" s="4">
        <f t="shared" si="6"/>
        <v>43.069999999999993</v>
      </c>
      <c r="N121" s="4">
        <v>7.18</v>
      </c>
      <c r="O121" s="4">
        <v>0</v>
      </c>
      <c r="P121" s="4">
        <v>75</v>
      </c>
      <c r="Q121" s="4">
        <v>22.2</v>
      </c>
      <c r="R121" s="4">
        <v>8.1</v>
      </c>
      <c r="S121" s="4">
        <v>18.989999999999998</v>
      </c>
      <c r="T121" s="4">
        <v>-18.989999999999998</v>
      </c>
      <c r="U121" s="4">
        <v>0.28999999999999998</v>
      </c>
      <c r="V121" s="4">
        <v>320.23</v>
      </c>
      <c r="W121" s="4">
        <v>84.01</v>
      </c>
      <c r="X121" s="4">
        <v>55.36</v>
      </c>
      <c r="Y121" s="4">
        <v>65.06</v>
      </c>
      <c r="Z121" s="4">
        <v>11.07</v>
      </c>
      <c r="AA121" s="4">
        <v>-0.97</v>
      </c>
      <c r="AB121" s="4">
        <v>9.74</v>
      </c>
      <c r="AC121" s="4">
        <v>-74.39</v>
      </c>
      <c r="AD121" s="4">
        <v>980</v>
      </c>
      <c r="AE121" s="4">
        <v>8765</v>
      </c>
      <c r="AF121" s="4">
        <v>108.62</v>
      </c>
      <c r="AG121" s="4">
        <v>0.88</v>
      </c>
      <c r="AH121" s="4">
        <v>-152.08000000000001</v>
      </c>
      <c r="AI121" s="4">
        <v>79.900000000000006</v>
      </c>
      <c r="AJ121" s="4">
        <v>60</v>
      </c>
      <c r="AK121" s="4">
        <v>9</v>
      </c>
      <c r="AL121" s="4">
        <v>9</v>
      </c>
      <c r="AM121" s="4">
        <v>0.56999999999999995</v>
      </c>
      <c r="AN121" s="4">
        <v>588</v>
      </c>
      <c r="AO121" s="4">
        <v>593.1</v>
      </c>
      <c r="AP121" s="4">
        <v>1153005.3700000001</v>
      </c>
      <c r="AQ121" s="4">
        <v>224283.22</v>
      </c>
      <c r="AR121" s="4" t="s">
        <v>553</v>
      </c>
      <c r="AS121" s="5">
        <f t="shared" si="0"/>
        <v>53.009255136986312</v>
      </c>
    </row>
    <row r="122" spans="1:45" ht="14.25" customHeight="1" x14ac:dyDescent="0.55000000000000004">
      <c r="A122" s="4">
        <v>0</v>
      </c>
      <c r="B122" s="4">
        <v>8.1</v>
      </c>
      <c r="C122" s="4">
        <v>524.79999999999995</v>
      </c>
      <c r="D122" s="4">
        <v>7.8</v>
      </c>
      <c r="E122" s="4" t="s">
        <v>2870</v>
      </c>
      <c r="F122" s="4" t="s">
        <v>2736</v>
      </c>
      <c r="G122" s="4" t="s">
        <v>2333</v>
      </c>
      <c r="H122" s="4" t="s">
        <v>2871</v>
      </c>
      <c r="I122" s="4">
        <v>0</v>
      </c>
      <c r="J122" s="4">
        <v>1827.34</v>
      </c>
      <c r="K122" s="4">
        <f t="shared" si="4"/>
        <v>88.05</v>
      </c>
      <c r="L122" s="4">
        <f t="shared" si="5"/>
        <v>51.95</v>
      </c>
      <c r="M122" s="4">
        <f t="shared" si="6"/>
        <v>36.099999999999994</v>
      </c>
      <c r="N122" s="4">
        <v>7.23</v>
      </c>
      <c r="O122" s="4">
        <v>0</v>
      </c>
      <c r="P122" s="4">
        <v>77</v>
      </c>
      <c r="Q122" s="4">
        <v>21.8</v>
      </c>
      <c r="R122" s="4">
        <v>8.1</v>
      </c>
      <c r="S122" s="4">
        <v>18.87</v>
      </c>
      <c r="T122" s="4">
        <v>-18.87</v>
      </c>
      <c r="U122" s="4">
        <v>0.28999999999999998</v>
      </c>
      <c r="V122" s="4">
        <v>335.87</v>
      </c>
      <c r="W122" s="4">
        <v>88.18</v>
      </c>
      <c r="X122" s="4">
        <v>58.2</v>
      </c>
      <c r="Y122" s="4">
        <v>68.260000000000005</v>
      </c>
      <c r="Z122" s="4">
        <v>9.32</v>
      </c>
      <c r="AA122" s="4">
        <v>-0.93</v>
      </c>
      <c r="AB122" s="4">
        <v>9.66</v>
      </c>
      <c r="AC122" s="4">
        <v>-75.209999999999994</v>
      </c>
      <c r="AD122" s="4">
        <v>980</v>
      </c>
      <c r="AE122" s="4">
        <v>8765</v>
      </c>
      <c r="AF122" s="4">
        <v>108.62</v>
      </c>
      <c r="AG122" s="4">
        <v>0.88</v>
      </c>
      <c r="AH122" s="4">
        <v>-152.38999999999999</v>
      </c>
      <c r="AI122" s="4">
        <v>71.91</v>
      </c>
      <c r="AJ122" s="4">
        <v>60</v>
      </c>
      <c r="AK122" s="4">
        <v>9</v>
      </c>
      <c r="AL122" s="4">
        <v>9</v>
      </c>
      <c r="AM122" s="4">
        <v>0.63</v>
      </c>
      <c r="AN122" s="4">
        <v>588</v>
      </c>
      <c r="AO122" s="4">
        <v>593.66999999999996</v>
      </c>
      <c r="AP122" s="4">
        <v>1006911.78</v>
      </c>
      <c r="AQ122" s="4">
        <v>190517.28</v>
      </c>
      <c r="AR122" s="4" t="s">
        <v>557</v>
      </c>
      <c r="AS122" s="5">
        <f t="shared" si="0"/>
        <v>46.597859589041093</v>
      </c>
    </row>
    <row r="123" spans="1:45" ht="14.25" customHeight="1" x14ac:dyDescent="0.55000000000000004">
      <c r="A123" s="4">
        <v>0</v>
      </c>
      <c r="B123" s="4">
        <v>8.1</v>
      </c>
      <c r="C123" s="4">
        <v>680.42</v>
      </c>
      <c r="D123" s="4">
        <v>7.8</v>
      </c>
      <c r="E123" s="4" t="s">
        <v>2872</v>
      </c>
      <c r="F123" s="4" t="s">
        <v>2727</v>
      </c>
      <c r="G123" s="4" t="s">
        <v>2333</v>
      </c>
      <c r="H123" s="4" t="s">
        <v>2873</v>
      </c>
      <c r="I123" s="4">
        <v>0</v>
      </c>
      <c r="J123" s="4">
        <v>2096.5100000000002</v>
      </c>
      <c r="K123" s="4">
        <f t="shared" si="4"/>
        <v>69.849999999999994</v>
      </c>
      <c r="L123" s="4">
        <f t="shared" si="5"/>
        <v>51.95</v>
      </c>
      <c r="M123" s="4">
        <f t="shared" si="6"/>
        <v>17.899999999999991</v>
      </c>
      <c r="N123" s="4">
        <v>7.38</v>
      </c>
      <c r="O123" s="4">
        <v>0</v>
      </c>
      <c r="P123" s="4">
        <v>72</v>
      </c>
      <c r="Q123" s="4">
        <v>22.2</v>
      </c>
      <c r="R123" s="4">
        <v>8.1</v>
      </c>
      <c r="S123" s="4">
        <v>18.59</v>
      </c>
      <c r="T123" s="4">
        <v>-18.59</v>
      </c>
      <c r="U123" s="4">
        <v>0.32</v>
      </c>
      <c r="V123" s="4">
        <v>435.47</v>
      </c>
      <c r="W123" s="4">
        <v>114.57</v>
      </c>
      <c r="X123" s="4">
        <v>75.91</v>
      </c>
      <c r="Y123" s="4">
        <v>88.57</v>
      </c>
      <c r="Z123" s="4">
        <v>7.4</v>
      </c>
      <c r="AA123" s="4">
        <v>-0.71</v>
      </c>
      <c r="AB123" s="4">
        <v>9.2200000000000006</v>
      </c>
      <c r="AC123" s="4">
        <v>-77.19</v>
      </c>
      <c r="AD123" s="4">
        <v>980</v>
      </c>
      <c r="AE123" s="4">
        <v>8765</v>
      </c>
      <c r="AF123" s="4">
        <v>108.62</v>
      </c>
      <c r="AG123" s="4">
        <v>0.88</v>
      </c>
      <c r="AH123" s="4">
        <v>-160.82</v>
      </c>
      <c r="AI123" s="4">
        <v>71.91</v>
      </c>
      <c r="AJ123" s="4">
        <v>60</v>
      </c>
      <c r="AK123" s="4">
        <v>9</v>
      </c>
      <c r="AL123" s="4">
        <v>9</v>
      </c>
      <c r="AM123" s="4">
        <v>0.63</v>
      </c>
      <c r="AN123" s="4">
        <v>588</v>
      </c>
      <c r="AO123" s="4">
        <v>593.66999999999996</v>
      </c>
      <c r="AP123" s="4">
        <v>566838.51</v>
      </c>
      <c r="AQ123" s="4">
        <v>190517.28</v>
      </c>
      <c r="AR123" s="4" t="s">
        <v>562</v>
      </c>
      <c r="AS123" s="5">
        <f t="shared" si="0"/>
        <v>21.479522260273971</v>
      </c>
    </row>
    <row r="124" spans="1:45" ht="14.25" customHeight="1" x14ac:dyDescent="0.55000000000000004">
      <c r="A124" s="4">
        <v>0</v>
      </c>
      <c r="B124" s="4">
        <v>8.1</v>
      </c>
      <c r="C124" s="4">
        <v>576.30999999999995</v>
      </c>
      <c r="D124" s="4">
        <v>7.8</v>
      </c>
      <c r="E124" s="4" t="s">
        <v>2874</v>
      </c>
      <c r="F124" s="4" t="s">
        <v>2875</v>
      </c>
      <c r="G124" s="4" t="s">
        <v>2333</v>
      </c>
      <c r="H124" s="4" t="s">
        <v>2876</v>
      </c>
      <c r="I124" s="4">
        <v>0</v>
      </c>
      <c r="J124" s="4">
        <v>1874.84</v>
      </c>
      <c r="K124" s="4">
        <f t="shared" si="4"/>
        <v>79.539999999999992</v>
      </c>
      <c r="L124" s="4">
        <f t="shared" si="5"/>
        <v>51.95</v>
      </c>
      <c r="M124" s="4">
        <f t="shared" si="6"/>
        <v>27.589999999999989</v>
      </c>
      <c r="N124" s="4">
        <v>7.22</v>
      </c>
      <c r="O124" s="4">
        <v>0</v>
      </c>
      <c r="P124" s="4">
        <v>87</v>
      </c>
      <c r="Q124" s="4">
        <v>20</v>
      </c>
      <c r="R124" s="4">
        <v>8.1</v>
      </c>
      <c r="S124" s="4">
        <v>18.399999999999999</v>
      </c>
      <c r="T124" s="4">
        <v>-18.399999999999999</v>
      </c>
      <c r="U124" s="4">
        <v>0.31</v>
      </c>
      <c r="V124" s="4">
        <v>368.84</v>
      </c>
      <c r="W124" s="4">
        <v>96.49</v>
      </c>
      <c r="X124" s="4">
        <v>62.34</v>
      </c>
      <c r="Y124" s="4">
        <v>75</v>
      </c>
      <c r="Z124" s="4">
        <v>8.42</v>
      </c>
      <c r="AA124" s="4">
        <v>-0.86</v>
      </c>
      <c r="AB124" s="4">
        <v>9.5299999999999994</v>
      </c>
      <c r="AC124" s="4">
        <v>-78.66</v>
      </c>
      <c r="AD124" s="4">
        <v>980</v>
      </c>
      <c r="AE124" s="4">
        <v>8765</v>
      </c>
      <c r="AF124" s="4">
        <v>108.62</v>
      </c>
      <c r="AG124" s="4">
        <v>0.88</v>
      </c>
      <c r="AH124" s="4">
        <v>-156.83000000000001</v>
      </c>
      <c r="AI124" s="4">
        <v>71.91</v>
      </c>
      <c r="AJ124" s="4">
        <v>60</v>
      </c>
      <c r="AK124" s="4">
        <v>9</v>
      </c>
      <c r="AL124" s="4">
        <v>9</v>
      </c>
      <c r="AM124" s="4">
        <v>0.63</v>
      </c>
      <c r="AN124" s="4">
        <v>588</v>
      </c>
      <c r="AO124" s="4">
        <v>593.66999999999996</v>
      </c>
      <c r="AP124" s="4">
        <v>878779.17</v>
      </c>
      <c r="AQ124" s="4">
        <v>190517.28</v>
      </c>
      <c r="AR124" s="4" t="s">
        <v>567</v>
      </c>
      <c r="AS124" s="5">
        <f t="shared" si="0"/>
        <v>39.284354452054792</v>
      </c>
    </row>
    <row r="125" spans="1:45" ht="14.25" customHeight="1" x14ac:dyDescent="0.55000000000000004">
      <c r="A125" s="4">
        <v>0</v>
      </c>
      <c r="B125" s="4">
        <v>8.1</v>
      </c>
      <c r="C125" s="4">
        <v>591.70000000000005</v>
      </c>
      <c r="D125" s="4">
        <v>7.8</v>
      </c>
      <c r="E125" s="4" t="s">
        <v>2877</v>
      </c>
      <c r="F125" s="4" t="s">
        <v>2782</v>
      </c>
      <c r="G125" s="4" t="s">
        <v>2333</v>
      </c>
      <c r="H125" s="4" t="s">
        <v>2878</v>
      </c>
      <c r="I125" s="4">
        <v>0</v>
      </c>
      <c r="J125" s="4">
        <v>1952.05</v>
      </c>
      <c r="K125" s="4">
        <f t="shared" si="4"/>
        <v>77.650000000000006</v>
      </c>
      <c r="L125" s="4">
        <f t="shared" si="5"/>
        <v>51.95</v>
      </c>
      <c r="M125" s="4">
        <f t="shared" si="6"/>
        <v>25.700000000000003</v>
      </c>
      <c r="N125" s="4">
        <v>7.29</v>
      </c>
      <c r="O125" s="4">
        <v>0</v>
      </c>
      <c r="P125" s="4">
        <v>69</v>
      </c>
      <c r="Q125" s="4">
        <v>22.6</v>
      </c>
      <c r="R125" s="4">
        <v>8.1</v>
      </c>
      <c r="S125" s="4">
        <v>18.57</v>
      </c>
      <c r="T125" s="4">
        <v>-18.57</v>
      </c>
      <c r="U125" s="4">
        <v>0.3</v>
      </c>
      <c r="V125" s="4">
        <v>378.69</v>
      </c>
      <c r="W125" s="4">
        <v>99.41</v>
      </c>
      <c r="X125" s="4">
        <v>65.33</v>
      </c>
      <c r="Y125" s="4">
        <v>77</v>
      </c>
      <c r="Z125" s="4">
        <v>8.2200000000000006</v>
      </c>
      <c r="AA125" s="4">
        <v>-0.83</v>
      </c>
      <c r="AB125" s="4">
        <v>9.4700000000000006</v>
      </c>
      <c r="AC125" s="4">
        <v>-77.38</v>
      </c>
      <c r="AD125" s="4">
        <v>980</v>
      </c>
      <c r="AE125" s="4">
        <v>8765</v>
      </c>
      <c r="AF125" s="4">
        <v>108.62</v>
      </c>
      <c r="AG125" s="4">
        <v>0.88</v>
      </c>
      <c r="AH125" s="4">
        <v>-155.87</v>
      </c>
      <c r="AI125" s="4">
        <v>71.91</v>
      </c>
      <c r="AJ125" s="4">
        <v>60</v>
      </c>
      <c r="AK125" s="4">
        <v>9</v>
      </c>
      <c r="AL125" s="4">
        <v>9</v>
      </c>
      <c r="AM125" s="4">
        <v>0.63</v>
      </c>
      <c r="AN125" s="4">
        <v>588</v>
      </c>
      <c r="AO125" s="4">
        <v>593.66999999999996</v>
      </c>
      <c r="AP125" s="4">
        <v>778194.61</v>
      </c>
      <c r="AQ125" s="4">
        <v>190517.28</v>
      </c>
      <c r="AR125" s="4" t="s">
        <v>572</v>
      </c>
      <c r="AS125" s="5">
        <f t="shared" si="0"/>
        <v>33.543226598173511</v>
      </c>
    </row>
    <row r="126" spans="1:45" ht="14.25" customHeight="1" x14ac:dyDescent="0.55000000000000004">
      <c r="A126" s="4">
        <v>0</v>
      </c>
      <c r="B126" s="4">
        <v>8.1</v>
      </c>
      <c r="C126" s="4">
        <v>866.2</v>
      </c>
      <c r="D126" s="4">
        <v>7.8</v>
      </c>
      <c r="E126" s="4" t="s">
        <v>2879</v>
      </c>
      <c r="F126" s="4" t="s">
        <v>2880</v>
      </c>
      <c r="G126" s="4" t="s">
        <v>2333</v>
      </c>
      <c r="H126" s="4" t="s">
        <v>2881</v>
      </c>
      <c r="I126" s="4">
        <v>0</v>
      </c>
      <c r="J126" s="4">
        <v>2015.89</v>
      </c>
      <c r="K126" s="4">
        <f t="shared" si="4"/>
        <v>61.41</v>
      </c>
      <c r="L126" s="4">
        <f t="shared" si="5"/>
        <v>48.58</v>
      </c>
      <c r="M126" s="4">
        <f t="shared" si="6"/>
        <v>12.829999999999998</v>
      </c>
      <c r="N126" s="4">
        <v>7.24</v>
      </c>
      <c r="O126" s="4">
        <v>0</v>
      </c>
      <c r="P126" s="4">
        <v>94</v>
      </c>
      <c r="Q126" s="4">
        <v>18.7</v>
      </c>
      <c r="R126" s="4">
        <v>8.1</v>
      </c>
      <c r="S126" s="4">
        <v>17.97</v>
      </c>
      <c r="T126" s="4">
        <v>-17.97</v>
      </c>
      <c r="U126" s="4">
        <v>0.43</v>
      </c>
      <c r="V126" s="4">
        <v>554.37</v>
      </c>
      <c r="W126" s="4">
        <v>143.99</v>
      </c>
      <c r="X126" s="4">
        <v>88.87</v>
      </c>
      <c r="Y126" s="4">
        <v>112.85</v>
      </c>
      <c r="Z126" s="4">
        <v>10.11</v>
      </c>
      <c r="AA126" s="4">
        <v>-0.55000000000000004</v>
      </c>
      <c r="AB126" s="4">
        <v>8.91</v>
      </c>
      <c r="AC126" s="4">
        <v>-82.04</v>
      </c>
      <c r="AD126" s="4">
        <v>980</v>
      </c>
      <c r="AE126" s="4">
        <v>8765</v>
      </c>
      <c r="AF126" s="4">
        <v>108.62</v>
      </c>
      <c r="AG126" s="4">
        <v>0.88</v>
      </c>
      <c r="AH126" s="4">
        <v>-190.46</v>
      </c>
      <c r="AI126" s="4">
        <v>111.86</v>
      </c>
      <c r="AJ126" s="4">
        <v>60</v>
      </c>
      <c r="AK126" s="4">
        <v>9</v>
      </c>
      <c r="AL126" s="4">
        <v>9</v>
      </c>
      <c r="AM126" s="4">
        <v>0.4</v>
      </c>
      <c r="AN126" s="4">
        <v>588</v>
      </c>
      <c r="AO126" s="4">
        <v>591.64</v>
      </c>
      <c r="AP126" s="4">
        <v>587537.99</v>
      </c>
      <c r="AQ126" s="4">
        <v>311109.93</v>
      </c>
      <c r="AR126" s="4" t="s">
        <v>577</v>
      </c>
      <c r="AS126" s="5">
        <f t="shared" si="0"/>
        <v>15.777857305936072</v>
      </c>
    </row>
    <row r="127" spans="1:45" ht="14.25" customHeight="1" x14ac:dyDescent="0.55000000000000004">
      <c r="A127" s="4">
        <v>0</v>
      </c>
      <c r="B127" s="4">
        <v>8.1</v>
      </c>
      <c r="C127" s="4">
        <v>566.92999999999995</v>
      </c>
      <c r="D127" s="4">
        <v>7.8</v>
      </c>
      <c r="E127" s="4" t="s">
        <v>2882</v>
      </c>
      <c r="F127" s="4" t="s">
        <v>2817</v>
      </c>
      <c r="G127" s="4" t="s">
        <v>2333</v>
      </c>
      <c r="H127" s="4" t="s">
        <v>2883</v>
      </c>
      <c r="I127" s="4">
        <v>0</v>
      </c>
      <c r="J127" s="4">
        <v>1953.42</v>
      </c>
      <c r="K127" s="4">
        <f t="shared" si="4"/>
        <v>80.81</v>
      </c>
      <c r="L127" s="4">
        <f t="shared" si="5"/>
        <v>51</v>
      </c>
      <c r="M127" s="4">
        <f t="shared" si="6"/>
        <v>29.810000000000002</v>
      </c>
      <c r="N127" s="4">
        <v>7.31</v>
      </c>
      <c r="O127" s="4">
        <v>0</v>
      </c>
      <c r="P127" s="4">
        <v>70</v>
      </c>
      <c r="Q127" s="4">
        <v>22.5</v>
      </c>
      <c r="R127" s="4">
        <v>8.1</v>
      </c>
      <c r="S127" s="4">
        <v>18.61</v>
      </c>
      <c r="T127" s="4">
        <v>-18.61</v>
      </c>
      <c r="U127" s="4">
        <v>0.28999999999999998</v>
      </c>
      <c r="V127" s="4">
        <v>362.83</v>
      </c>
      <c r="W127" s="4">
        <v>95.5</v>
      </c>
      <c r="X127" s="4">
        <v>63.66</v>
      </c>
      <c r="Y127" s="4">
        <v>73.760000000000005</v>
      </c>
      <c r="Z127" s="4">
        <v>9.51</v>
      </c>
      <c r="AA127" s="4">
        <v>-0.86</v>
      </c>
      <c r="AB127" s="4">
        <v>9.52</v>
      </c>
      <c r="AC127" s="4">
        <v>-77.08</v>
      </c>
      <c r="AD127" s="4">
        <v>980</v>
      </c>
      <c r="AE127" s="4">
        <v>8765</v>
      </c>
      <c r="AF127" s="4">
        <v>108.62</v>
      </c>
      <c r="AG127" s="4">
        <v>0.88</v>
      </c>
      <c r="AH127" s="4">
        <v>-153.04</v>
      </c>
      <c r="AI127" s="4">
        <v>79.900000000000006</v>
      </c>
      <c r="AJ127" s="4">
        <v>60</v>
      </c>
      <c r="AK127" s="4">
        <v>9</v>
      </c>
      <c r="AL127" s="4">
        <v>9</v>
      </c>
      <c r="AM127" s="4">
        <v>0.56999999999999995</v>
      </c>
      <c r="AN127" s="4">
        <v>588</v>
      </c>
      <c r="AO127" s="4">
        <v>593.1</v>
      </c>
      <c r="AP127" s="4">
        <v>801705.95</v>
      </c>
      <c r="AQ127" s="4">
        <v>224283.22</v>
      </c>
      <c r="AR127" s="4" t="s">
        <v>581</v>
      </c>
      <c r="AS127" s="5">
        <f t="shared" si="0"/>
        <v>32.95791837899543</v>
      </c>
    </row>
    <row r="128" spans="1:45" ht="14.25" customHeight="1" x14ac:dyDescent="0.55000000000000004">
      <c r="A128" s="4">
        <v>0</v>
      </c>
      <c r="B128" s="4">
        <v>8.1</v>
      </c>
      <c r="C128" s="4">
        <v>1699.24</v>
      </c>
      <c r="D128" s="4">
        <v>7.8</v>
      </c>
      <c r="E128" s="4" t="s">
        <v>2884</v>
      </c>
      <c r="F128" s="4" t="s">
        <v>2777</v>
      </c>
      <c r="G128" s="4" t="s">
        <v>2333</v>
      </c>
      <c r="H128" s="4" t="s">
        <v>2885</v>
      </c>
      <c r="I128" s="4">
        <v>0</v>
      </c>
      <c r="J128" s="4">
        <v>2059.73</v>
      </c>
      <c r="K128" s="4">
        <f t="shared" si="4"/>
        <v>50.58</v>
      </c>
      <c r="L128" s="4">
        <f t="shared" si="5"/>
        <v>51.95</v>
      </c>
      <c r="M128" s="4">
        <f t="shared" si="6"/>
        <v>-1.3700000000000045</v>
      </c>
      <c r="N128" s="4">
        <v>7.18</v>
      </c>
      <c r="O128" s="4">
        <v>0</v>
      </c>
      <c r="P128" s="4">
        <v>88</v>
      </c>
      <c r="Q128" s="4">
        <v>19.3</v>
      </c>
      <c r="R128" s="4">
        <v>8.1</v>
      </c>
      <c r="S128" s="4">
        <v>17.84</v>
      </c>
      <c r="T128" s="4">
        <v>-17.84</v>
      </c>
      <c r="U128" s="4">
        <v>0.82</v>
      </c>
      <c r="V128" s="4">
        <v>1087.51</v>
      </c>
      <c r="W128" s="4">
        <v>279.95999999999998</v>
      </c>
      <c r="X128" s="4">
        <v>163.4</v>
      </c>
      <c r="Y128" s="4">
        <v>221.58</v>
      </c>
      <c r="Z128" s="4">
        <v>5.35</v>
      </c>
      <c r="AA128" s="4">
        <v>-0.03</v>
      </c>
      <c r="AB128" s="4">
        <v>7.86</v>
      </c>
      <c r="AC128" s="4">
        <v>-83.2</v>
      </c>
      <c r="AD128" s="4">
        <v>980</v>
      </c>
      <c r="AE128" s="4">
        <v>8765</v>
      </c>
      <c r="AF128" s="4">
        <v>108.62</v>
      </c>
      <c r="AG128" s="4">
        <v>0.88</v>
      </c>
      <c r="AH128" s="4">
        <v>-620.65</v>
      </c>
      <c r="AI128" s="4">
        <v>71.91</v>
      </c>
      <c r="AJ128" s="4">
        <v>60</v>
      </c>
      <c r="AK128" s="4">
        <v>9</v>
      </c>
      <c r="AL128" s="4">
        <v>9</v>
      </c>
      <c r="AM128" s="4">
        <v>0.63</v>
      </c>
      <c r="AN128" s="4">
        <v>588</v>
      </c>
      <c r="AO128" s="4">
        <v>593.66999999999996</v>
      </c>
      <c r="AP128" s="4">
        <v>467997.69</v>
      </c>
      <c r="AQ128" s="4">
        <v>190517.28</v>
      </c>
      <c r="AR128" s="4" t="s">
        <v>1593</v>
      </c>
      <c r="AS128" s="5">
        <f t="shared" si="0"/>
        <v>15.837922945205481</v>
      </c>
    </row>
    <row r="129" spans="1:45" ht="14.25" customHeight="1" x14ac:dyDescent="0.55000000000000004">
      <c r="A129" s="4">
        <v>0</v>
      </c>
      <c r="B129" s="4">
        <v>8.1</v>
      </c>
      <c r="C129" s="4">
        <v>517.66999999999996</v>
      </c>
      <c r="D129" s="4">
        <v>7.8</v>
      </c>
      <c r="E129" s="4" t="s">
        <v>2886</v>
      </c>
      <c r="F129" s="4" t="s">
        <v>2887</v>
      </c>
      <c r="G129" s="4" t="s">
        <v>2333</v>
      </c>
      <c r="H129" s="4" t="s">
        <v>2888</v>
      </c>
      <c r="I129" s="4">
        <v>0</v>
      </c>
      <c r="J129" s="4">
        <v>1843.68</v>
      </c>
      <c r="K129" s="4">
        <f t="shared" si="4"/>
        <v>89.62</v>
      </c>
      <c r="L129" s="4">
        <f t="shared" si="5"/>
        <v>51.95</v>
      </c>
      <c r="M129" s="4">
        <f t="shared" si="6"/>
        <v>37.67</v>
      </c>
      <c r="N129" s="4">
        <v>7.25</v>
      </c>
      <c r="O129" s="4">
        <v>0</v>
      </c>
      <c r="P129" s="4">
        <v>82</v>
      </c>
      <c r="Q129" s="4">
        <v>20.7</v>
      </c>
      <c r="R129" s="4">
        <v>8.1</v>
      </c>
      <c r="S129" s="4">
        <v>18.45</v>
      </c>
      <c r="T129" s="4">
        <v>-18.45</v>
      </c>
      <c r="U129" s="4">
        <v>0.28000000000000003</v>
      </c>
      <c r="V129" s="4">
        <v>331.31</v>
      </c>
      <c r="W129" s="4">
        <v>87.18</v>
      </c>
      <c r="X129" s="4">
        <v>58.22</v>
      </c>
      <c r="Y129" s="4">
        <v>67.319999999999993</v>
      </c>
      <c r="Z129" s="4">
        <v>9.49</v>
      </c>
      <c r="AA129" s="4">
        <v>-0.93</v>
      </c>
      <c r="AB129" s="4">
        <v>9.67</v>
      </c>
      <c r="AC129" s="4">
        <v>-78.23</v>
      </c>
      <c r="AD129" s="4">
        <v>980</v>
      </c>
      <c r="AE129" s="4">
        <v>8765</v>
      </c>
      <c r="AF129" s="4">
        <v>108.62</v>
      </c>
      <c r="AG129" s="4">
        <v>0.88</v>
      </c>
      <c r="AH129" s="4">
        <v>-151.03</v>
      </c>
      <c r="AI129" s="4">
        <v>71.91</v>
      </c>
      <c r="AJ129" s="4">
        <v>60</v>
      </c>
      <c r="AK129" s="4">
        <v>9</v>
      </c>
      <c r="AL129" s="4">
        <v>9</v>
      </c>
      <c r="AM129" s="4">
        <v>0.63</v>
      </c>
      <c r="AN129" s="4">
        <v>588</v>
      </c>
      <c r="AO129" s="4">
        <v>593.66999999999996</v>
      </c>
      <c r="AP129" s="4">
        <v>1001464.81</v>
      </c>
      <c r="AQ129" s="4">
        <v>190517.28</v>
      </c>
      <c r="AR129" s="4" t="s">
        <v>585</v>
      </c>
      <c r="AS129" s="5">
        <f t="shared" si="0"/>
        <v>46.286959474885847</v>
      </c>
    </row>
    <row r="130" spans="1:45" ht="14.25" customHeight="1" x14ac:dyDescent="0.55000000000000004">
      <c r="A130" s="4">
        <v>0</v>
      </c>
      <c r="B130" s="4">
        <v>8.1</v>
      </c>
      <c r="C130" s="4">
        <v>624.88</v>
      </c>
      <c r="D130" s="4">
        <v>7.8</v>
      </c>
      <c r="E130" s="4" t="s">
        <v>2889</v>
      </c>
      <c r="F130" s="4" t="s">
        <v>2790</v>
      </c>
      <c r="G130" s="4" t="s">
        <v>2333</v>
      </c>
      <c r="H130" s="4" t="s">
        <v>2890</v>
      </c>
      <c r="I130" s="4">
        <v>0</v>
      </c>
      <c r="J130" s="4">
        <v>1983.38</v>
      </c>
      <c r="K130" s="4">
        <f t="shared" si="4"/>
        <v>74.22</v>
      </c>
      <c r="L130" s="4">
        <f t="shared" si="5"/>
        <v>51</v>
      </c>
      <c r="M130" s="4">
        <f t="shared" si="6"/>
        <v>23.22</v>
      </c>
      <c r="N130" s="4">
        <v>7.3</v>
      </c>
      <c r="O130" s="4">
        <v>0</v>
      </c>
      <c r="P130" s="4">
        <v>91</v>
      </c>
      <c r="Q130" s="4">
        <v>19.3</v>
      </c>
      <c r="R130" s="4">
        <v>8.1</v>
      </c>
      <c r="S130" s="4">
        <v>18.2</v>
      </c>
      <c r="T130" s="4">
        <v>-18.2</v>
      </c>
      <c r="U130" s="4">
        <v>0.32</v>
      </c>
      <c r="V130" s="4">
        <v>399.92</v>
      </c>
      <c r="W130" s="4">
        <v>104.89</v>
      </c>
      <c r="X130" s="4">
        <v>68.53</v>
      </c>
      <c r="Y130" s="4">
        <v>81.33</v>
      </c>
      <c r="Z130" s="4">
        <v>8.73</v>
      </c>
      <c r="AA130" s="4">
        <v>-0.79</v>
      </c>
      <c r="AB130" s="4">
        <v>9.3800000000000008</v>
      </c>
      <c r="AC130" s="4">
        <v>-80.180000000000007</v>
      </c>
      <c r="AD130" s="4">
        <v>980</v>
      </c>
      <c r="AE130" s="4">
        <v>8765</v>
      </c>
      <c r="AF130" s="4">
        <v>108.62</v>
      </c>
      <c r="AG130" s="4">
        <v>0.88</v>
      </c>
      <c r="AH130" s="4">
        <v>-158.59</v>
      </c>
      <c r="AI130" s="4">
        <v>79.900000000000006</v>
      </c>
      <c r="AJ130" s="4">
        <v>60</v>
      </c>
      <c r="AK130" s="4">
        <v>9</v>
      </c>
      <c r="AL130" s="4">
        <v>9</v>
      </c>
      <c r="AM130" s="4">
        <v>0.56999999999999995</v>
      </c>
      <c r="AN130" s="4">
        <v>588</v>
      </c>
      <c r="AO130" s="4">
        <v>593.1</v>
      </c>
      <c r="AP130" s="4">
        <v>717548.49</v>
      </c>
      <c r="AQ130" s="4">
        <v>224283.22</v>
      </c>
      <c r="AR130" s="4" t="s">
        <v>589</v>
      </c>
      <c r="AS130" s="5">
        <f t="shared" si="0"/>
        <v>28.154410388127854</v>
      </c>
    </row>
    <row r="131" spans="1:45" ht="14.25" customHeight="1" x14ac:dyDescent="0.55000000000000004">
      <c r="A131" s="4">
        <v>0</v>
      </c>
      <c r="B131" s="4">
        <v>8.1</v>
      </c>
      <c r="C131" s="4">
        <v>1636.76</v>
      </c>
      <c r="D131" s="4">
        <v>7.8</v>
      </c>
      <c r="E131" s="4" t="s">
        <v>2891</v>
      </c>
      <c r="F131" s="4" t="s">
        <v>2727</v>
      </c>
      <c r="G131" s="4" t="s">
        <v>2333</v>
      </c>
      <c r="H131" s="4" t="s">
        <v>2892</v>
      </c>
      <c r="I131" s="4">
        <v>0</v>
      </c>
      <c r="J131" s="4">
        <v>2185.75</v>
      </c>
      <c r="K131" s="4">
        <f t="shared" ref="K131:K194" si="7">IF(E131=0,0,
VALUE(MID(E131,2,FIND(",",E131)-2))+
VALUE(MID(F131,2,FIND(",",F131)-2))+
VALUE(MID(G131,2,FIND(",",G131)-2))
)</f>
        <v>50.94</v>
      </c>
      <c r="L131" s="4">
        <f t="shared" ref="L131:L194" si="8">IF(E131=0,0,
VALUE(MID(E131,FIND(",",E131)+1,FIND("]",E131)-FIND(",",E131)-1))+
VALUE(MID(F131,FIND(",",F131)+1,FIND("]",F131)-FIND(",",F131)-1))+
VALUE(MID(G131,FIND(",",G131)+1,FIND("]",G131)-FIND(",",G131)-1))
)</f>
        <v>51.95</v>
      </c>
      <c r="M131" s="4">
        <f t="shared" ref="M131:M194" si="9">(K131-L131)</f>
        <v>-1.0100000000000051</v>
      </c>
      <c r="N131" s="4">
        <v>7.31</v>
      </c>
      <c r="O131" s="4">
        <v>0</v>
      </c>
      <c r="P131" s="4">
        <v>82</v>
      </c>
      <c r="Q131" s="4">
        <v>21.2</v>
      </c>
      <c r="R131" s="4">
        <v>8.1</v>
      </c>
      <c r="S131" s="4">
        <v>18.940000000000001</v>
      </c>
      <c r="T131" s="4">
        <v>-18.940000000000001</v>
      </c>
      <c r="U131" s="4">
        <v>0.75</v>
      </c>
      <c r="V131" s="4">
        <v>1047.53</v>
      </c>
      <c r="W131" s="4">
        <v>272.02999999999997</v>
      </c>
      <c r="X131" s="4">
        <v>166.96</v>
      </c>
      <c r="Y131" s="4">
        <v>213.36</v>
      </c>
      <c r="Z131" s="4">
        <v>5.39</v>
      </c>
      <c r="AA131" s="4">
        <v>-0.03</v>
      </c>
      <c r="AB131" s="4">
        <v>7.86</v>
      </c>
      <c r="AC131" s="4">
        <v>-74.75</v>
      </c>
      <c r="AD131" s="4">
        <v>980</v>
      </c>
      <c r="AE131" s="4">
        <v>8765</v>
      </c>
      <c r="AF131" s="4">
        <v>108.62</v>
      </c>
      <c r="AG131" s="4">
        <v>0.88</v>
      </c>
      <c r="AH131" s="4">
        <v>-432.48</v>
      </c>
      <c r="AI131" s="4">
        <v>71.91</v>
      </c>
      <c r="AJ131" s="4">
        <v>60</v>
      </c>
      <c r="AK131" s="4">
        <v>9</v>
      </c>
      <c r="AL131" s="4">
        <v>9</v>
      </c>
      <c r="AM131" s="4">
        <v>0.63</v>
      </c>
      <c r="AN131" s="4">
        <v>588</v>
      </c>
      <c r="AO131" s="4">
        <v>593.66999999999996</v>
      </c>
      <c r="AP131" s="4">
        <v>358089.24</v>
      </c>
      <c r="AQ131" s="4">
        <v>190517.28</v>
      </c>
      <c r="AR131" s="4" t="s">
        <v>1604</v>
      </c>
      <c r="AS131" s="5">
        <f t="shared" si="0"/>
        <v>9.5646095890410958</v>
      </c>
    </row>
    <row r="132" spans="1:45" ht="14.25" customHeight="1" x14ac:dyDescent="0.55000000000000004">
      <c r="A132" s="4">
        <v>0</v>
      </c>
      <c r="B132" s="4">
        <v>8.1</v>
      </c>
      <c r="C132" s="4">
        <v>754.19</v>
      </c>
      <c r="D132" s="4">
        <v>7.8</v>
      </c>
      <c r="E132" s="4" t="s">
        <v>2893</v>
      </c>
      <c r="F132" s="4" t="s">
        <v>2843</v>
      </c>
      <c r="G132" s="4" t="s">
        <v>2333</v>
      </c>
      <c r="H132" s="4" t="s">
        <v>2894</v>
      </c>
      <c r="I132" s="4">
        <v>0</v>
      </c>
      <c r="J132" s="4">
        <v>2057.23</v>
      </c>
      <c r="K132" s="4">
        <f t="shared" si="7"/>
        <v>65.69</v>
      </c>
      <c r="L132" s="4">
        <f t="shared" si="8"/>
        <v>51.95</v>
      </c>
      <c r="M132" s="4">
        <f t="shared" si="9"/>
        <v>13.739999999999995</v>
      </c>
      <c r="N132" s="4">
        <v>7.31</v>
      </c>
      <c r="O132" s="4">
        <v>0</v>
      </c>
      <c r="P132" s="4">
        <v>89</v>
      </c>
      <c r="Q132" s="4">
        <v>20.2</v>
      </c>
      <c r="R132" s="4">
        <v>8.1</v>
      </c>
      <c r="S132" s="4">
        <v>18.84</v>
      </c>
      <c r="T132" s="4">
        <v>-18.84</v>
      </c>
      <c r="U132" s="4">
        <v>0.37</v>
      </c>
      <c r="V132" s="4">
        <v>482.68</v>
      </c>
      <c r="W132" s="4">
        <v>126.23</v>
      </c>
      <c r="X132" s="4">
        <v>80.959999999999994</v>
      </c>
      <c r="Y132" s="4">
        <v>98.21</v>
      </c>
      <c r="Z132" s="4">
        <v>6.96</v>
      </c>
      <c r="AA132" s="4">
        <v>-0.65</v>
      </c>
      <c r="AB132" s="4">
        <v>9.09</v>
      </c>
      <c r="AC132" s="4">
        <v>-75.400000000000006</v>
      </c>
      <c r="AD132" s="4">
        <v>980</v>
      </c>
      <c r="AE132" s="4">
        <v>8765</v>
      </c>
      <c r="AF132" s="4">
        <v>108.62</v>
      </c>
      <c r="AG132" s="4">
        <v>0.88</v>
      </c>
      <c r="AH132" s="4">
        <v>-171.5</v>
      </c>
      <c r="AI132" s="4">
        <v>71.91</v>
      </c>
      <c r="AJ132" s="4">
        <v>60</v>
      </c>
      <c r="AK132" s="4">
        <v>9</v>
      </c>
      <c r="AL132" s="4">
        <v>9</v>
      </c>
      <c r="AM132" s="4">
        <v>0.63</v>
      </c>
      <c r="AN132" s="4">
        <v>588</v>
      </c>
      <c r="AO132" s="4">
        <v>593.66999999999996</v>
      </c>
      <c r="AP132" s="4">
        <v>577917.17000000004</v>
      </c>
      <c r="AQ132" s="4">
        <v>190517.28</v>
      </c>
      <c r="AR132" s="4" t="s">
        <v>594</v>
      </c>
      <c r="AS132" s="5">
        <f t="shared" si="0"/>
        <v>22.111865867579908</v>
      </c>
    </row>
    <row r="133" spans="1:45" ht="14.25" customHeight="1" x14ac:dyDescent="0.55000000000000004">
      <c r="A133" s="4">
        <v>0</v>
      </c>
      <c r="B133" s="4">
        <v>8.1</v>
      </c>
      <c r="C133" s="4">
        <v>28744.97</v>
      </c>
      <c r="D133" s="4">
        <v>7.8</v>
      </c>
      <c r="E133" s="4" t="s">
        <v>2895</v>
      </c>
      <c r="F133" s="4" t="s">
        <v>2622</v>
      </c>
      <c r="G133" s="4" t="s">
        <v>2333</v>
      </c>
      <c r="H133" s="4" t="s">
        <v>2896</v>
      </c>
      <c r="I133" s="4">
        <v>0</v>
      </c>
      <c r="J133" s="4">
        <v>2178.09</v>
      </c>
      <c r="K133" s="4">
        <f t="shared" si="7"/>
        <v>42.92</v>
      </c>
      <c r="L133" s="4">
        <f t="shared" si="8"/>
        <v>51.95</v>
      </c>
      <c r="M133" s="4">
        <f t="shared" si="9"/>
        <v>-9.0300000000000011</v>
      </c>
      <c r="N133" s="4">
        <v>7.22</v>
      </c>
      <c r="O133" s="4">
        <v>0</v>
      </c>
      <c r="P133" s="4">
        <v>91</v>
      </c>
      <c r="Q133" s="4">
        <v>19.899999999999999</v>
      </c>
      <c r="R133" s="4">
        <v>8.1</v>
      </c>
      <c r="S133" s="4">
        <v>18.79</v>
      </c>
      <c r="T133" s="4">
        <v>-18.79</v>
      </c>
      <c r="U133" s="4">
        <v>13.2</v>
      </c>
      <c r="V133" s="4">
        <v>18396.78</v>
      </c>
      <c r="W133" s="4">
        <v>4729.3999999999996</v>
      </c>
      <c r="X133" s="4">
        <v>2727.04</v>
      </c>
      <c r="Y133" s="4">
        <v>3750.12</v>
      </c>
      <c r="Z133" s="4">
        <v>4.54</v>
      </c>
      <c r="AA133" s="4">
        <v>2.2999999999999998</v>
      </c>
      <c r="AB133" s="4">
        <v>3.21</v>
      </c>
      <c r="AC133" s="4">
        <v>-75.739999999999995</v>
      </c>
      <c r="AD133" s="4">
        <v>980</v>
      </c>
      <c r="AE133" s="4">
        <v>8765</v>
      </c>
      <c r="AF133" s="4">
        <v>108.62</v>
      </c>
      <c r="AG133" s="4">
        <v>0.88</v>
      </c>
      <c r="AH133" s="4">
        <v>8.91</v>
      </c>
      <c r="AI133" s="4">
        <v>71.91</v>
      </c>
      <c r="AJ133" s="4">
        <v>60</v>
      </c>
      <c r="AK133" s="4">
        <v>9</v>
      </c>
      <c r="AL133" s="4">
        <v>9</v>
      </c>
      <c r="AM133" s="4">
        <v>0.63</v>
      </c>
      <c r="AN133" s="4">
        <v>588</v>
      </c>
      <c r="AO133" s="4">
        <v>593.66999999999996</v>
      </c>
      <c r="AP133" s="4">
        <v>315145.3</v>
      </c>
      <c r="AQ133" s="4">
        <v>190517.28</v>
      </c>
      <c r="AR133" s="4" t="s">
        <v>598</v>
      </c>
      <c r="AS133" s="5">
        <f t="shared" si="0"/>
        <v>7.1134714611872143</v>
      </c>
    </row>
    <row r="134" spans="1:45" ht="14.25" customHeight="1" x14ac:dyDescent="0.55000000000000004">
      <c r="A134" s="4">
        <v>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f t="shared" si="7"/>
        <v>0</v>
      </c>
      <c r="L134" s="4">
        <f t="shared" si="8"/>
        <v>0</v>
      </c>
      <c r="M134" s="4">
        <f t="shared" si="9"/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5">
        <f t="shared" si="0"/>
        <v>0</v>
      </c>
    </row>
    <row r="135" spans="1:45" ht="14.25" customHeight="1" x14ac:dyDescent="0.55000000000000004">
      <c r="A135" s="4">
        <v>0</v>
      </c>
      <c r="B135" s="4">
        <v>8.1</v>
      </c>
      <c r="C135" s="4">
        <v>619.76</v>
      </c>
      <c r="D135" s="4">
        <v>7.8</v>
      </c>
      <c r="E135" s="4" t="s">
        <v>2897</v>
      </c>
      <c r="F135" s="4" t="s">
        <v>2843</v>
      </c>
      <c r="G135" s="4" t="s">
        <v>2333</v>
      </c>
      <c r="H135" s="4" t="s">
        <v>2898</v>
      </c>
      <c r="I135" s="4">
        <v>0</v>
      </c>
      <c r="J135" s="4">
        <v>2024.36</v>
      </c>
      <c r="K135" s="4">
        <f t="shared" si="7"/>
        <v>74.7</v>
      </c>
      <c r="L135" s="4">
        <f t="shared" si="8"/>
        <v>51.95</v>
      </c>
      <c r="M135" s="4">
        <f t="shared" si="9"/>
        <v>22.75</v>
      </c>
      <c r="N135" s="4">
        <v>7.34</v>
      </c>
      <c r="O135" s="4">
        <v>0</v>
      </c>
      <c r="P135" s="4">
        <v>67</v>
      </c>
      <c r="Q135" s="4">
        <v>22.7</v>
      </c>
      <c r="R135" s="4">
        <v>8.1</v>
      </c>
      <c r="S135" s="4">
        <v>18.39</v>
      </c>
      <c r="T135" s="4">
        <v>-18.39</v>
      </c>
      <c r="U135" s="4">
        <v>0.31</v>
      </c>
      <c r="V135" s="4">
        <v>396.65</v>
      </c>
      <c r="W135" s="4">
        <v>104.34</v>
      </c>
      <c r="X135" s="4">
        <v>69.19</v>
      </c>
      <c r="Y135" s="4">
        <v>80.66</v>
      </c>
      <c r="Z135" s="4">
        <v>7.91</v>
      </c>
      <c r="AA135" s="4">
        <v>-0.79</v>
      </c>
      <c r="AB135" s="4">
        <v>9.3800000000000008</v>
      </c>
      <c r="AC135" s="4">
        <v>-78.7</v>
      </c>
      <c r="AD135" s="4">
        <v>980</v>
      </c>
      <c r="AE135" s="4">
        <v>8765</v>
      </c>
      <c r="AF135" s="4">
        <v>108.62</v>
      </c>
      <c r="AG135" s="4">
        <v>0.88</v>
      </c>
      <c r="AH135" s="4">
        <v>-156.55000000000001</v>
      </c>
      <c r="AI135" s="4">
        <v>71.91</v>
      </c>
      <c r="AJ135" s="4">
        <v>60</v>
      </c>
      <c r="AK135" s="4">
        <v>9</v>
      </c>
      <c r="AL135" s="4">
        <v>9</v>
      </c>
      <c r="AM135" s="4">
        <v>0.63</v>
      </c>
      <c r="AN135" s="4">
        <v>588</v>
      </c>
      <c r="AO135" s="4">
        <v>593.66999999999996</v>
      </c>
      <c r="AP135" s="4">
        <v>677295.97</v>
      </c>
      <c r="AQ135" s="4">
        <v>190517.28</v>
      </c>
      <c r="AR135" s="4" t="s">
        <v>607</v>
      </c>
      <c r="AS135" s="5">
        <f t="shared" si="0"/>
        <v>27.784171803652963</v>
      </c>
    </row>
    <row r="136" spans="1:45" ht="14.25" customHeight="1" x14ac:dyDescent="0.55000000000000004">
      <c r="A136" s="4">
        <v>0</v>
      </c>
      <c r="B136" s="4">
        <v>8.1</v>
      </c>
      <c r="C136" s="4">
        <v>2456.08</v>
      </c>
      <c r="D136" s="4">
        <v>7.8</v>
      </c>
      <c r="E136" s="4" t="s">
        <v>2899</v>
      </c>
      <c r="F136" s="4" t="s">
        <v>2333</v>
      </c>
      <c r="G136" s="4" t="s">
        <v>2333</v>
      </c>
      <c r="H136" s="4" t="s">
        <v>2900</v>
      </c>
      <c r="I136" s="4">
        <v>0</v>
      </c>
      <c r="J136" s="4">
        <v>2465.36</v>
      </c>
      <c r="K136" s="4">
        <f t="shared" si="7"/>
        <v>47.83</v>
      </c>
      <c r="L136" s="4">
        <f t="shared" si="8"/>
        <v>47.83</v>
      </c>
      <c r="M136" s="4">
        <f t="shared" si="9"/>
        <v>0</v>
      </c>
      <c r="N136" s="4">
        <v>7.56</v>
      </c>
      <c r="O136" s="4">
        <v>0</v>
      </c>
      <c r="P136" s="4">
        <v>70</v>
      </c>
      <c r="Q136" s="4">
        <v>21.7</v>
      </c>
      <c r="R136" s="4">
        <v>8.1</v>
      </c>
      <c r="S136" s="4">
        <v>17.86</v>
      </c>
      <c r="T136" s="4">
        <v>-17.86</v>
      </c>
      <c r="U136" s="4">
        <v>1</v>
      </c>
      <c r="V136" s="4">
        <v>1571.89</v>
      </c>
      <c r="W136" s="4">
        <v>413.17</v>
      </c>
      <c r="X136" s="4">
        <v>270.29000000000002</v>
      </c>
      <c r="Y136" s="4">
        <v>320.06</v>
      </c>
      <c r="Z136" s="4">
        <v>8.98</v>
      </c>
      <c r="AA136" s="4">
        <v>0.34</v>
      </c>
      <c r="AB136" s="4">
        <v>7.12</v>
      </c>
      <c r="AC136" s="4">
        <v>-82.96</v>
      </c>
      <c r="AD136" s="4">
        <v>980</v>
      </c>
      <c r="AE136" s="4">
        <v>8765</v>
      </c>
      <c r="AF136" s="4">
        <v>108.62</v>
      </c>
      <c r="AG136" s="4">
        <v>0.88</v>
      </c>
      <c r="AH136" s="4">
        <v>-28867.43</v>
      </c>
      <c r="AI136" s="4">
        <v>127.48</v>
      </c>
      <c r="AJ136" s="4">
        <v>60</v>
      </c>
      <c r="AK136" s="4">
        <v>9</v>
      </c>
      <c r="AL136" s="4">
        <v>9</v>
      </c>
      <c r="AM136" s="4">
        <v>0.36</v>
      </c>
      <c r="AN136" s="4">
        <v>588</v>
      </c>
      <c r="AO136" s="4">
        <v>591.20000000000005</v>
      </c>
      <c r="AP136" s="4">
        <v>96034.87</v>
      </c>
      <c r="AQ136" s="4">
        <v>96034.87</v>
      </c>
      <c r="AR136" s="4" t="s">
        <v>612</v>
      </c>
      <c r="AS136" s="5">
        <f t="shared" si="0"/>
        <v>0</v>
      </c>
    </row>
    <row r="137" spans="1:45" ht="14.25" customHeight="1" x14ac:dyDescent="0.55000000000000004">
      <c r="A137" s="4">
        <v>0</v>
      </c>
      <c r="B137" s="4">
        <v>8.1</v>
      </c>
      <c r="C137" s="4">
        <v>2344.4</v>
      </c>
      <c r="D137" s="4">
        <v>7.8</v>
      </c>
      <c r="E137" s="4" t="s">
        <v>2901</v>
      </c>
      <c r="F137" s="4" t="s">
        <v>2333</v>
      </c>
      <c r="G137" s="4" t="s">
        <v>2333</v>
      </c>
      <c r="H137" s="4" t="s">
        <v>130</v>
      </c>
      <c r="I137" s="4">
        <v>0</v>
      </c>
      <c r="J137" s="4">
        <v>2463.09</v>
      </c>
      <c r="K137" s="4">
        <f t="shared" si="7"/>
        <v>48.11</v>
      </c>
      <c r="L137" s="4">
        <f t="shared" si="8"/>
        <v>48.11</v>
      </c>
      <c r="M137" s="4">
        <f t="shared" si="9"/>
        <v>0</v>
      </c>
      <c r="N137" s="4">
        <v>7.56</v>
      </c>
      <c r="O137" s="4">
        <v>0</v>
      </c>
      <c r="P137" s="4">
        <v>71</v>
      </c>
      <c r="Q137" s="4">
        <v>21.7</v>
      </c>
      <c r="R137" s="4">
        <v>8.1</v>
      </c>
      <c r="S137" s="4">
        <v>17.989999999999998</v>
      </c>
      <c r="T137" s="4">
        <v>-17.989999999999998</v>
      </c>
      <c r="U137" s="4">
        <v>0.95</v>
      </c>
      <c r="V137" s="4">
        <v>1500.42</v>
      </c>
      <c r="W137" s="4">
        <v>394.45</v>
      </c>
      <c r="X137" s="4">
        <v>258.31</v>
      </c>
      <c r="Y137" s="4">
        <v>305.5</v>
      </c>
      <c r="Z137" s="4">
        <v>8.58</v>
      </c>
      <c r="AA137" s="4">
        <v>0.3</v>
      </c>
      <c r="AB137" s="4">
        <v>7.19</v>
      </c>
      <c r="AC137" s="4">
        <v>-81.86</v>
      </c>
      <c r="AD137" s="4">
        <v>980</v>
      </c>
      <c r="AE137" s="4">
        <v>8765</v>
      </c>
      <c r="AF137" s="4">
        <v>108.62</v>
      </c>
      <c r="AG137" s="4">
        <v>0.88</v>
      </c>
      <c r="AH137" s="4">
        <v>-2254.19</v>
      </c>
      <c r="AI137" s="4">
        <v>121.08</v>
      </c>
      <c r="AJ137" s="4">
        <v>60</v>
      </c>
      <c r="AK137" s="4">
        <v>9</v>
      </c>
      <c r="AL137" s="4">
        <v>9</v>
      </c>
      <c r="AM137" s="4">
        <v>0.37</v>
      </c>
      <c r="AN137" s="4">
        <v>588</v>
      </c>
      <c r="AO137" s="4">
        <v>591.37</v>
      </c>
      <c r="AP137" s="4">
        <v>99139.3</v>
      </c>
      <c r="AQ137" s="4">
        <v>99139.3</v>
      </c>
      <c r="AR137" s="4" t="s">
        <v>617</v>
      </c>
      <c r="AS137" s="5">
        <f t="shared" si="0"/>
        <v>0</v>
      </c>
    </row>
    <row r="138" spans="1:45" ht="14.25" customHeight="1" x14ac:dyDescent="0.55000000000000004">
      <c r="A138" s="4">
        <v>0</v>
      </c>
      <c r="B138" s="4">
        <v>8.1</v>
      </c>
      <c r="C138" s="4">
        <v>2881.21</v>
      </c>
      <c r="D138" s="4">
        <v>7.8</v>
      </c>
      <c r="E138" s="4" t="s">
        <v>2902</v>
      </c>
      <c r="F138" s="4" t="s">
        <v>2333</v>
      </c>
      <c r="G138" s="4" t="s">
        <v>2333</v>
      </c>
      <c r="H138" s="4" t="s">
        <v>2903</v>
      </c>
      <c r="I138" s="4">
        <v>0</v>
      </c>
      <c r="J138" s="4">
        <v>2472.29</v>
      </c>
      <c r="K138" s="4">
        <f t="shared" si="7"/>
        <v>46.98</v>
      </c>
      <c r="L138" s="4">
        <f t="shared" si="8"/>
        <v>46.98</v>
      </c>
      <c r="M138" s="4">
        <f t="shared" si="9"/>
        <v>0</v>
      </c>
      <c r="N138" s="4">
        <v>7.56</v>
      </c>
      <c r="O138" s="4">
        <v>0</v>
      </c>
      <c r="P138" s="4">
        <v>69</v>
      </c>
      <c r="Q138" s="4">
        <v>22</v>
      </c>
      <c r="R138" s="4">
        <v>8.1</v>
      </c>
      <c r="S138" s="4">
        <v>18.010000000000002</v>
      </c>
      <c r="T138" s="4">
        <v>-18.010000000000002</v>
      </c>
      <c r="U138" s="4">
        <v>1.17</v>
      </c>
      <c r="V138" s="4">
        <v>1843.98</v>
      </c>
      <c r="W138" s="4">
        <v>484.43</v>
      </c>
      <c r="X138" s="4">
        <v>315.92</v>
      </c>
      <c r="Y138" s="4">
        <v>375.49</v>
      </c>
      <c r="Z138" s="4">
        <v>10.5</v>
      </c>
      <c r="AA138" s="4">
        <v>0.47</v>
      </c>
      <c r="AB138" s="4">
        <v>6.86</v>
      </c>
      <c r="AC138" s="4">
        <v>-81.73</v>
      </c>
      <c r="AD138" s="4">
        <v>980</v>
      </c>
      <c r="AE138" s="4">
        <v>8765</v>
      </c>
      <c r="AF138" s="4">
        <v>108.62</v>
      </c>
      <c r="AG138" s="4">
        <v>0.88</v>
      </c>
      <c r="AH138" s="4">
        <v>656.72</v>
      </c>
      <c r="AI138" s="4">
        <v>151.80000000000001</v>
      </c>
      <c r="AJ138" s="4">
        <v>60</v>
      </c>
      <c r="AK138" s="4">
        <v>9</v>
      </c>
      <c r="AL138" s="4">
        <v>9</v>
      </c>
      <c r="AM138" s="4">
        <v>0.3</v>
      </c>
      <c r="AN138" s="4">
        <v>588</v>
      </c>
      <c r="AO138" s="4">
        <v>590.67999999999995</v>
      </c>
      <c r="AP138" s="4">
        <v>86612.73</v>
      </c>
      <c r="AQ138" s="4">
        <v>86612.73</v>
      </c>
      <c r="AR138" s="4" t="s">
        <v>622</v>
      </c>
      <c r="AS138" s="5">
        <f t="shared" si="0"/>
        <v>0</v>
      </c>
    </row>
    <row r="139" spans="1:45" ht="14.25" customHeight="1" x14ac:dyDescent="0.55000000000000004">
      <c r="A139" s="4">
        <v>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f t="shared" si="7"/>
        <v>0</v>
      </c>
      <c r="L139" s="4">
        <f t="shared" si="8"/>
        <v>0</v>
      </c>
      <c r="M139" s="4">
        <f t="shared" si="9"/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5">
        <f t="shared" si="0"/>
        <v>0</v>
      </c>
    </row>
    <row r="140" spans="1:45" ht="14.25" customHeight="1" x14ac:dyDescent="0.55000000000000004">
      <c r="A140" s="4">
        <v>0</v>
      </c>
      <c r="B140" s="4">
        <v>8.1</v>
      </c>
      <c r="C140" s="4">
        <v>1926.42</v>
      </c>
      <c r="D140" s="4">
        <v>7.8</v>
      </c>
      <c r="E140" s="4" t="s">
        <v>2904</v>
      </c>
      <c r="F140" s="4" t="s">
        <v>2333</v>
      </c>
      <c r="G140" s="4" t="s">
        <v>2333</v>
      </c>
      <c r="H140" s="4" t="s">
        <v>1096</v>
      </c>
      <c r="I140" s="4">
        <v>0</v>
      </c>
      <c r="J140" s="4">
        <v>2452.14</v>
      </c>
      <c r="K140" s="4">
        <f t="shared" si="7"/>
        <v>49.49</v>
      </c>
      <c r="L140" s="4">
        <f t="shared" si="8"/>
        <v>49.49</v>
      </c>
      <c r="M140" s="4">
        <f t="shared" si="9"/>
        <v>0</v>
      </c>
      <c r="N140" s="4">
        <v>7.56</v>
      </c>
      <c r="O140" s="4">
        <v>0</v>
      </c>
      <c r="P140" s="4">
        <v>71</v>
      </c>
      <c r="Q140" s="4">
        <v>21.6</v>
      </c>
      <c r="R140" s="4">
        <v>8.1</v>
      </c>
      <c r="S140" s="4">
        <v>17.899999999999999</v>
      </c>
      <c r="T140" s="4">
        <v>-17.899999999999999</v>
      </c>
      <c r="U140" s="4">
        <v>0.79</v>
      </c>
      <c r="V140" s="4">
        <v>1232.9100000000001</v>
      </c>
      <c r="W140" s="4">
        <v>324.41000000000003</v>
      </c>
      <c r="X140" s="4">
        <v>213.49</v>
      </c>
      <c r="Y140" s="4">
        <v>251.01</v>
      </c>
      <c r="Z140" s="4">
        <v>7.08</v>
      </c>
      <c r="AA140" s="4">
        <v>0.14000000000000001</v>
      </c>
      <c r="AB140" s="4">
        <v>7.51</v>
      </c>
      <c r="AC140" s="4">
        <v>-82.64</v>
      </c>
      <c r="AD140" s="4">
        <v>980</v>
      </c>
      <c r="AE140" s="4">
        <v>8765</v>
      </c>
      <c r="AF140" s="4">
        <v>108.62</v>
      </c>
      <c r="AG140" s="4">
        <v>0.88</v>
      </c>
      <c r="AH140" s="4">
        <v>-506.66</v>
      </c>
      <c r="AI140" s="4">
        <v>97.14</v>
      </c>
      <c r="AJ140" s="4">
        <v>60</v>
      </c>
      <c r="AK140" s="4">
        <v>9</v>
      </c>
      <c r="AL140" s="4">
        <v>9</v>
      </c>
      <c r="AM140" s="4">
        <v>0.47</v>
      </c>
      <c r="AN140" s="4">
        <v>588</v>
      </c>
      <c r="AO140" s="4">
        <v>592.19000000000005</v>
      </c>
      <c r="AP140" s="4">
        <v>114399.45</v>
      </c>
      <c r="AQ140" s="4">
        <v>114399.45</v>
      </c>
      <c r="AR140" s="4" t="s">
        <v>631</v>
      </c>
      <c r="AS140" s="5">
        <f t="shared" si="0"/>
        <v>0</v>
      </c>
    </row>
    <row r="141" spans="1:45" ht="14.25" customHeight="1" x14ac:dyDescent="0.55000000000000004">
      <c r="A141" s="4">
        <v>0</v>
      </c>
      <c r="B141" s="4">
        <v>8.1</v>
      </c>
      <c r="C141" s="4">
        <v>659.37</v>
      </c>
      <c r="D141" s="4">
        <v>7.8</v>
      </c>
      <c r="E141" s="4" t="s">
        <v>2905</v>
      </c>
      <c r="F141" s="4" t="s">
        <v>2843</v>
      </c>
      <c r="G141" s="4" t="s">
        <v>2333</v>
      </c>
      <c r="H141" s="4" t="s">
        <v>2906</v>
      </c>
      <c r="I141" s="4">
        <v>0</v>
      </c>
      <c r="J141" s="4">
        <v>2036.1</v>
      </c>
      <c r="K141" s="4">
        <f t="shared" si="7"/>
        <v>71.34</v>
      </c>
      <c r="L141" s="4">
        <f t="shared" si="8"/>
        <v>51.95</v>
      </c>
      <c r="M141" s="4">
        <f t="shared" si="9"/>
        <v>19.39</v>
      </c>
      <c r="N141" s="4">
        <v>7.33</v>
      </c>
      <c r="O141" s="4">
        <v>0</v>
      </c>
      <c r="P141" s="4">
        <v>69</v>
      </c>
      <c r="Q141" s="4">
        <v>22.4</v>
      </c>
      <c r="R141" s="4">
        <v>8.1</v>
      </c>
      <c r="S141" s="4">
        <v>18.38</v>
      </c>
      <c r="T141" s="4">
        <v>-18.38</v>
      </c>
      <c r="U141" s="4">
        <v>0.32</v>
      </c>
      <c r="V141" s="4">
        <v>422</v>
      </c>
      <c r="W141" s="4">
        <v>110.77</v>
      </c>
      <c r="X141" s="4">
        <v>72.59</v>
      </c>
      <c r="Y141" s="4">
        <v>85.83</v>
      </c>
      <c r="Z141" s="4">
        <v>7.55</v>
      </c>
      <c r="AA141" s="4">
        <v>-0.74</v>
      </c>
      <c r="AB141" s="4">
        <v>9.2899999999999991</v>
      </c>
      <c r="AC141" s="4">
        <v>-78.77</v>
      </c>
      <c r="AD141" s="4">
        <v>980</v>
      </c>
      <c r="AE141" s="4">
        <v>8765</v>
      </c>
      <c r="AF141" s="4">
        <v>108.62</v>
      </c>
      <c r="AG141" s="4">
        <v>0.88</v>
      </c>
      <c r="AH141" s="4">
        <v>-160.65</v>
      </c>
      <c r="AI141" s="4">
        <v>71.91</v>
      </c>
      <c r="AJ141" s="4">
        <v>60</v>
      </c>
      <c r="AK141" s="4">
        <v>9</v>
      </c>
      <c r="AL141" s="4">
        <v>9</v>
      </c>
      <c r="AM141" s="4">
        <v>0.63</v>
      </c>
      <c r="AN141" s="4">
        <v>588</v>
      </c>
      <c r="AO141" s="4">
        <v>593.66999999999996</v>
      </c>
      <c r="AP141" s="4">
        <v>640273.88</v>
      </c>
      <c r="AQ141" s="4">
        <v>190517.28</v>
      </c>
      <c r="AR141" s="4" t="s">
        <v>636</v>
      </c>
      <c r="AS141" s="5">
        <f t="shared" si="0"/>
        <v>25.671038812785387</v>
      </c>
    </row>
    <row r="142" spans="1:45" ht="14.25" customHeight="1" x14ac:dyDescent="0.55000000000000004">
      <c r="A142" s="4">
        <v>0</v>
      </c>
      <c r="B142" s="4">
        <v>8.1</v>
      </c>
      <c r="C142" s="4">
        <v>1725.56</v>
      </c>
      <c r="D142" s="4">
        <v>7.8</v>
      </c>
      <c r="E142" s="4" t="s">
        <v>2907</v>
      </c>
      <c r="F142" s="4" t="s">
        <v>2333</v>
      </c>
      <c r="G142" s="4" t="s">
        <v>2333</v>
      </c>
      <c r="H142" s="4" t="s">
        <v>2908</v>
      </c>
      <c r="I142" s="4">
        <v>0</v>
      </c>
      <c r="J142" s="4">
        <v>2444.83</v>
      </c>
      <c r="K142" s="4">
        <f t="shared" si="7"/>
        <v>50.43</v>
      </c>
      <c r="L142" s="4">
        <f t="shared" si="8"/>
        <v>50.43</v>
      </c>
      <c r="M142" s="4">
        <f t="shared" si="9"/>
        <v>0</v>
      </c>
      <c r="N142" s="4">
        <v>7.57</v>
      </c>
      <c r="O142" s="4">
        <v>0</v>
      </c>
      <c r="P142" s="4">
        <v>68</v>
      </c>
      <c r="Q142" s="4">
        <v>22</v>
      </c>
      <c r="R142" s="4">
        <v>8.1</v>
      </c>
      <c r="S142" s="4">
        <v>17.88</v>
      </c>
      <c r="T142" s="4">
        <v>-17.88</v>
      </c>
      <c r="U142" s="4">
        <v>0.71</v>
      </c>
      <c r="V142" s="4">
        <v>1104.3599999999999</v>
      </c>
      <c r="W142" s="4">
        <v>290.75</v>
      </c>
      <c r="X142" s="4">
        <v>191.97</v>
      </c>
      <c r="Y142" s="4">
        <v>224.82</v>
      </c>
      <c r="Z142" s="4">
        <v>6.36</v>
      </c>
      <c r="AA142" s="4">
        <v>0.05</v>
      </c>
      <c r="AB142" s="4">
        <v>7.69</v>
      </c>
      <c r="AC142" s="4">
        <v>-82.83</v>
      </c>
      <c r="AD142" s="4">
        <v>980</v>
      </c>
      <c r="AE142" s="4">
        <v>8765</v>
      </c>
      <c r="AF142" s="4">
        <v>108.62</v>
      </c>
      <c r="AG142" s="4">
        <v>0.88</v>
      </c>
      <c r="AH142" s="4">
        <v>-369.22</v>
      </c>
      <c r="AI142" s="4">
        <v>85.62</v>
      </c>
      <c r="AJ142" s="4">
        <v>60</v>
      </c>
      <c r="AK142" s="4">
        <v>9</v>
      </c>
      <c r="AL142" s="4">
        <v>9</v>
      </c>
      <c r="AM142" s="4">
        <v>0.53</v>
      </c>
      <c r="AN142" s="4">
        <v>588</v>
      </c>
      <c r="AO142" s="4">
        <v>592.76</v>
      </c>
      <c r="AP142" s="4">
        <v>124784.83</v>
      </c>
      <c r="AQ142" s="4">
        <v>124784.83</v>
      </c>
      <c r="AR142" s="4" t="s">
        <v>641</v>
      </c>
      <c r="AS142" s="5">
        <f t="shared" si="0"/>
        <v>0</v>
      </c>
    </row>
    <row r="143" spans="1:45" ht="14.25" customHeight="1" x14ac:dyDescent="0.55000000000000004">
      <c r="A143" s="4">
        <v>0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f t="shared" si="7"/>
        <v>0</v>
      </c>
      <c r="L143" s="4">
        <f t="shared" si="8"/>
        <v>0</v>
      </c>
      <c r="M143" s="4">
        <f t="shared" si="9"/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5">
        <f t="shared" si="0"/>
        <v>0</v>
      </c>
    </row>
    <row r="144" spans="1:45" ht="14.25" customHeight="1" x14ac:dyDescent="0.55000000000000004">
      <c r="A144" s="4">
        <v>0</v>
      </c>
      <c r="B144" s="4">
        <v>8.1</v>
      </c>
      <c r="C144" s="4">
        <v>609.09</v>
      </c>
      <c r="D144" s="4">
        <v>7.8</v>
      </c>
      <c r="E144" s="4" t="s">
        <v>2909</v>
      </c>
      <c r="F144" s="4" t="s">
        <v>2910</v>
      </c>
      <c r="G144" s="4" t="s">
        <v>2333</v>
      </c>
      <c r="H144" s="4" t="s">
        <v>2911</v>
      </c>
      <c r="I144" s="4">
        <v>0</v>
      </c>
      <c r="J144" s="4">
        <v>2010.23</v>
      </c>
      <c r="K144" s="4">
        <f t="shared" si="7"/>
        <v>75.75</v>
      </c>
      <c r="L144" s="4">
        <f t="shared" si="8"/>
        <v>51.95</v>
      </c>
      <c r="M144" s="4">
        <f t="shared" si="9"/>
        <v>23.799999999999997</v>
      </c>
      <c r="N144" s="4">
        <v>7.33</v>
      </c>
      <c r="O144" s="4">
        <v>0</v>
      </c>
      <c r="P144" s="4">
        <v>70</v>
      </c>
      <c r="Q144" s="4">
        <v>22.5</v>
      </c>
      <c r="R144" s="4">
        <v>8.1</v>
      </c>
      <c r="S144" s="4">
        <v>18.61</v>
      </c>
      <c r="T144" s="4">
        <v>-18.61</v>
      </c>
      <c r="U144" s="4">
        <v>0.3</v>
      </c>
      <c r="V144" s="4">
        <v>389.81</v>
      </c>
      <c r="W144" s="4">
        <v>102.54</v>
      </c>
      <c r="X144" s="4">
        <v>68.03</v>
      </c>
      <c r="Y144" s="4">
        <v>79.260000000000005</v>
      </c>
      <c r="Z144" s="4">
        <v>8.02</v>
      </c>
      <c r="AA144" s="4">
        <v>-0.8</v>
      </c>
      <c r="AB144" s="4">
        <v>9.41</v>
      </c>
      <c r="AC144" s="4">
        <v>-77.08</v>
      </c>
      <c r="AD144" s="4">
        <v>980</v>
      </c>
      <c r="AE144" s="4">
        <v>8765</v>
      </c>
      <c r="AF144" s="4">
        <v>108.62</v>
      </c>
      <c r="AG144" s="4">
        <v>0.88</v>
      </c>
      <c r="AH144" s="4">
        <v>-155.84</v>
      </c>
      <c r="AI144" s="4">
        <v>71.91</v>
      </c>
      <c r="AJ144" s="4">
        <v>60</v>
      </c>
      <c r="AK144" s="4">
        <v>9</v>
      </c>
      <c r="AL144" s="4">
        <v>9</v>
      </c>
      <c r="AM144" s="4">
        <v>0.63</v>
      </c>
      <c r="AN144" s="4">
        <v>588</v>
      </c>
      <c r="AO144" s="4">
        <v>593.66999999999996</v>
      </c>
      <c r="AP144" s="4">
        <v>700341.89</v>
      </c>
      <c r="AQ144" s="4">
        <v>190517.28</v>
      </c>
      <c r="AR144" s="4" t="s">
        <v>651</v>
      </c>
      <c r="AS144" s="5">
        <f t="shared" si="0"/>
        <v>29.099578196347032</v>
      </c>
    </row>
    <row r="145" spans="1:45" ht="14.25" customHeight="1" x14ac:dyDescent="0.55000000000000004">
      <c r="A145" s="4">
        <v>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f t="shared" si="7"/>
        <v>0</v>
      </c>
      <c r="L145" s="4">
        <f t="shared" si="8"/>
        <v>0</v>
      </c>
      <c r="M145" s="4">
        <f t="shared" si="9"/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5">
        <f t="shared" si="0"/>
        <v>0</v>
      </c>
    </row>
    <row r="146" spans="1:45" ht="14.25" customHeight="1" x14ac:dyDescent="0.55000000000000004">
      <c r="A146" s="4">
        <v>0</v>
      </c>
      <c r="B146" s="4">
        <v>8.1</v>
      </c>
      <c r="C146" s="4">
        <v>2175.59</v>
      </c>
      <c r="D146" s="4">
        <v>7.8</v>
      </c>
      <c r="E146" s="4" t="s">
        <v>2912</v>
      </c>
      <c r="F146" s="4" t="s">
        <v>2333</v>
      </c>
      <c r="G146" s="4" t="s">
        <v>2333</v>
      </c>
      <c r="H146" s="4" t="s">
        <v>2913</v>
      </c>
      <c r="I146" s="4">
        <v>0</v>
      </c>
      <c r="J146" s="4">
        <v>2459.21</v>
      </c>
      <c r="K146" s="4">
        <f t="shared" si="7"/>
        <v>48.6</v>
      </c>
      <c r="L146" s="4">
        <f t="shared" si="8"/>
        <v>48.6</v>
      </c>
      <c r="M146" s="4">
        <f t="shared" si="9"/>
        <v>0</v>
      </c>
      <c r="N146" s="4">
        <v>7.56</v>
      </c>
      <c r="O146" s="4">
        <v>0</v>
      </c>
      <c r="P146" s="4">
        <v>71</v>
      </c>
      <c r="Q146" s="4">
        <v>21.8</v>
      </c>
      <c r="R146" s="4">
        <v>8.1</v>
      </c>
      <c r="S146" s="4">
        <v>18.09</v>
      </c>
      <c r="T146" s="4">
        <v>-18.09</v>
      </c>
      <c r="U146" s="4">
        <v>0.88</v>
      </c>
      <c r="V146" s="4">
        <v>1392.38</v>
      </c>
      <c r="W146" s="4">
        <v>366.16</v>
      </c>
      <c r="X146" s="4">
        <v>240.2</v>
      </c>
      <c r="Y146" s="4">
        <v>283.49</v>
      </c>
      <c r="Z146" s="4">
        <v>7.97</v>
      </c>
      <c r="AA146" s="4">
        <v>0.24</v>
      </c>
      <c r="AB146" s="4">
        <v>7.32</v>
      </c>
      <c r="AC146" s="4">
        <v>-81.099999999999994</v>
      </c>
      <c r="AD146" s="4">
        <v>980</v>
      </c>
      <c r="AE146" s="4">
        <v>8765</v>
      </c>
      <c r="AF146" s="4">
        <v>108.62</v>
      </c>
      <c r="AG146" s="4">
        <v>0.88</v>
      </c>
      <c r="AH146" s="4">
        <v>-941.87</v>
      </c>
      <c r="AI146" s="4">
        <v>111.42</v>
      </c>
      <c r="AJ146" s="4">
        <v>60</v>
      </c>
      <c r="AK146" s="4">
        <v>9</v>
      </c>
      <c r="AL146" s="4">
        <v>9</v>
      </c>
      <c r="AM146" s="4">
        <v>0.41</v>
      </c>
      <c r="AN146" s="4">
        <v>588</v>
      </c>
      <c r="AO146" s="4">
        <v>591.66</v>
      </c>
      <c r="AP146" s="4">
        <v>104510.42</v>
      </c>
      <c r="AQ146" s="4">
        <v>104510.42</v>
      </c>
      <c r="AR146" s="4" t="s">
        <v>656</v>
      </c>
      <c r="AS146" s="5">
        <f t="shared" si="0"/>
        <v>0</v>
      </c>
    </row>
    <row r="147" spans="1:45" ht="14.25" customHeight="1" x14ac:dyDescent="0.55000000000000004">
      <c r="A147" s="4">
        <v>0</v>
      </c>
      <c r="B147" s="4">
        <v>8.1</v>
      </c>
      <c r="C147" s="4">
        <v>1106.4100000000001</v>
      </c>
      <c r="D147" s="4">
        <v>7.8</v>
      </c>
      <c r="E147" s="4" t="s">
        <v>2914</v>
      </c>
      <c r="F147" s="4" t="s">
        <v>2622</v>
      </c>
      <c r="G147" s="4" t="s">
        <v>2333</v>
      </c>
      <c r="H147" s="4" t="s">
        <v>2915</v>
      </c>
      <c r="I147" s="4">
        <v>0</v>
      </c>
      <c r="J147" s="4">
        <v>2109.7600000000002</v>
      </c>
      <c r="K147" s="4">
        <f t="shared" si="7"/>
        <v>56.1</v>
      </c>
      <c r="L147" s="4">
        <f t="shared" si="8"/>
        <v>51.95</v>
      </c>
      <c r="M147" s="4">
        <f t="shared" si="9"/>
        <v>4.1499999999999986</v>
      </c>
      <c r="N147" s="4">
        <v>7.28</v>
      </c>
      <c r="O147" s="4">
        <v>0</v>
      </c>
      <c r="P147" s="4">
        <v>68</v>
      </c>
      <c r="Q147" s="4">
        <v>22.1</v>
      </c>
      <c r="R147" s="4">
        <v>8.1</v>
      </c>
      <c r="S147" s="4">
        <v>17.97</v>
      </c>
      <c r="T147" s="4">
        <v>-17.97</v>
      </c>
      <c r="U147" s="4">
        <v>0.52</v>
      </c>
      <c r="V147" s="4">
        <v>708.11</v>
      </c>
      <c r="W147" s="4">
        <v>184.04</v>
      </c>
      <c r="X147" s="4">
        <v>113.73</v>
      </c>
      <c r="Y147" s="4">
        <v>144.18</v>
      </c>
      <c r="Z147" s="4">
        <v>5.94</v>
      </c>
      <c r="AA147" s="4">
        <v>-0.35</v>
      </c>
      <c r="AB147" s="4">
        <v>8.5</v>
      </c>
      <c r="AC147" s="4">
        <v>-82.05</v>
      </c>
      <c r="AD147" s="4">
        <v>980</v>
      </c>
      <c r="AE147" s="4">
        <v>8765</v>
      </c>
      <c r="AF147" s="4">
        <v>108.62</v>
      </c>
      <c r="AG147" s="4">
        <v>0.88</v>
      </c>
      <c r="AH147" s="4">
        <v>-228.41</v>
      </c>
      <c r="AI147" s="4">
        <v>71.91</v>
      </c>
      <c r="AJ147" s="4">
        <v>60</v>
      </c>
      <c r="AK147" s="4">
        <v>9</v>
      </c>
      <c r="AL147" s="4">
        <v>9</v>
      </c>
      <c r="AM147" s="4">
        <v>0.63</v>
      </c>
      <c r="AN147" s="4">
        <v>588</v>
      </c>
      <c r="AO147" s="4">
        <v>593.66999999999996</v>
      </c>
      <c r="AP147" s="4">
        <v>460638.41</v>
      </c>
      <c r="AQ147" s="4">
        <v>190517.28</v>
      </c>
      <c r="AR147" s="4" t="s">
        <v>1662</v>
      </c>
      <c r="AS147" s="5">
        <f t="shared" si="0"/>
        <v>15.417872716894978</v>
      </c>
    </row>
    <row r="148" spans="1:45" ht="14.25" customHeight="1" x14ac:dyDescent="0.55000000000000004">
      <c r="A148" s="4">
        <v>0</v>
      </c>
      <c r="B148" s="4">
        <v>8.1</v>
      </c>
      <c r="C148" s="4">
        <v>621.14</v>
      </c>
      <c r="D148" s="4">
        <v>7.8</v>
      </c>
      <c r="E148" s="4" t="s">
        <v>2916</v>
      </c>
      <c r="F148" s="4" t="s">
        <v>2843</v>
      </c>
      <c r="G148" s="4" t="s">
        <v>2333</v>
      </c>
      <c r="H148" s="4" t="s">
        <v>2917</v>
      </c>
      <c r="I148" s="4">
        <v>0</v>
      </c>
      <c r="J148" s="4">
        <v>2024.81</v>
      </c>
      <c r="K148" s="4">
        <f t="shared" si="7"/>
        <v>74.569999999999993</v>
      </c>
      <c r="L148" s="4">
        <f t="shared" si="8"/>
        <v>51.95</v>
      </c>
      <c r="M148" s="4">
        <f t="shared" si="9"/>
        <v>22.61999999999999</v>
      </c>
      <c r="N148" s="4">
        <v>7.34</v>
      </c>
      <c r="O148" s="4">
        <v>0</v>
      </c>
      <c r="P148" s="4">
        <v>70</v>
      </c>
      <c r="Q148" s="4">
        <v>22.5</v>
      </c>
      <c r="R148" s="4">
        <v>8.1</v>
      </c>
      <c r="S148" s="4">
        <v>18.61</v>
      </c>
      <c r="T148" s="4">
        <v>-18.61</v>
      </c>
      <c r="U148" s="4">
        <v>0.31</v>
      </c>
      <c r="V148" s="4">
        <v>397.53</v>
      </c>
      <c r="W148" s="4">
        <v>104.56</v>
      </c>
      <c r="X148" s="4">
        <v>69.31</v>
      </c>
      <c r="Y148" s="4">
        <v>80.84</v>
      </c>
      <c r="Z148" s="4">
        <v>7.9</v>
      </c>
      <c r="AA148" s="4">
        <v>-0.79</v>
      </c>
      <c r="AB148" s="4">
        <v>9.3699999999999992</v>
      </c>
      <c r="AC148" s="4">
        <v>-77.08</v>
      </c>
      <c r="AD148" s="4">
        <v>980</v>
      </c>
      <c r="AE148" s="4">
        <v>8765</v>
      </c>
      <c r="AF148" s="4">
        <v>108.62</v>
      </c>
      <c r="AG148" s="4">
        <v>0.88</v>
      </c>
      <c r="AH148" s="4">
        <v>-156.69</v>
      </c>
      <c r="AI148" s="4">
        <v>71.91</v>
      </c>
      <c r="AJ148" s="4">
        <v>60</v>
      </c>
      <c r="AK148" s="4">
        <v>9</v>
      </c>
      <c r="AL148" s="4">
        <v>9</v>
      </c>
      <c r="AM148" s="4">
        <v>0.63</v>
      </c>
      <c r="AN148" s="4">
        <v>588</v>
      </c>
      <c r="AO148" s="4">
        <v>593.66999999999996</v>
      </c>
      <c r="AP148" s="4">
        <v>675850.6</v>
      </c>
      <c r="AQ148" s="4">
        <v>190517.28</v>
      </c>
      <c r="AR148" s="4" t="s">
        <v>661</v>
      </c>
      <c r="AS148" s="5">
        <f t="shared" si="0"/>
        <v>27.701673515981732</v>
      </c>
    </row>
    <row r="149" spans="1:45" ht="14.25" customHeight="1" x14ac:dyDescent="0.55000000000000004">
      <c r="A149" s="4">
        <v>0</v>
      </c>
      <c r="B149" s="4">
        <v>8.1</v>
      </c>
      <c r="C149" s="4">
        <v>1707.66</v>
      </c>
      <c r="D149" s="4">
        <v>7.8</v>
      </c>
      <c r="E149" s="4" t="s">
        <v>2918</v>
      </c>
      <c r="F149" s="4" t="s">
        <v>2333</v>
      </c>
      <c r="G149" s="4" t="s">
        <v>2333</v>
      </c>
      <c r="H149" s="4" t="s">
        <v>2919</v>
      </c>
      <c r="I149" s="4">
        <v>0</v>
      </c>
      <c r="J149" s="4">
        <v>2444.09</v>
      </c>
      <c r="K149" s="4">
        <f t="shared" si="7"/>
        <v>50.53</v>
      </c>
      <c r="L149" s="4">
        <f t="shared" si="8"/>
        <v>50.53</v>
      </c>
      <c r="M149" s="4">
        <f t="shared" si="9"/>
        <v>0</v>
      </c>
      <c r="N149" s="4">
        <v>7.57</v>
      </c>
      <c r="O149" s="4">
        <v>0</v>
      </c>
      <c r="P149" s="4">
        <v>80</v>
      </c>
      <c r="Q149" s="4">
        <v>21.1</v>
      </c>
      <c r="R149" s="4">
        <v>8.1</v>
      </c>
      <c r="S149" s="4">
        <v>18.59</v>
      </c>
      <c r="T149" s="4">
        <v>-18.59</v>
      </c>
      <c r="U149" s="4">
        <v>0.7</v>
      </c>
      <c r="V149" s="4">
        <v>1092.9000000000001</v>
      </c>
      <c r="W149" s="4">
        <v>287.75</v>
      </c>
      <c r="X149" s="4">
        <v>190.06</v>
      </c>
      <c r="Y149" s="4">
        <v>222.49</v>
      </c>
      <c r="Z149" s="4">
        <v>6.29</v>
      </c>
      <c r="AA149" s="4">
        <v>0.05</v>
      </c>
      <c r="AB149" s="4">
        <v>7.71</v>
      </c>
      <c r="AC149" s="4">
        <v>-77.25</v>
      </c>
      <c r="AD149" s="4">
        <v>980</v>
      </c>
      <c r="AE149" s="4">
        <v>8765</v>
      </c>
      <c r="AF149" s="4">
        <v>108.62</v>
      </c>
      <c r="AG149" s="4">
        <v>0.88</v>
      </c>
      <c r="AH149" s="4">
        <v>-360.51</v>
      </c>
      <c r="AI149" s="4">
        <v>84.59</v>
      </c>
      <c r="AJ149" s="4">
        <v>60</v>
      </c>
      <c r="AK149" s="4">
        <v>9</v>
      </c>
      <c r="AL149" s="4">
        <v>9</v>
      </c>
      <c r="AM149" s="4">
        <v>0.54</v>
      </c>
      <c r="AN149" s="4">
        <v>588</v>
      </c>
      <c r="AO149" s="4">
        <v>592.82000000000005</v>
      </c>
      <c r="AP149" s="4">
        <v>125848.31</v>
      </c>
      <c r="AQ149" s="4">
        <v>125848.31</v>
      </c>
      <c r="AR149" s="4" t="s">
        <v>665</v>
      </c>
      <c r="AS149" s="5">
        <f t="shared" si="0"/>
        <v>0</v>
      </c>
    </row>
    <row r="150" spans="1:45" ht="14.25" customHeight="1" x14ac:dyDescent="0.55000000000000004">
      <c r="A150" s="4">
        <v>0</v>
      </c>
      <c r="B150" s="4">
        <v>8.1</v>
      </c>
      <c r="C150" s="4">
        <v>1172.6199999999999</v>
      </c>
      <c r="D150" s="4">
        <v>7.8</v>
      </c>
      <c r="E150" s="4" t="s">
        <v>2920</v>
      </c>
      <c r="F150" s="4" t="s">
        <v>2843</v>
      </c>
      <c r="G150" s="4" t="s">
        <v>2333</v>
      </c>
      <c r="H150" s="4" t="s">
        <v>2921</v>
      </c>
      <c r="I150" s="4">
        <v>0</v>
      </c>
      <c r="J150" s="4">
        <v>2101.96</v>
      </c>
      <c r="K150" s="4">
        <f t="shared" si="7"/>
        <v>55.129999999999995</v>
      </c>
      <c r="L150" s="4">
        <f t="shared" si="8"/>
        <v>51.95</v>
      </c>
      <c r="M150" s="4">
        <f t="shared" si="9"/>
        <v>3.1799999999999926</v>
      </c>
      <c r="N150" s="4">
        <v>7.27</v>
      </c>
      <c r="O150" s="4">
        <v>0</v>
      </c>
      <c r="P150" s="4">
        <v>74</v>
      </c>
      <c r="Q150" s="4">
        <v>21.9</v>
      </c>
      <c r="R150" s="4">
        <v>8.1</v>
      </c>
      <c r="S150" s="4">
        <v>18.57</v>
      </c>
      <c r="T150" s="4">
        <v>-18.57</v>
      </c>
      <c r="U150" s="4">
        <v>0.56000000000000005</v>
      </c>
      <c r="V150" s="4">
        <v>750.48</v>
      </c>
      <c r="W150" s="4">
        <v>194.75</v>
      </c>
      <c r="X150" s="4">
        <v>119.28</v>
      </c>
      <c r="Y150" s="4">
        <v>152.83000000000001</v>
      </c>
      <c r="Z150" s="4">
        <v>5.84</v>
      </c>
      <c r="AA150" s="4">
        <v>-0.31</v>
      </c>
      <c r="AB150" s="4">
        <v>8.42</v>
      </c>
      <c r="AC150" s="4">
        <v>-77.33</v>
      </c>
      <c r="AD150" s="4">
        <v>980</v>
      </c>
      <c r="AE150" s="4">
        <v>8765</v>
      </c>
      <c r="AF150" s="4">
        <v>108.62</v>
      </c>
      <c r="AG150" s="4">
        <v>0.88</v>
      </c>
      <c r="AH150" s="4">
        <v>-245.68</v>
      </c>
      <c r="AI150" s="4">
        <v>71.91</v>
      </c>
      <c r="AJ150" s="4">
        <v>60</v>
      </c>
      <c r="AK150" s="4">
        <v>9</v>
      </c>
      <c r="AL150" s="4">
        <v>9</v>
      </c>
      <c r="AM150" s="4">
        <v>0.63</v>
      </c>
      <c r="AN150" s="4">
        <v>588</v>
      </c>
      <c r="AO150" s="4">
        <v>593.66999999999996</v>
      </c>
      <c r="AP150" s="4">
        <v>461321.05</v>
      </c>
      <c r="AQ150" s="4">
        <v>190517.28</v>
      </c>
      <c r="AR150" s="4" t="s">
        <v>1673</v>
      </c>
      <c r="AS150" s="5">
        <f t="shared" si="0"/>
        <v>15.456836187214613</v>
      </c>
    </row>
    <row r="151" spans="1:45" ht="14.25" customHeight="1" x14ac:dyDescent="0.55000000000000004">
      <c r="A151" s="4">
        <v>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f t="shared" si="7"/>
        <v>0</v>
      </c>
      <c r="L151" s="4">
        <f t="shared" si="8"/>
        <v>0</v>
      </c>
      <c r="M151" s="4">
        <f t="shared" si="9"/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5">
        <f t="shared" si="0"/>
        <v>0</v>
      </c>
    </row>
    <row r="152" spans="1:45" ht="14.25" customHeight="1" x14ac:dyDescent="0.55000000000000004">
      <c r="A152" s="4">
        <v>0</v>
      </c>
      <c r="B152" s="4">
        <v>8.1</v>
      </c>
      <c r="C152" s="4">
        <v>2575.58</v>
      </c>
      <c r="D152" s="4">
        <v>7.8</v>
      </c>
      <c r="E152" s="4" t="s">
        <v>2922</v>
      </c>
      <c r="F152" s="4" t="s">
        <v>2333</v>
      </c>
      <c r="G152" s="4" t="s">
        <v>2333</v>
      </c>
      <c r="H152" s="4" t="s">
        <v>2923</v>
      </c>
      <c r="I152" s="4">
        <v>0</v>
      </c>
      <c r="J152" s="4">
        <v>2467.5500000000002</v>
      </c>
      <c r="K152" s="4">
        <f t="shared" si="7"/>
        <v>47.56</v>
      </c>
      <c r="L152" s="4">
        <f t="shared" si="8"/>
        <v>47.56</v>
      </c>
      <c r="M152" s="4">
        <f t="shared" si="9"/>
        <v>0</v>
      </c>
      <c r="N152" s="4">
        <v>7.56</v>
      </c>
      <c r="O152" s="4">
        <v>0</v>
      </c>
      <c r="P152" s="4">
        <v>73</v>
      </c>
      <c r="Q152" s="4">
        <v>21.5</v>
      </c>
      <c r="R152" s="4">
        <v>8.1</v>
      </c>
      <c r="S152" s="4">
        <v>18.07</v>
      </c>
      <c r="T152" s="4">
        <v>-18.07</v>
      </c>
      <c r="U152" s="4">
        <v>1.04</v>
      </c>
      <c r="V152" s="4">
        <v>1648.37</v>
      </c>
      <c r="W152" s="4">
        <v>433.2</v>
      </c>
      <c r="X152" s="4">
        <v>283.11</v>
      </c>
      <c r="Y152" s="4">
        <v>335.64</v>
      </c>
      <c r="Z152" s="4">
        <v>9.41</v>
      </c>
      <c r="AA152" s="4">
        <v>0.38</v>
      </c>
      <c r="AB152" s="4">
        <v>7.04</v>
      </c>
      <c r="AC152" s="4">
        <v>-81.27</v>
      </c>
      <c r="AD152" s="4">
        <v>980</v>
      </c>
      <c r="AE152" s="4">
        <v>8765</v>
      </c>
      <c r="AF152" s="4">
        <v>108.62</v>
      </c>
      <c r="AG152" s="4">
        <v>0.88</v>
      </c>
      <c r="AH152" s="4">
        <v>2481</v>
      </c>
      <c r="AI152" s="4">
        <v>134.31</v>
      </c>
      <c r="AJ152" s="4">
        <v>60</v>
      </c>
      <c r="AK152" s="4">
        <v>9</v>
      </c>
      <c r="AL152" s="4">
        <v>9</v>
      </c>
      <c r="AM152" s="4">
        <v>0.34</v>
      </c>
      <c r="AN152" s="4">
        <v>588</v>
      </c>
      <c r="AO152" s="4">
        <v>591.03</v>
      </c>
      <c r="AP152" s="4">
        <v>93040.81</v>
      </c>
      <c r="AQ152" s="4">
        <v>93040.81</v>
      </c>
      <c r="AR152" s="4" t="s">
        <v>670</v>
      </c>
      <c r="AS152" s="5">
        <f t="shared" si="0"/>
        <v>0</v>
      </c>
    </row>
    <row r="153" spans="1:45" ht="14.25" customHeight="1" x14ac:dyDescent="0.55000000000000004">
      <c r="A153" s="4">
        <v>0</v>
      </c>
      <c r="B153" s="4">
        <v>8.1</v>
      </c>
      <c r="C153" s="4">
        <v>3204.8</v>
      </c>
      <c r="D153" s="4">
        <v>7.8</v>
      </c>
      <c r="E153" s="4" t="s">
        <v>2924</v>
      </c>
      <c r="F153" s="4" t="s">
        <v>2333</v>
      </c>
      <c r="G153" s="4" t="s">
        <v>2333</v>
      </c>
      <c r="H153" s="4" t="s">
        <v>2925</v>
      </c>
      <c r="I153" s="4">
        <v>0</v>
      </c>
      <c r="J153" s="4">
        <v>2476.2800000000002</v>
      </c>
      <c r="K153" s="4">
        <f t="shared" si="7"/>
        <v>46.49</v>
      </c>
      <c r="L153" s="4">
        <f t="shared" si="8"/>
        <v>46.49</v>
      </c>
      <c r="M153" s="4">
        <f t="shared" si="9"/>
        <v>0</v>
      </c>
      <c r="N153" s="4">
        <v>7.56</v>
      </c>
      <c r="O153" s="4">
        <v>0</v>
      </c>
      <c r="P153" s="4">
        <v>68</v>
      </c>
      <c r="Q153" s="4">
        <v>22</v>
      </c>
      <c r="R153" s="4">
        <v>8.1</v>
      </c>
      <c r="S153" s="4">
        <v>17.88</v>
      </c>
      <c r="T153" s="4">
        <v>-17.88</v>
      </c>
      <c r="U153" s="4">
        <v>1.29</v>
      </c>
      <c r="V153" s="4">
        <v>2051.0700000000002</v>
      </c>
      <c r="W153" s="4">
        <v>538.66999999999996</v>
      </c>
      <c r="X153" s="4">
        <v>350.66</v>
      </c>
      <c r="Y153" s="4">
        <v>417.67</v>
      </c>
      <c r="Z153" s="4">
        <v>11.66</v>
      </c>
      <c r="AA153" s="4">
        <v>0.56000000000000005</v>
      </c>
      <c r="AB153" s="4">
        <v>6.69</v>
      </c>
      <c r="AC153" s="4">
        <v>-82.83</v>
      </c>
      <c r="AD153" s="4">
        <v>980</v>
      </c>
      <c r="AE153" s="4">
        <v>8765</v>
      </c>
      <c r="AF153" s="4">
        <v>108.62</v>
      </c>
      <c r="AG153" s="4">
        <v>0.88</v>
      </c>
      <c r="AH153" s="4">
        <v>369.22</v>
      </c>
      <c r="AI153" s="4">
        <v>170.3</v>
      </c>
      <c r="AJ153" s="4">
        <v>60</v>
      </c>
      <c r="AK153" s="4">
        <v>9</v>
      </c>
      <c r="AL153" s="4">
        <v>9</v>
      </c>
      <c r="AM153" s="4">
        <v>0.27</v>
      </c>
      <c r="AN153" s="4">
        <v>588</v>
      </c>
      <c r="AO153" s="4">
        <v>590.39</v>
      </c>
      <c r="AP153" s="4">
        <v>81247.350000000006</v>
      </c>
      <c r="AQ153" s="4">
        <v>81247.350000000006</v>
      </c>
      <c r="AR153" s="4" t="s">
        <v>675</v>
      </c>
      <c r="AS153" s="5">
        <f t="shared" si="0"/>
        <v>0</v>
      </c>
    </row>
    <row r="154" spans="1:45" ht="14.25" customHeight="1" x14ac:dyDescent="0.55000000000000004">
      <c r="A154" s="4">
        <v>0</v>
      </c>
      <c r="B154" s="4">
        <v>8.1</v>
      </c>
      <c r="C154" s="4">
        <v>1864.14</v>
      </c>
      <c r="D154" s="4">
        <v>7.8</v>
      </c>
      <c r="E154" s="4" t="s">
        <v>2926</v>
      </c>
      <c r="F154" s="4" t="s">
        <v>2333</v>
      </c>
      <c r="G154" s="4" t="s">
        <v>2333</v>
      </c>
      <c r="H154" s="4" t="s">
        <v>2927</v>
      </c>
      <c r="I154" s="4">
        <v>0</v>
      </c>
      <c r="J154" s="4">
        <v>2450.0500000000002</v>
      </c>
      <c r="K154" s="4">
        <f t="shared" si="7"/>
        <v>49.76</v>
      </c>
      <c r="L154" s="4">
        <f t="shared" si="8"/>
        <v>49.76</v>
      </c>
      <c r="M154" s="4">
        <f t="shared" si="9"/>
        <v>0</v>
      </c>
      <c r="N154" s="4">
        <v>7.57</v>
      </c>
      <c r="O154" s="4">
        <v>0</v>
      </c>
      <c r="P154" s="4">
        <v>79</v>
      </c>
      <c r="Q154" s="4">
        <v>21.5</v>
      </c>
      <c r="R154" s="4">
        <v>8.1</v>
      </c>
      <c r="S154" s="4">
        <v>18.84</v>
      </c>
      <c r="T154" s="4">
        <v>-18.84</v>
      </c>
      <c r="U154" s="4">
        <v>0.76</v>
      </c>
      <c r="V154" s="4">
        <v>1193.05</v>
      </c>
      <c r="W154" s="4">
        <v>313.97000000000003</v>
      </c>
      <c r="X154" s="4">
        <v>206.81</v>
      </c>
      <c r="Y154" s="4">
        <v>242.89</v>
      </c>
      <c r="Z154" s="4">
        <v>6.86</v>
      </c>
      <c r="AA154" s="4">
        <v>0.12</v>
      </c>
      <c r="AB154" s="4">
        <v>7.57</v>
      </c>
      <c r="AC154" s="4">
        <v>-75.41</v>
      </c>
      <c r="AD154" s="4">
        <v>980</v>
      </c>
      <c r="AE154" s="4">
        <v>8765</v>
      </c>
      <c r="AF154" s="4">
        <v>108.62</v>
      </c>
      <c r="AG154" s="4">
        <v>0.88</v>
      </c>
      <c r="AH154" s="4">
        <v>-454.23</v>
      </c>
      <c r="AI154" s="4">
        <v>93.57</v>
      </c>
      <c r="AJ154" s="4">
        <v>60</v>
      </c>
      <c r="AK154" s="4">
        <v>9</v>
      </c>
      <c r="AL154" s="4">
        <v>9</v>
      </c>
      <c r="AM154" s="4">
        <v>0.48</v>
      </c>
      <c r="AN154" s="4">
        <v>588</v>
      </c>
      <c r="AO154" s="4">
        <v>592.35</v>
      </c>
      <c r="AP154" s="4">
        <v>117344.72</v>
      </c>
      <c r="AQ154" s="4">
        <v>117344.72</v>
      </c>
      <c r="AR154" s="4" t="s">
        <v>679</v>
      </c>
      <c r="AS154" s="5">
        <f t="shared" si="0"/>
        <v>0</v>
      </c>
    </row>
    <row r="155" spans="1:45" ht="14.25" customHeight="1" x14ac:dyDescent="0.55000000000000004">
      <c r="A155" s="4">
        <v>0</v>
      </c>
      <c r="B155" s="4">
        <v>8.1</v>
      </c>
      <c r="C155" s="4">
        <v>2874.63</v>
      </c>
      <c r="D155" s="4">
        <v>7.8</v>
      </c>
      <c r="E155" s="4" t="s">
        <v>2928</v>
      </c>
      <c r="F155" s="4" t="s">
        <v>2333</v>
      </c>
      <c r="G155" s="4" t="s">
        <v>2333</v>
      </c>
      <c r="H155" s="4" t="s">
        <v>2929</v>
      </c>
      <c r="I155" s="4">
        <v>0</v>
      </c>
      <c r="J155" s="4">
        <v>2472.1999999999998</v>
      </c>
      <c r="K155" s="4">
        <f t="shared" si="7"/>
        <v>46.99</v>
      </c>
      <c r="L155" s="4">
        <f t="shared" si="8"/>
        <v>46.99</v>
      </c>
      <c r="M155" s="4">
        <f t="shared" si="9"/>
        <v>0</v>
      </c>
      <c r="N155" s="4">
        <v>7.56</v>
      </c>
      <c r="O155" s="4">
        <v>0</v>
      </c>
      <c r="P155" s="4">
        <v>73</v>
      </c>
      <c r="Q155" s="4">
        <v>21.8</v>
      </c>
      <c r="R155" s="4">
        <v>8.1</v>
      </c>
      <c r="S155" s="4">
        <v>18.350000000000001</v>
      </c>
      <c r="T155" s="4">
        <v>-18.350000000000001</v>
      </c>
      <c r="U155" s="4">
        <v>1.1599999999999999</v>
      </c>
      <c r="V155" s="4">
        <v>1839.76</v>
      </c>
      <c r="W155" s="4">
        <v>483.32</v>
      </c>
      <c r="X155" s="4">
        <v>315.20999999999998</v>
      </c>
      <c r="Y155" s="4">
        <v>374.63</v>
      </c>
      <c r="Z155" s="4">
        <v>10.48</v>
      </c>
      <c r="AA155" s="4">
        <v>0.47</v>
      </c>
      <c r="AB155" s="4">
        <v>6.86</v>
      </c>
      <c r="AC155" s="4">
        <v>-79.03</v>
      </c>
      <c r="AD155" s="4">
        <v>980</v>
      </c>
      <c r="AE155" s="4">
        <v>8765</v>
      </c>
      <c r="AF155" s="4">
        <v>108.62</v>
      </c>
      <c r="AG155" s="4">
        <v>0.88</v>
      </c>
      <c r="AH155" s="4">
        <v>667.29</v>
      </c>
      <c r="AI155" s="4">
        <v>151.41999999999999</v>
      </c>
      <c r="AJ155" s="4">
        <v>60</v>
      </c>
      <c r="AK155" s="4">
        <v>9</v>
      </c>
      <c r="AL155" s="4">
        <v>9</v>
      </c>
      <c r="AM155" s="4">
        <v>0.3</v>
      </c>
      <c r="AN155" s="4">
        <v>588</v>
      </c>
      <c r="AO155" s="4">
        <v>590.69000000000005</v>
      </c>
      <c r="AP155" s="4">
        <v>86735.58</v>
      </c>
      <c r="AQ155" s="4">
        <v>86735.58</v>
      </c>
      <c r="AR155" s="4" t="s">
        <v>683</v>
      </c>
      <c r="AS155" s="5">
        <f t="shared" si="0"/>
        <v>0</v>
      </c>
    </row>
    <row r="156" spans="1:45" ht="14.25" customHeight="1" x14ac:dyDescent="0.55000000000000004">
      <c r="A156" s="4">
        <v>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f t="shared" si="7"/>
        <v>0</v>
      </c>
      <c r="L156" s="4">
        <f t="shared" si="8"/>
        <v>0</v>
      </c>
      <c r="M156" s="4">
        <f t="shared" si="9"/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5">
        <f t="shared" si="0"/>
        <v>0</v>
      </c>
    </row>
    <row r="157" spans="1:45" ht="14.25" customHeight="1" x14ac:dyDescent="0.55000000000000004">
      <c r="A157" s="4">
        <v>0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f t="shared" si="7"/>
        <v>0</v>
      </c>
      <c r="L157" s="4">
        <f t="shared" si="8"/>
        <v>0</v>
      </c>
      <c r="M157" s="4">
        <f t="shared" si="9"/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5">
        <f t="shared" si="0"/>
        <v>0</v>
      </c>
    </row>
    <row r="158" spans="1:45" ht="14.25" customHeight="1" x14ac:dyDescent="0.55000000000000004">
      <c r="A158" s="4">
        <v>0</v>
      </c>
      <c r="B158" s="4">
        <v>8.1</v>
      </c>
      <c r="C158" s="4">
        <v>1398.71</v>
      </c>
      <c r="D158" s="4">
        <v>7.8</v>
      </c>
      <c r="E158" s="4" t="s">
        <v>2930</v>
      </c>
      <c r="F158" s="4" t="s">
        <v>2333</v>
      </c>
      <c r="G158" s="4" t="s">
        <v>2333</v>
      </c>
      <c r="H158" s="4" t="s">
        <v>55</v>
      </c>
      <c r="I158" s="4">
        <v>0</v>
      </c>
      <c r="J158" s="4">
        <v>2427.9699999999998</v>
      </c>
      <c r="K158" s="4">
        <f t="shared" si="7"/>
        <v>52.66</v>
      </c>
      <c r="L158" s="4">
        <f t="shared" si="8"/>
        <v>52.66</v>
      </c>
      <c r="M158" s="4">
        <f t="shared" si="9"/>
        <v>0</v>
      </c>
      <c r="N158" s="4">
        <v>7.57</v>
      </c>
      <c r="O158" s="4">
        <v>0</v>
      </c>
      <c r="P158" s="4">
        <v>64</v>
      </c>
      <c r="Q158" s="4">
        <v>19.2</v>
      </c>
      <c r="R158" s="4">
        <v>8.1</v>
      </c>
      <c r="S158" s="4">
        <v>14.79</v>
      </c>
      <c r="T158" s="4">
        <v>-14.79</v>
      </c>
      <c r="U158" s="4">
        <v>0.57999999999999996</v>
      </c>
      <c r="V158" s="4">
        <v>895.18</v>
      </c>
      <c r="W158" s="4">
        <v>235.99</v>
      </c>
      <c r="X158" s="4">
        <v>157.01</v>
      </c>
      <c r="Y158" s="4">
        <v>182.21</v>
      </c>
      <c r="Z158" s="4">
        <v>5.18</v>
      </c>
      <c r="AA158" s="4">
        <v>-0.11</v>
      </c>
      <c r="AB158" s="4">
        <v>8.0299999999999994</v>
      </c>
      <c r="AC158" s="4">
        <v>-121.05</v>
      </c>
      <c r="AD158" s="4">
        <v>980</v>
      </c>
      <c r="AE158" s="4">
        <v>8765</v>
      </c>
      <c r="AF158" s="4">
        <v>108.62</v>
      </c>
      <c r="AG158" s="4">
        <v>0.88</v>
      </c>
      <c r="AH158" s="4">
        <v>-256.24</v>
      </c>
      <c r="AI158" s="4">
        <v>66.83</v>
      </c>
      <c r="AJ158" s="4">
        <v>60</v>
      </c>
      <c r="AK158" s="4">
        <v>9</v>
      </c>
      <c r="AL158" s="4">
        <v>9</v>
      </c>
      <c r="AM158" s="4">
        <v>0.68</v>
      </c>
      <c r="AN158" s="4">
        <v>588</v>
      </c>
      <c r="AO158" s="4">
        <v>594.1</v>
      </c>
      <c r="AP158" s="4">
        <v>149401.44</v>
      </c>
      <c r="AQ158" s="4">
        <v>149401.44</v>
      </c>
      <c r="AR158" s="4" t="s">
        <v>697</v>
      </c>
      <c r="AS158" s="5">
        <f t="shared" si="0"/>
        <v>0</v>
      </c>
    </row>
    <row r="159" spans="1:45" ht="14.25" customHeight="1" x14ac:dyDescent="0.55000000000000004">
      <c r="A159" s="4">
        <v>0</v>
      </c>
      <c r="B159" s="4">
        <v>8.1</v>
      </c>
      <c r="C159" s="4">
        <v>2045.75</v>
      </c>
      <c r="D159" s="4">
        <v>7.8</v>
      </c>
      <c r="E159" s="4" t="s">
        <v>2931</v>
      </c>
      <c r="F159" s="4" t="s">
        <v>2333</v>
      </c>
      <c r="G159" s="4" t="s">
        <v>2333</v>
      </c>
      <c r="H159" s="4" t="s">
        <v>750</v>
      </c>
      <c r="I159" s="4">
        <v>0</v>
      </c>
      <c r="J159" s="4">
        <v>2455.75</v>
      </c>
      <c r="K159" s="4">
        <f t="shared" si="7"/>
        <v>49.03</v>
      </c>
      <c r="L159" s="4">
        <f t="shared" si="8"/>
        <v>49.03</v>
      </c>
      <c r="M159" s="4">
        <f t="shared" si="9"/>
        <v>0</v>
      </c>
      <c r="N159" s="4">
        <v>7.56</v>
      </c>
      <c r="O159" s="4">
        <v>0</v>
      </c>
      <c r="P159" s="4">
        <v>74</v>
      </c>
      <c r="Q159" s="4">
        <v>18.8</v>
      </c>
      <c r="R159" s="4">
        <v>8.1</v>
      </c>
      <c r="S159" s="4">
        <v>15.65</v>
      </c>
      <c r="T159" s="4">
        <v>-15.65</v>
      </c>
      <c r="U159" s="4">
        <v>0.83</v>
      </c>
      <c r="V159" s="4">
        <v>1309.28</v>
      </c>
      <c r="W159" s="4">
        <v>344.4</v>
      </c>
      <c r="X159" s="4">
        <v>226.28</v>
      </c>
      <c r="Y159" s="4">
        <v>266.57</v>
      </c>
      <c r="Z159" s="4">
        <v>7.51</v>
      </c>
      <c r="AA159" s="4">
        <v>0.19</v>
      </c>
      <c r="AB159" s="4">
        <v>7.42</v>
      </c>
      <c r="AC159" s="4">
        <v>-107.29</v>
      </c>
      <c r="AD159" s="4">
        <v>980</v>
      </c>
      <c r="AE159" s="4">
        <v>8765</v>
      </c>
      <c r="AF159" s="4">
        <v>108.62</v>
      </c>
      <c r="AG159" s="4">
        <v>0.88</v>
      </c>
      <c r="AH159" s="4">
        <v>-650.62</v>
      </c>
      <c r="AI159" s="4">
        <v>103.98</v>
      </c>
      <c r="AJ159" s="4">
        <v>60</v>
      </c>
      <c r="AK159" s="4">
        <v>9</v>
      </c>
      <c r="AL159" s="4">
        <v>9</v>
      </c>
      <c r="AM159" s="4">
        <v>0.44</v>
      </c>
      <c r="AN159" s="4">
        <v>588</v>
      </c>
      <c r="AO159" s="4">
        <v>591.91999999999996</v>
      </c>
      <c r="AP159" s="4">
        <v>109323.36</v>
      </c>
      <c r="AQ159" s="4">
        <v>109323.36</v>
      </c>
      <c r="AR159" s="4" t="s">
        <v>702</v>
      </c>
      <c r="AS159" s="5">
        <f t="shared" si="0"/>
        <v>0</v>
      </c>
    </row>
    <row r="160" spans="1:45" ht="14.25" customHeight="1" x14ac:dyDescent="0.55000000000000004">
      <c r="A160" s="4">
        <v>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f t="shared" si="7"/>
        <v>0</v>
      </c>
      <c r="L160" s="4">
        <f t="shared" si="8"/>
        <v>0</v>
      </c>
      <c r="M160" s="4">
        <f t="shared" si="9"/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5">
        <f t="shared" si="0"/>
        <v>0</v>
      </c>
    </row>
    <row r="161" spans="1:45" ht="14.25" customHeight="1" x14ac:dyDescent="0.55000000000000004">
      <c r="A161" s="4">
        <v>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f t="shared" si="7"/>
        <v>0</v>
      </c>
      <c r="L161" s="4">
        <f t="shared" si="8"/>
        <v>0</v>
      </c>
      <c r="M161" s="4">
        <f t="shared" si="9"/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5">
        <f t="shared" si="0"/>
        <v>0</v>
      </c>
    </row>
    <row r="162" spans="1:45" ht="14.25" customHeight="1" x14ac:dyDescent="0.55000000000000004">
      <c r="A162" s="4">
        <v>0</v>
      </c>
      <c r="B162" s="4">
        <v>8.1</v>
      </c>
      <c r="C162" s="4">
        <v>1454.97</v>
      </c>
      <c r="D162" s="4">
        <v>7.8</v>
      </c>
      <c r="E162" s="4" t="s">
        <v>2932</v>
      </c>
      <c r="F162" s="4" t="s">
        <v>2333</v>
      </c>
      <c r="G162" s="4" t="s">
        <v>2333</v>
      </c>
      <c r="H162" s="4" t="s">
        <v>2933</v>
      </c>
      <c r="I162" s="4">
        <v>0</v>
      </c>
      <c r="J162" s="4">
        <v>2431.4699999999998</v>
      </c>
      <c r="K162" s="4">
        <f t="shared" si="7"/>
        <v>52.19</v>
      </c>
      <c r="L162" s="4">
        <f t="shared" si="8"/>
        <v>52.19</v>
      </c>
      <c r="M162" s="4">
        <f t="shared" si="9"/>
        <v>0</v>
      </c>
      <c r="N162" s="4">
        <v>7.57</v>
      </c>
      <c r="O162" s="4">
        <v>0</v>
      </c>
      <c r="P162" s="4">
        <v>67</v>
      </c>
      <c r="Q162" s="4">
        <v>19.600000000000001</v>
      </c>
      <c r="R162" s="4">
        <v>8.1</v>
      </c>
      <c r="S162" s="4">
        <v>15.53</v>
      </c>
      <c r="T162" s="4">
        <v>-15.53</v>
      </c>
      <c r="U162" s="4">
        <v>0.6</v>
      </c>
      <c r="V162" s="4">
        <v>931.18</v>
      </c>
      <c r="W162" s="4">
        <v>245.42</v>
      </c>
      <c r="X162" s="4">
        <v>163.02000000000001</v>
      </c>
      <c r="Y162" s="4">
        <v>189.54</v>
      </c>
      <c r="Z162" s="4">
        <v>5.38</v>
      </c>
      <c r="AA162" s="4">
        <v>-0.08</v>
      </c>
      <c r="AB162" s="4">
        <v>7.96</v>
      </c>
      <c r="AC162" s="4">
        <v>-108.97</v>
      </c>
      <c r="AD162" s="4">
        <v>980</v>
      </c>
      <c r="AE162" s="4">
        <v>8765</v>
      </c>
      <c r="AF162" s="4">
        <v>108.62</v>
      </c>
      <c r="AG162" s="4">
        <v>0.88</v>
      </c>
      <c r="AH162" s="4">
        <v>-270.48</v>
      </c>
      <c r="AI162" s="4">
        <v>70.069999999999993</v>
      </c>
      <c r="AJ162" s="4">
        <v>60</v>
      </c>
      <c r="AK162" s="4">
        <v>9</v>
      </c>
      <c r="AL162" s="4">
        <v>9</v>
      </c>
      <c r="AM162" s="4">
        <v>0.65</v>
      </c>
      <c r="AN162" s="4">
        <v>588</v>
      </c>
      <c r="AO162" s="4">
        <v>593.82000000000005</v>
      </c>
      <c r="AP162" s="4">
        <v>144215.87</v>
      </c>
      <c r="AQ162" s="4">
        <v>144215.87</v>
      </c>
      <c r="AR162" s="4" t="s">
        <v>717</v>
      </c>
      <c r="AS162" s="5">
        <f t="shared" si="0"/>
        <v>0</v>
      </c>
    </row>
    <row r="163" spans="1:45" ht="14.25" customHeight="1" x14ac:dyDescent="0.55000000000000004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f t="shared" si="7"/>
        <v>0</v>
      </c>
      <c r="L163" s="4">
        <f t="shared" si="8"/>
        <v>0</v>
      </c>
      <c r="M163" s="4">
        <f t="shared" si="9"/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5">
        <f t="shared" si="0"/>
        <v>0</v>
      </c>
    </row>
    <row r="164" spans="1:45" ht="14.25" customHeight="1" x14ac:dyDescent="0.55000000000000004">
      <c r="A164" s="4">
        <v>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f t="shared" si="7"/>
        <v>0</v>
      </c>
      <c r="L164" s="4">
        <f t="shared" si="8"/>
        <v>0</v>
      </c>
      <c r="M164" s="4">
        <f t="shared" si="9"/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5">
        <f t="shared" si="0"/>
        <v>0</v>
      </c>
    </row>
    <row r="165" spans="1:45" ht="14.25" customHeight="1" x14ac:dyDescent="0.55000000000000004">
      <c r="A165" s="4">
        <v>0</v>
      </c>
      <c r="B165" s="4">
        <v>8.1</v>
      </c>
      <c r="C165" s="4">
        <v>2400.42</v>
      </c>
      <c r="D165" s="4">
        <v>7.8</v>
      </c>
      <c r="E165" s="4" t="s">
        <v>2934</v>
      </c>
      <c r="F165" s="4" t="s">
        <v>2333</v>
      </c>
      <c r="G165" s="4" t="s">
        <v>2333</v>
      </c>
      <c r="H165" s="4" t="s">
        <v>2935</v>
      </c>
      <c r="I165" s="4">
        <v>0</v>
      </c>
      <c r="J165" s="4">
        <v>2464.2600000000002</v>
      </c>
      <c r="K165" s="4">
        <f t="shared" si="7"/>
        <v>47.97</v>
      </c>
      <c r="L165" s="4">
        <f t="shared" si="8"/>
        <v>47.97</v>
      </c>
      <c r="M165" s="4">
        <f t="shared" si="9"/>
        <v>0</v>
      </c>
      <c r="N165" s="4">
        <v>7.56</v>
      </c>
      <c r="O165" s="4">
        <v>0</v>
      </c>
      <c r="P165" s="4">
        <v>81</v>
      </c>
      <c r="Q165" s="4">
        <v>18.8</v>
      </c>
      <c r="R165" s="4">
        <v>8.1</v>
      </c>
      <c r="S165" s="4">
        <v>16.5</v>
      </c>
      <c r="T165" s="4">
        <v>-16.5</v>
      </c>
      <c r="U165" s="4">
        <v>0.97</v>
      </c>
      <c r="V165" s="4">
        <v>1536.27</v>
      </c>
      <c r="W165" s="4">
        <v>403.84</v>
      </c>
      <c r="X165" s="4">
        <v>264.32</v>
      </c>
      <c r="Y165" s="4">
        <v>312.81</v>
      </c>
      <c r="Z165" s="4">
        <v>8.7799999999999994</v>
      </c>
      <c r="AA165" s="4">
        <v>0.32</v>
      </c>
      <c r="AB165" s="4">
        <v>7.16</v>
      </c>
      <c r="AC165" s="4">
        <v>-96.45</v>
      </c>
      <c r="AD165" s="4">
        <v>980</v>
      </c>
      <c r="AE165" s="4">
        <v>8765</v>
      </c>
      <c r="AF165" s="4">
        <v>108.62</v>
      </c>
      <c r="AG165" s="4">
        <v>0.88</v>
      </c>
      <c r="AH165" s="4">
        <v>-4193.3</v>
      </c>
      <c r="AI165" s="4">
        <v>124.29</v>
      </c>
      <c r="AJ165" s="4">
        <v>60</v>
      </c>
      <c r="AK165" s="4">
        <v>9</v>
      </c>
      <c r="AL165" s="4">
        <v>9</v>
      </c>
      <c r="AM165" s="4">
        <v>0.36</v>
      </c>
      <c r="AN165" s="4">
        <v>588</v>
      </c>
      <c r="AO165" s="4">
        <v>591.28</v>
      </c>
      <c r="AP165" s="4">
        <v>97542.05</v>
      </c>
      <c r="AQ165" s="4">
        <v>97542.05</v>
      </c>
      <c r="AR165" s="4" t="s">
        <v>730</v>
      </c>
      <c r="AS165" s="5">
        <f t="shared" si="0"/>
        <v>0</v>
      </c>
    </row>
    <row r="166" spans="1:45" ht="14.25" customHeight="1" x14ac:dyDescent="0.55000000000000004">
      <c r="A166" s="4">
        <v>0</v>
      </c>
      <c r="B166" s="4">
        <v>8.1</v>
      </c>
      <c r="C166" s="4">
        <v>1307.6099999999999</v>
      </c>
      <c r="D166" s="4">
        <v>7.8</v>
      </c>
      <c r="E166" s="4" t="s">
        <v>2936</v>
      </c>
      <c r="F166" s="4" t="s">
        <v>2333</v>
      </c>
      <c r="G166" s="4" t="s">
        <v>2333</v>
      </c>
      <c r="H166" s="4" t="s">
        <v>2937</v>
      </c>
      <c r="I166" s="4">
        <v>0</v>
      </c>
      <c r="J166" s="4">
        <v>2421.58</v>
      </c>
      <c r="K166" s="4">
        <f t="shared" si="7"/>
        <v>53.53</v>
      </c>
      <c r="L166" s="4">
        <f t="shared" si="8"/>
        <v>53.53</v>
      </c>
      <c r="M166" s="4">
        <f t="shared" si="9"/>
        <v>0</v>
      </c>
      <c r="N166" s="4">
        <v>7.57</v>
      </c>
      <c r="O166" s="4">
        <v>0</v>
      </c>
      <c r="P166" s="4">
        <v>64</v>
      </c>
      <c r="Q166" s="4">
        <v>19.600000000000001</v>
      </c>
      <c r="R166" s="4">
        <v>8.1</v>
      </c>
      <c r="S166" s="4">
        <v>15.16</v>
      </c>
      <c r="T166" s="4">
        <v>-15.16</v>
      </c>
      <c r="U166" s="4">
        <v>0.54</v>
      </c>
      <c r="V166" s="4">
        <v>836.87</v>
      </c>
      <c r="W166" s="4">
        <v>220.74</v>
      </c>
      <c r="X166" s="4">
        <v>147.29</v>
      </c>
      <c r="Y166" s="4">
        <v>170.33</v>
      </c>
      <c r="Z166" s="4">
        <v>4.8499999999999996</v>
      </c>
      <c r="AA166" s="4">
        <v>-0.17</v>
      </c>
      <c r="AB166" s="4">
        <v>8.14</v>
      </c>
      <c r="AC166" s="4">
        <v>-114.79</v>
      </c>
      <c r="AD166" s="4">
        <v>980</v>
      </c>
      <c r="AE166" s="4">
        <v>8765</v>
      </c>
      <c r="AF166" s="4">
        <v>108.62</v>
      </c>
      <c r="AG166" s="4">
        <v>0.88</v>
      </c>
      <c r="AH166" s="4">
        <v>-236.13</v>
      </c>
      <c r="AI166" s="4">
        <v>61.58</v>
      </c>
      <c r="AJ166" s="4">
        <v>60</v>
      </c>
      <c r="AK166" s="4">
        <v>9</v>
      </c>
      <c r="AL166" s="4">
        <v>9</v>
      </c>
      <c r="AM166" s="4">
        <v>0.74</v>
      </c>
      <c r="AN166" s="4">
        <v>588</v>
      </c>
      <c r="AO166" s="4">
        <v>594.62</v>
      </c>
      <c r="AP166" s="4">
        <v>158967.29</v>
      </c>
      <c r="AQ166" s="4">
        <v>158967.29</v>
      </c>
      <c r="AR166" s="4" t="s">
        <v>735</v>
      </c>
      <c r="AS166" s="5">
        <f t="shared" si="0"/>
        <v>0</v>
      </c>
    </row>
    <row r="167" spans="1:45" ht="14.25" customHeight="1" x14ac:dyDescent="0.55000000000000004">
      <c r="A167" s="4">
        <v>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f t="shared" si="7"/>
        <v>0</v>
      </c>
      <c r="L167" s="4">
        <f t="shared" si="8"/>
        <v>0</v>
      </c>
      <c r="M167" s="4">
        <f t="shared" si="9"/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5">
        <f t="shared" si="0"/>
        <v>0</v>
      </c>
    </row>
    <row r="168" spans="1:45" ht="14.25" customHeight="1" x14ac:dyDescent="0.55000000000000004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f t="shared" si="7"/>
        <v>0</v>
      </c>
      <c r="L168" s="4">
        <f t="shared" si="8"/>
        <v>0</v>
      </c>
      <c r="M168" s="4">
        <f t="shared" si="9"/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5">
        <f t="shared" si="0"/>
        <v>0</v>
      </c>
    </row>
    <row r="169" spans="1:45" ht="14.25" customHeight="1" x14ac:dyDescent="0.55000000000000004">
      <c r="A169" s="4">
        <v>0</v>
      </c>
      <c r="B169" s="4">
        <v>8.1</v>
      </c>
      <c r="C169" s="4">
        <v>1775.22</v>
      </c>
      <c r="D169" s="4">
        <v>7.8</v>
      </c>
      <c r="E169" s="4" t="s">
        <v>2938</v>
      </c>
      <c r="F169" s="4" t="s">
        <v>2333</v>
      </c>
      <c r="G169" s="4" t="s">
        <v>2333</v>
      </c>
      <c r="H169" s="4" t="s">
        <v>2939</v>
      </c>
      <c r="I169" s="4">
        <v>0</v>
      </c>
      <c r="J169" s="4">
        <v>2446.8000000000002</v>
      </c>
      <c r="K169" s="4">
        <f t="shared" si="7"/>
        <v>50.18</v>
      </c>
      <c r="L169" s="4">
        <f t="shared" si="8"/>
        <v>50.18</v>
      </c>
      <c r="M169" s="4">
        <f t="shared" si="9"/>
        <v>0</v>
      </c>
      <c r="N169" s="4">
        <v>7.57</v>
      </c>
      <c r="O169" s="4">
        <v>0</v>
      </c>
      <c r="P169" s="4">
        <v>70</v>
      </c>
      <c r="Q169" s="4">
        <v>22.2</v>
      </c>
      <c r="R169" s="4">
        <v>8.1</v>
      </c>
      <c r="S169" s="4">
        <v>18.329999999999998</v>
      </c>
      <c r="T169" s="4">
        <v>-18.329999999999998</v>
      </c>
      <c r="U169" s="4">
        <v>0.73</v>
      </c>
      <c r="V169" s="4">
        <v>1136.1400000000001</v>
      </c>
      <c r="W169" s="4">
        <v>299.07</v>
      </c>
      <c r="X169" s="4">
        <v>197.29</v>
      </c>
      <c r="Y169" s="4">
        <v>231.3</v>
      </c>
      <c r="Z169" s="4">
        <v>6.54</v>
      </c>
      <c r="AA169" s="4">
        <v>0.08</v>
      </c>
      <c r="AB169" s="4">
        <v>7.64</v>
      </c>
      <c r="AC169" s="4">
        <v>-79.180000000000007</v>
      </c>
      <c r="AD169" s="4">
        <v>980</v>
      </c>
      <c r="AE169" s="4">
        <v>8765</v>
      </c>
      <c r="AF169" s="4">
        <v>108.62</v>
      </c>
      <c r="AG169" s="4">
        <v>0.88</v>
      </c>
      <c r="AH169" s="4">
        <v>-395.76</v>
      </c>
      <c r="AI169" s="4">
        <v>88.47</v>
      </c>
      <c r="AJ169" s="4">
        <v>60</v>
      </c>
      <c r="AK169" s="4">
        <v>9</v>
      </c>
      <c r="AL169" s="4">
        <v>9</v>
      </c>
      <c r="AM169" s="4">
        <v>0.51</v>
      </c>
      <c r="AN169" s="4">
        <v>588</v>
      </c>
      <c r="AO169" s="4">
        <v>592.61</v>
      </c>
      <c r="AP169" s="4">
        <v>121964.17</v>
      </c>
      <c r="AQ169" s="4">
        <v>121964.17</v>
      </c>
      <c r="AR169" s="4" t="s">
        <v>743</v>
      </c>
      <c r="AS169" s="5">
        <f t="shared" si="0"/>
        <v>0</v>
      </c>
    </row>
    <row r="170" spans="1:45" ht="14.25" customHeight="1" x14ac:dyDescent="0.55000000000000004">
      <c r="A170" s="4">
        <v>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f t="shared" si="7"/>
        <v>0</v>
      </c>
      <c r="L170" s="4">
        <f t="shared" si="8"/>
        <v>0</v>
      </c>
      <c r="M170" s="4">
        <f t="shared" si="9"/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5">
        <f t="shared" si="0"/>
        <v>0</v>
      </c>
    </row>
    <row r="171" spans="1:45" ht="14.25" customHeight="1" x14ac:dyDescent="0.55000000000000004">
      <c r="A171" s="4">
        <v>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f t="shared" si="7"/>
        <v>0</v>
      </c>
      <c r="L171" s="4">
        <f t="shared" si="8"/>
        <v>0</v>
      </c>
      <c r="M171" s="4">
        <f t="shared" si="9"/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5">
        <f t="shared" si="0"/>
        <v>0</v>
      </c>
    </row>
    <row r="172" spans="1:45" ht="14.25" customHeight="1" x14ac:dyDescent="0.55000000000000004">
      <c r="A172" s="4">
        <v>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f t="shared" si="7"/>
        <v>0</v>
      </c>
      <c r="L172" s="4">
        <f t="shared" si="8"/>
        <v>0</v>
      </c>
      <c r="M172" s="4">
        <f t="shared" si="9"/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5">
        <f t="shared" si="0"/>
        <v>0</v>
      </c>
    </row>
    <row r="173" spans="1:45" ht="14.25" customHeight="1" x14ac:dyDescent="0.55000000000000004">
      <c r="A173" s="4">
        <v>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f t="shared" si="7"/>
        <v>0</v>
      </c>
      <c r="L173" s="4">
        <f t="shared" si="8"/>
        <v>0</v>
      </c>
      <c r="M173" s="4">
        <f t="shared" si="9"/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5">
        <f t="shared" si="0"/>
        <v>0</v>
      </c>
    </row>
    <row r="174" spans="1:45" ht="14.25" customHeight="1" x14ac:dyDescent="0.55000000000000004">
      <c r="A174" s="4">
        <v>0</v>
      </c>
      <c r="B174" s="4">
        <v>8.1</v>
      </c>
      <c r="C174" s="4">
        <v>1269.46</v>
      </c>
      <c r="D174" s="4">
        <v>7.8</v>
      </c>
      <c r="E174" s="4" t="s">
        <v>2940</v>
      </c>
      <c r="F174" s="4" t="s">
        <v>2333</v>
      </c>
      <c r="G174" s="4" t="s">
        <v>2333</v>
      </c>
      <c r="H174" s="4" t="s">
        <v>2941</v>
      </c>
      <c r="I174" s="4">
        <v>0</v>
      </c>
      <c r="J174" s="4">
        <v>2418.6</v>
      </c>
      <c r="K174" s="4">
        <f t="shared" si="7"/>
        <v>53.94</v>
      </c>
      <c r="L174" s="4">
        <f t="shared" si="8"/>
        <v>53.94</v>
      </c>
      <c r="M174" s="4">
        <f t="shared" si="9"/>
        <v>0</v>
      </c>
      <c r="N174" s="4">
        <v>7.57</v>
      </c>
      <c r="O174" s="4">
        <v>0</v>
      </c>
      <c r="P174" s="4">
        <v>73</v>
      </c>
      <c r="Q174" s="4">
        <v>18.7</v>
      </c>
      <c r="R174" s="4">
        <v>8.1</v>
      </c>
      <c r="S174" s="4">
        <v>15.43</v>
      </c>
      <c r="T174" s="4">
        <v>-15.43</v>
      </c>
      <c r="U174" s="4">
        <v>0.52</v>
      </c>
      <c r="V174" s="4">
        <v>812.46</v>
      </c>
      <c r="W174" s="4">
        <v>214.35</v>
      </c>
      <c r="X174" s="4">
        <v>143.22</v>
      </c>
      <c r="Y174" s="4">
        <v>165.36</v>
      </c>
      <c r="Z174" s="4">
        <v>4.72</v>
      </c>
      <c r="AA174" s="4">
        <v>-0.19</v>
      </c>
      <c r="AB174" s="4">
        <v>8.18</v>
      </c>
      <c r="AC174" s="4">
        <v>-110.45</v>
      </c>
      <c r="AD174" s="4">
        <v>980</v>
      </c>
      <c r="AE174" s="4">
        <v>8765</v>
      </c>
      <c r="AF174" s="4">
        <v>108.62</v>
      </c>
      <c r="AG174" s="4">
        <v>0.88</v>
      </c>
      <c r="AH174" s="4">
        <v>-228.62</v>
      </c>
      <c r="AI174" s="4">
        <v>59.37</v>
      </c>
      <c r="AJ174" s="4">
        <v>60</v>
      </c>
      <c r="AK174" s="4">
        <v>9</v>
      </c>
      <c r="AL174" s="4">
        <v>9</v>
      </c>
      <c r="AM174" s="4">
        <v>0.76</v>
      </c>
      <c r="AN174" s="4">
        <v>588</v>
      </c>
      <c r="AO174" s="4">
        <v>594.86</v>
      </c>
      <c r="AP174" s="4">
        <v>163480.78</v>
      </c>
      <c r="AQ174" s="4">
        <v>163480.78</v>
      </c>
      <c r="AR174" s="4" t="s">
        <v>766</v>
      </c>
      <c r="AS174" s="5">
        <f t="shared" si="0"/>
        <v>0</v>
      </c>
    </row>
    <row r="175" spans="1:45" ht="14.25" customHeight="1" x14ac:dyDescent="0.55000000000000004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f t="shared" si="7"/>
        <v>0</v>
      </c>
      <c r="L175" s="4">
        <f t="shared" si="8"/>
        <v>0</v>
      </c>
      <c r="M175" s="4">
        <f t="shared" si="9"/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5">
        <f t="shared" si="0"/>
        <v>0</v>
      </c>
    </row>
    <row r="176" spans="1:45" ht="14.25" customHeight="1" x14ac:dyDescent="0.55000000000000004">
      <c r="A176" s="4">
        <v>0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f t="shared" si="7"/>
        <v>0</v>
      </c>
      <c r="L176" s="4">
        <f t="shared" si="8"/>
        <v>0</v>
      </c>
      <c r="M176" s="4">
        <f t="shared" si="9"/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5">
        <f t="shared" si="0"/>
        <v>0</v>
      </c>
    </row>
    <row r="177" spans="1:45" ht="14.25" customHeight="1" x14ac:dyDescent="0.55000000000000004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f t="shared" si="7"/>
        <v>0</v>
      </c>
      <c r="L177" s="4">
        <f t="shared" si="8"/>
        <v>0</v>
      </c>
      <c r="M177" s="4">
        <f t="shared" si="9"/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5">
        <f t="shared" si="0"/>
        <v>0</v>
      </c>
    </row>
    <row r="178" spans="1:45" ht="14.25" customHeight="1" x14ac:dyDescent="0.55000000000000004">
      <c r="A178" s="4">
        <v>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f t="shared" si="7"/>
        <v>0</v>
      </c>
      <c r="L178" s="4">
        <f t="shared" si="8"/>
        <v>0</v>
      </c>
      <c r="M178" s="4">
        <f t="shared" si="9"/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5">
        <f t="shared" si="0"/>
        <v>0</v>
      </c>
    </row>
    <row r="179" spans="1:45" ht="14.25" customHeight="1" x14ac:dyDescent="0.55000000000000004">
      <c r="A179" s="4">
        <v>0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f t="shared" si="7"/>
        <v>0</v>
      </c>
      <c r="L179" s="4">
        <f t="shared" si="8"/>
        <v>0</v>
      </c>
      <c r="M179" s="4">
        <f t="shared" si="9"/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5">
        <f t="shared" si="0"/>
        <v>0</v>
      </c>
    </row>
    <row r="180" spans="1:45" ht="14.25" customHeight="1" x14ac:dyDescent="0.55000000000000004">
      <c r="A180" s="4">
        <v>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f t="shared" si="7"/>
        <v>0</v>
      </c>
      <c r="L180" s="4">
        <f t="shared" si="8"/>
        <v>0</v>
      </c>
      <c r="M180" s="4">
        <f t="shared" si="9"/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5">
        <f t="shared" si="0"/>
        <v>0</v>
      </c>
    </row>
    <row r="181" spans="1:45" ht="14.25" customHeight="1" x14ac:dyDescent="0.55000000000000004">
      <c r="A181" s="4">
        <v>0</v>
      </c>
      <c r="B181" s="4">
        <v>8.1</v>
      </c>
      <c r="C181" s="4">
        <v>4322.0600000000004</v>
      </c>
      <c r="D181" s="4">
        <v>7.8</v>
      </c>
      <c r="E181" s="4" t="s">
        <v>2942</v>
      </c>
      <c r="F181" s="4" t="s">
        <v>2333</v>
      </c>
      <c r="G181" s="4" t="s">
        <v>2333</v>
      </c>
      <c r="H181" s="4" t="s">
        <v>2943</v>
      </c>
      <c r="I181" s="4">
        <v>0</v>
      </c>
      <c r="J181" s="4">
        <v>2485.34</v>
      </c>
      <c r="K181" s="4">
        <f t="shared" si="7"/>
        <v>45.4</v>
      </c>
      <c r="L181" s="4">
        <f t="shared" si="8"/>
        <v>45.4</v>
      </c>
      <c r="M181" s="4">
        <f t="shared" si="9"/>
        <v>0</v>
      </c>
      <c r="N181" s="4">
        <v>7.56</v>
      </c>
      <c r="O181" s="4">
        <v>0</v>
      </c>
      <c r="P181" s="4">
        <v>62</v>
      </c>
      <c r="Q181" s="4">
        <v>19.600000000000001</v>
      </c>
      <c r="R181" s="4">
        <v>8.1</v>
      </c>
      <c r="S181" s="4">
        <v>14.9</v>
      </c>
      <c r="T181" s="4">
        <v>-14.9</v>
      </c>
      <c r="U181" s="4">
        <v>1.74</v>
      </c>
      <c r="V181" s="4">
        <v>2766.12</v>
      </c>
      <c r="W181" s="4">
        <v>725.95</v>
      </c>
      <c r="X181" s="4">
        <v>470.66</v>
      </c>
      <c r="Y181" s="4">
        <v>563.33000000000004</v>
      </c>
      <c r="Z181" s="4">
        <v>15.65</v>
      </c>
      <c r="AA181" s="4">
        <v>0.8</v>
      </c>
      <c r="AB181" s="4">
        <v>6.2</v>
      </c>
      <c r="AC181" s="4">
        <v>-119.05</v>
      </c>
      <c r="AD181" s="4">
        <v>980</v>
      </c>
      <c r="AE181" s="4">
        <v>8765</v>
      </c>
      <c r="AF181" s="4">
        <v>108.62</v>
      </c>
      <c r="AG181" s="4">
        <v>0.88</v>
      </c>
      <c r="AH181" s="4">
        <v>146.97999999999999</v>
      </c>
      <c r="AI181" s="4">
        <v>234.16</v>
      </c>
      <c r="AJ181" s="4">
        <v>60</v>
      </c>
      <c r="AK181" s="4">
        <v>9</v>
      </c>
      <c r="AL181" s="4">
        <v>9</v>
      </c>
      <c r="AM181" s="4">
        <v>0.19</v>
      </c>
      <c r="AN181" s="4">
        <v>588</v>
      </c>
      <c r="AO181" s="4">
        <v>589.74</v>
      </c>
      <c r="AP181" s="4">
        <v>69244.179999999993</v>
      </c>
      <c r="AQ181" s="4">
        <v>69244.179999999993</v>
      </c>
      <c r="AR181" s="4" t="s">
        <v>800</v>
      </c>
      <c r="AS181" s="5">
        <f t="shared" si="0"/>
        <v>0</v>
      </c>
    </row>
    <row r="182" spans="1:45" ht="14.25" customHeight="1" x14ac:dyDescent="0.55000000000000004">
      <c r="A182" s="4">
        <v>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f t="shared" si="7"/>
        <v>0</v>
      </c>
      <c r="L182" s="4">
        <f t="shared" si="8"/>
        <v>0</v>
      </c>
      <c r="M182" s="4">
        <f t="shared" si="9"/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5">
        <f t="shared" si="0"/>
        <v>0</v>
      </c>
    </row>
    <row r="183" spans="1:45" ht="14.25" customHeight="1" x14ac:dyDescent="0.55000000000000004">
      <c r="A183" s="4">
        <v>0</v>
      </c>
      <c r="B183" s="4">
        <v>8.1</v>
      </c>
      <c r="C183" s="4">
        <v>1733.39</v>
      </c>
      <c r="D183" s="4">
        <v>7.8</v>
      </c>
      <c r="E183" s="4" t="s">
        <v>2944</v>
      </c>
      <c r="F183" s="4" t="s">
        <v>2333</v>
      </c>
      <c r="G183" s="4" t="s">
        <v>2333</v>
      </c>
      <c r="H183" s="4" t="s">
        <v>194</v>
      </c>
      <c r="I183" s="4">
        <v>0</v>
      </c>
      <c r="J183" s="4">
        <v>2445.15</v>
      </c>
      <c r="K183" s="4">
        <f t="shared" si="7"/>
        <v>50.39</v>
      </c>
      <c r="L183" s="4">
        <f t="shared" si="8"/>
        <v>50.39</v>
      </c>
      <c r="M183" s="4">
        <f t="shared" si="9"/>
        <v>0</v>
      </c>
      <c r="N183" s="4">
        <v>7.57</v>
      </c>
      <c r="O183" s="4">
        <v>0</v>
      </c>
      <c r="P183" s="4">
        <v>68</v>
      </c>
      <c r="Q183" s="4">
        <v>22.1</v>
      </c>
      <c r="R183" s="4">
        <v>8.1</v>
      </c>
      <c r="S183" s="4">
        <v>17.97</v>
      </c>
      <c r="T183" s="4">
        <v>-17.97</v>
      </c>
      <c r="U183" s="4">
        <v>0.71</v>
      </c>
      <c r="V183" s="4">
        <v>1109.3699999999999</v>
      </c>
      <c r="W183" s="4">
        <v>292.06</v>
      </c>
      <c r="X183" s="4">
        <v>192.81</v>
      </c>
      <c r="Y183" s="4">
        <v>225.84</v>
      </c>
      <c r="Z183" s="4">
        <v>6.39</v>
      </c>
      <c r="AA183" s="4">
        <v>0.06</v>
      </c>
      <c r="AB183" s="4">
        <v>7.68</v>
      </c>
      <c r="AC183" s="4">
        <v>-82.05</v>
      </c>
      <c r="AD183" s="4">
        <v>980</v>
      </c>
      <c r="AE183" s="4">
        <v>8765</v>
      </c>
      <c r="AF183" s="4">
        <v>108.62</v>
      </c>
      <c r="AG183" s="4">
        <v>0.88</v>
      </c>
      <c r="AH183" s="4">
        <v>-373.17</v>
      </c>
      <c r="AI183" s="4">
        <v>86.07</v>
      </c>
      <c r="AJ183" s="4">
        <v>60</v>
      </c>
      <c r="AK183" s="4">
        <v>9</v>
      </c>
      <c r="AL183" s="4">
        <v>9</v>
      </c>
      <c r="AM183" s="4">
        <v>0.53</v>
      </c>
      <c r="AN183" s="4">
        <v>588</v>
      </c>
      <c r="AO183" s="4">
        <v>592.73</v>
      </c>
      <c r="AP183" s="4">
        <v>124327.32</v>
      </c>
      <c r="AQ183" s="4">
        <v>124327.32</v>
      </c>
      <c r="AR183" s="4" t="s">
        <v>807</v>
      </c>
      <c r="AS183" s="5">
        <f t="shared" si="0"/>
        <v>0</v>
      </c>
    </row>
    <row r="184" spans="1:45" ht="14.25" customHeight="1" x14ac:dyDescent="0.55000000000000004">
      <c r="A184" s="4">
        <v>0</v>
      </c>
      <c r="B184" s="4">
        <v>8.1</v>
      </c>
      <c r="C184" s="4">
        <v>2537.4899999999998</v>
      </c>
      <c r="D184" s="4">
        <v>7.8</v>
      </c>
      <c r="E184" s="4" t="s">
        <v>2945</v>
      </c>
      <c r="F184" s="4" t="s">
        <v>2704</v>
      </c>
      <c r="G184" s="4" t="s">
        <v>2333</v>
      </c>
      <c r="H184" s="4" t="s">
        <v>2946</v>
      </c>
      <c r="I184" s="4">
        <v>0</v>
      </c>
      <c r="J184" s="4">
        <v>2073.0300000000002</v>
      </c>
      <c r="K184" s="4">
        <f t="shared" si="7"/>
        <v>47.64</v>
      </c>
      <c r="L184" s="4">
        <f t="shared" si="8"/>
        <v>46.75</v>
      </c>
      <c r="M184" s="4">
        <f t="shared" si="9"/>
        <v>0.89000000000000057</v>
      </c>
      <c r="N184" s="4">
        <v>7.17</v>
      </c>
      <c r="O184" s="4">
        <v>0</v>
      </c>
      <c r="P184" s="4">
        <v>52</v>
      </c>
      <c r="Q184" s="4">
        <v>21</v>
      </c>
      <c r="R184" s="4">
        <v>8.1</v>
      </c>
      <c r="S184" s="4">
        <v>14.83</v>
      </c>
      <c r="T184" s="4">
        <v>-14.83</v>
      </c>
      <c r="U184" s="4">
        <v>1.22</v>
      </c>
      <c r="V184" s="4">
        <v>1624</v>
      </c>
      <c r="W184" s="4">
        <v>416.96</v>
      </c>
      <c r="X184" s="4">
        <v>239.17</v>
      </c>
      <c r="Y184" s="4">
        <v>330.97</v>
      </c>
      <c r="Z184" s="4">
        <v>11.21</v>
      </c>
      <c r="AA184" s="4">
        <v>0.28999999999999998</v>
      </c>
      <c r="AB184" s="4">
        <v>7.22</v>
      </c>
      <c r="AC184" s="4">
        <v>-120.29</v>
      </c>
      <c r="AD184" s="4">
        <v>980</v>
      </c>
      <c r="AE184" s="4">
        <v>8765</v>
      </c>
      <c r="AF184" s="4">
        <v>108.62</v>
      </c>
      <c r="AG184" s="4">
        <v>0.88</v>
      </c>
      <c r="AH184" s="4">
        <v>484.83</v>
      </c>
      <c r="AI184" s="4">
        <v>159.79</v>
      </c>
      <c r="AJ184" s="4">
        <v>60</v>
      </c>
      <c r="AK184" s="4">
        <v>9</v>
      </c>
      <c r="AL184" s="4">
        <v>9</v>
      </c>
      <c r="AM184" s="4">
        <v>0.28000000000000003</v>
      </c>
      <c r="AN184" s="4">
        <v>588</v>
      </c>
      <c r="AO184" s="4">
        <v>590.54999999999995</v>
      </c>
      <c r="AP184" s="4">
        <v>435601.34</v>
      </c>
      <c r="AQ184" s="4">
        <v>376229.97</v>
      </c>
      <c r="AR184" s="4" t="s">
        <v>812</v>
      </c>
      <c r="AS184" s="5">
        <f t="shared" si="0"/>
        <v>3.3887768264840212</v>
      </c>
    </row>
    <row r="185" spans="1:45" ht="14.25" customHeight="1" x14ac:dyDescent="0.55000000000000004">
      <c r="A185" s="4">
        <v>0</v>
      </c>
      <c r="B185" s="4">
        <v>8.1</v>
      </c>
      <c r="C185" s="4">
        <v>581.63</v>
      </c>
      <c r="D185" s="4">
        <v>7.8</v>
      </c>
      <c r="E185" s="4" t="s">
        <v>2947</v>
      </c>
      <c r="F185" s="4" t="s">
        <v>2777</v>
      </c>
      <c r="G185" s="4" t="s">
        <v>2333</v>
      </c>
      <c r="H185" s="4" t="s">
        <v>2948</v>
      </c>
      <c r="I185" s="4">
        <v>0</v>
      </c>
      <c r="J185" s="4">
        <v>1958.95</v>
      </c>
      <c r="K185" s="4">
        <f t="shared" si="7"/>
        <v>78.86</v>
      </c>
      <c r="L185" s="4">
        <f t="shared" si="8"/>
        <v>51.95</v>
      </c>
      <c r="M185" s="4">
        <f t="shared" si="9"/>
        <v>26.909999999999997</v>
      </c>
      <c r="N185" s="4">
        <v>7.3</v>
      </c>
      <c r="O185" s="4">
        <v>0</v>
      </c>
      <c r="P185" s="4">
        <v>67</v>
      </c>
      <c r="Q185" s="4">
        <v>19.399999999999999</v>
      </c>
      <c r="R185" s="4">
        <v>8.1</v>
      </c>
      <c r="S185" s="4">
        <v>15.35</v>
      </c>
      <c r="T185" s="4">
        <v>-15.35</v>
      </c>
      <c r="U185" s="4">
        <v>0.3</v>
      </c>
      <c r="V185" s="4">
        <v>372.24</v>
      </c>
      <c r="W185" s="4">
        <v>97.86</v>
      </c>
      <c r="X185" s="4">
        <v>64.8</v>
      </c>
      <c r="Y185" s="4">
        <v>75.680000000000007</v>
      </c>
      <c r="Z185" s="4">
        <v>8.35</v>
      </c>
      <c r="AA185" s="4">
        <v>-0.84</v>
      </c>
      <c r="AB185" s="4">
        <v>9.48</v>
      </c>
      <c r="AC185" s="4">
        <v>-111.75</v>
      </c>
      <c r="AD185" s="4">
        <v>980</v>
      </c>
      <c r="AE185" s="4">
        <v>8765</v>
      </c>
      <c r="AF185" s="4">
        <v>108.62</v>
      </c>
      <c r="AG185" s="4">
        <v>0.88</v>
      </c>
      <c r="AH185" s="4">
        <v>-154.5</v>
      </c>
      <c r="AI185" s="4">
        <v>71.91</v>
      </c>
      <c r="AJ185" s="4">
        <v>60</v>
      </c>
      <c r="AK185" s="4">
        <v>9</v>
      </c>
      <c r="AL185" s="4">
        <v>9</v>
      </c>
      <c r="AM185" s="4">
        <v>0.63</v>
      </c>
      <c r="AN185" s="4">
        <v>588</v>
      </c>
      <c r="AO185" s="4">
        <v>593.66999999999996</v>
      </c>
      <c r="AP185" s="4">
        <v>780185.39</v>
      </c>
      <c r="AQ185" s="4">
        <v>190517.28</v>
      </c>
      <c r="AR185" s="4" t="s">
        <v>816</v>
      </c>
      <c r="AS185" s="5">
        <f t="shared" si="0"/>
        <v>33.656855593607304</v>
      </c>
    </row>
    <row r="186" spans="1:45" ht="14.25" customHeight="1" x14ac:dyDescent="0.55000000000000004">
      <c r="A186" s="4">
        <v>0</v>
      </c>
      <c r="B186" s="4">
        <v>8.1</v>
      </c>
      <c r="C186" s="4">
        <v>1428.08</v>
      </c>
      <c r="D186" s="4">
        <v>7.8</v>
      </c>
      <c r="E186" s="4" t="s">
        <v>2949</v>
      </c>
      <c r="F186" s="4" t="s">
        <v>2950</v>
      </c>
      <c r="G186" s="4" t="s">
        <v>2333</v>
      </c>
      <c r="H186" s="4" t="s">
        <v>2951</v>
      </c>
      <c r="I186" s="4">
        <v>0</v>
      </c>
      <c r="J186" s="4">
        <v>2051.73</v>
      </c>
      <c r="K186" s="4">
        <f t="shared" si="7"/>
        <v>52.41</v>
      </c>
      <c r="L186" s="4">
        <f t="shared" si="8"/>
        <v>49.589999999999996</v>
      </c>
      <c r="M186" s="4">
        <f t="shared" si="9"/>
        <v>2.8200000000000003</v>
      </c>
      <c r="N186" s="4">
        <v>7.19</v>
      </c>
      <c r="O186" s="4">
        <v>0</v>
      </c>
      <c r="P186" s="4">
        <v>58</v>
      </c>
      <c r="Q186" s="4">
        <v>20.8</v>
      </c>
      <c r="R186" s="4">
        <v>8.1</v>
      </c>
      <c r="S186" s="4">
        <v>15.46</v>
      </c>
      <c r="T186" s="4">
        <v>-15.46</v>
      </c>
      <c r="U186" s="4">
        <v>0.7</v>
      </c>
      <c r="V186" s="4">
        <v>913.97</v>
      </c>
      <c r="W186" s="4">
        <v>235.66</v>
      </c>
      <c r="X186" s="4">
        <v>138.97</v>
      </c>
      <c r="Y186" s="4">
        <v>186.19</v>
      </c>
      <c r="Z186" s="4">
        <v>7.4</v>
      </c>
      <c r="AA186" s="4">
        <v>-0.17</v>
      </c>
      <c r="AB186" s="4">
        <v>8.14</v>
      </c>
      <c r="AC186" s="4">
        <v>-109.98</v>
      </c>
      <c r="AD186" s="4">
        <v>980</v>
      </c>
      <c r="AE186" s="4">
        <v>8765</v>
      </c>
      <c r="AF186" s="4">
        <v>108.62</v>
      </c>
      <c r="AG186" s="4">
        <v>0.88</v>
      </c>
      <c r="AH186" s="4">
        <v>-357.36</v>
      </c>
      <c r="AI186" s="4">
        <v>95.88</v>
      </c>
      <c r="AJ186" s="4">
        <v>60</v>
      </c>
      <c r="AK186" s="4">
        <v>9</v>
      </c>
      <c r="AL186" s="4">
        <v>9</v>
      </c>
      <c r="AM186" s="4">
        <v>0.47</v>
      </c>
      <c r="AN186" s="4">
        <v>588</v>
      </c>
      <c r="AO186" s="4">
        <v>592.25</v>
      </c>
      <c r="AP186" s="4">
        <v>488272.88</v>
      </c>
      <c r="AQ186" s="4">
        <v>274932.14</v>
      </c>
      <c r="AR186" s="4" t="s">
        <v>820</v>
      </c>
      <c r="AS186" s="5">
        <f t="shared" si="0"/>
        <v>12.176982876712328</v>
      </c>
    </row>
    <row r="187" spans="1:45" ht="14.25" customHeight="1" x14ac:dyDescent="0.55000000000000004">
      <c r="A187" s="4">
        <v>0</v>
      </c>
      <c r="B187" s="4">
        <v>8.1</v>
      </c>
      <c r="C187" s="4">
        <v>1690.1</v>
      </c>
      <c r="D187" s="4">
        <v>7.8</v>
      </c>
      <c r="E187" s="4" t="s">
        <v>2952</v>
      </c>
      <c r="F187" s="4" t="s">
        <v>2333</v>
      </c>
      <c r="G187" s="4" t="s">
        <v>2333</v>
      </c>
      <c r="H187" s="4" t="s">
        <v>181</v>
      </c>
      <c r="I187" s="4">
        <v>0</v>
      </c>
      <c r="J187" s="4">
        <v>2443.34</v>
      </c>
      <c r="K187" s="4">
        <f t="shared" si="7"/>
        <v>50.63</v>
      </c>
      <c r="L187" s="4">
        <f t="shared" si="8"/>
        <v>50.63</v>
      </c>
      <c r="M187" s="4">
        <f t="shared" si="9"/>
        <v>0</v>
      </c>
      <c r="N187" s="4">
        <v>7.57</v>
      </c>
      <c r="O187" s="4">
        <v>0</v>
      </c>
      <c r="P187" s="4">
        <v>63</v>
      </c>
      <c r="Q187" s="4">
        <v>19.899999999999999</v>
      </c>
      <c r="R187" s="4">
        <v>8.1</v>
      </c>
      <c r="S187" s="4">
        <v>15.3</v>
      </c>
      <c r="T187" s="4">
        <v>-15.3</v>
      </c>
      <c r="U187" s="4">
        <v>0.69</v>
      </c>
      <c r="V187" s="4">
        <v>1081.6600000000001</v>
      </c>
      <c r="W187" s="4">
        <v>284.81</v>
      </c>
      <c r="X187" s="4">
        <v>188.18</v>
      </c>
      <c r="Y187" s="4">
        <v>220.2</v>
      </c>
      <c r="Z187" s="4">
        <v>6.23</v>
      </c>
      <c r="AA187" s="4">
        <v>0.04</v>
      </c>
      <c r="AB187" s="4">
        <v>7.72</v>
      </c>
      <c r="AC187" s="4">
        <v>-112.45</v>
      </c>
      <c r="AD187" s="4">
        <v>980</v>
      </c>
      <c r="AE187" s="4">
        <v>8765</v>
      </c>
      <c r="AF187" s="4">
        <v>108.62</v>
      </c>
      <c r="AG187" s="4">
        <v>0.88</v>
      </c>
      <c r="AH187" s="4">
        <v>-352.35</v>
      </c>
      <c r="AI187" s="4">
        <v>83.58</v>
      </c>
      <c r="AJ187" s="4">
        <v>60</v>
      </c>
      <c r="AK187" s="4">
        <v>9</v>
      </c>
      <c r="AL187" s="4">
        <v>9</v>
      </c>
      <c r="AM187" s="4">
        <v>0.54</v>
      </c>
      <c r="AN187" s="4">
        <v>588</v>
      </c>
      <c r="AO187" s="4">
        <v>592.88</v>
      </c>
      <c r="AP187" s="4">
        <v>126917.3</v>
      </c>
      <c r="AQ187" s="4">
        <v>126917.3</v>
      </c>
      <c r="AR187" s="4" t="s">
        <v>824</v>
      </c>
      <c r="AS187" s="5">
        <f t="shared" si="0"/>
        <v>0</v>
      </c>
    </row>
    <row r="188" spans="1:45" ht="14.25" customHeight="1" x14ac:dyDescent="0.55000000000000004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f t="shared" si="7"/>
        <v>0</v>
      </c>
      <c r="L188" s="4">
        <f t="shared" si="8"/>
        <v>0</v>
      </c>
      <c r="M188" s="4">
        <f t="shared" si="9"/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5">
        <f t="shared" si="0"/>
        <v>0</v>
      </c>
    </row>
    <row r="189" spans="1:45" ht="14.25" customHeight="1" x14ac:dyDescent="0.55000000000000004">
      <c r="A189" s="4">
        <v>0</v>
      </c>
      <c r="B189" s="4">
        <v>8.1</v>
      </c>
      <c r="C189" s="4">
        <v>858.62</v>
      </c>
      <c r="D189" s="4">
        <v>7.8</v>
      </c>
      <c r="E189" s="4" t="s">
        <v>2953</v>
      </c>
      <c r="F189" s="4" t="s">
        <v>2954</v>
      </c>
      <c r="G189" s="4" t="s">
        <v>2333</v>
      </c>
      <c r="H189" s="4" t="s">
        <v>2955</v>
      </c>
      <c r="I189" s="4">
        <v>0</v>
      </c>
      <c r="J189" s="4">
        <v>2015.01</v>
      </c>
      <c r="K189" s="4">
        <f t="shared" si="7"/>
        <v>61.64</v>
      </c>
      <c r="L189" s="4">
        <f t="shared" si="8"/>
        <v>49.04</v>
      </c>
      <c r="M189" s="4">
        <f t="shared" si="9"/>
        <v>12.600000000000001</v>
      </c>
      <c r="N189" s="4">
        <v>7.24</v>
      </c>
      <c r="O189" s="4">
        <v>0</v>
      </c>
      <c r="P189" s="4">
        <v>63</v>
      </c>
      <c r="Q189" s="4">
        <v>20.399999999999999</v>
      </c>
      <c r="R189" s="4">
        <v>8.1</v>
      </c>
      <c r="S189" s="4">
        <v>15.76</v>
      </c>
      <c r="T189" s="4">
        <v>-15.76</v>
      </c>
      <c r="U189" s="4">
        <v>0.43</v>
      </c>
      <c r="V189" s="4">
        <v>549.52</v>
      </c>
      <c r="W189" s="4">
        <v>142.76</v>
      </c>
      <c r="X189" s="4">
        <v>88.21</v>
      </c>
      <c r="Y189" s="4">
        <v>111.86</v>
      </c>
      <c r="Z189" s="4">
        <v>9.43</v>
      </c>
      <c r="AA189" s="4">
        <v>-0.56000000000000005</v>
      </c>
      <c r="AB189" s="4">
        <v>8.92</v>
      </c>
      <c r="AC189" s="4">
        <v>-105.78</v>
      </c>
      <c r="AD189" s="4">
        <v>980</v>
      </c>
      <c r="AE189" s="4">
        <v>8765</v>
      </c>
      <c r="AF189" s="4">
        <v>108.62</v>
      </c>
      <c r="AG189" s="4">
        <v>0.88</v>
      </c>
      <c r="AH189" s="4">
        <v>-189.28</v>
      </c>
      <c r="AI189" s="4">
        <v>103.87</v>
      </c>
      <c r="AJ189" s="4">
        <v>60</v>
      </c>
      <c r="AK189" s="4">
        <v>9</v>
      </c>
      <c r="AL189" s="4">
        <v>9</v>
      </c>
      <c r="AM189" s="4">
        <v>0.44</v>
      </c>
      <c r="AN189" s="4">
        <v>588</v>
      </c>
      <c r="AO189" s="4">
        <v>591.91999999999996</v>
      </c>
      <c r="AP189" s="4">
        <v>590163.17000000004</v>
      </c>
      <c r="AQ189" s="4">
        <v>294412.49</v>
      </c>
      <c r="AR189" s="4" t="s">
        <v>832</v>
      </c>
      <c r="AS189" s="5">
        <f t="shared" si="0"/>
        <v>16.880746575342467</v>
      </c>
    </row>
    <row r="190" spans="1:45" ht="14.25" customHeight="1" x14ac:dyDescent="0.55000000000000004">
      <c r="A190" s="4">
        <v>0</v>
      </c>
      <c r="B190" s="4">
        <v>8.1</v>
      </c>
      <c r="C190" s="4">
        <v>1985.4</v>
      </c>
      <c r="D190" s="4">
        <v>7.8</v>
      </c>
      <c r="E190" s="4" t="s">
        <v>2956</v>
      </c>
      <c r="F190" s="4" t="s">
        <v>2957</v>
      </c>
      <c r="G190" s="4" t="s">
        <v>2333</v>
      </c>
      <c r="H190" s="4" t="s">
        <v>2958</v>
      </c>
      <c r="I190" s="4">
        <v>0</v>
      </c>
      <c r="J190" s="4">
        <v>2143.29</v>
      </c>
      <c r="K190" s="4">
        <f t="shared" si="7"/>
        <v>49.260000000000005</v>
      </c>
      <c r="L190" s="4">
        <f t="shared" si="8"/>
        <v>49.04</v>
      </c>
      <c r="M190" s="4">
        <f t="shared" si="9"/>
        <v>0.22000000000000597</v>
      </c>
      <c r="N190" s="4">
        <v>7.25</v>
      </c>
      <c r="O190" s="4">
        <v>0</v>
      </c>
      <c r="P190" s="4">
        <v>74</v>
      </c>
      <c r="Q190" s="4">
        <v>19</v>
      </c>
      <c r="R190" s="4">
        <v>8.1</v>
      </c>
      <c r="S190" s="4">
        <v>15.84</v>
      </c>
      <c r="T190" s="4">
        <v>-15.84</v>
      </c>
      <c r="U190" s="4">
        <v>0.93</v>
      </c>
      <c r="V190" s="4">
        <v>1270.6600000000001</v>
      </c>
      <c r="W190" s="4">
        <v>328.46</v>
      </c>
      <c r="X190" s="4">
        <v>196.23</v>
      </c>
      <c r="Y190" s="4">
        <v>258.87</v>
      </c>
      <c r="Z190" s="4">
        <v>7.53</v>
      </c>
      <c r="AA190" s="4">
        <v>0.11</v>
      </c>
      <c r="AB190" s="4">
        <v>7.58</v>
      </c>
      <c r="AC190" s="4">
        <v>-104.68</v>
      </c>
      <c r="AD190" s="4">
        <v>980</v>
      </c>
      <c r="AE190" s="4">
        <v>8765</v>
      </c>
      <c r="AF190" s="4">
        <v>108.62</v>
      </c>
      <c r="AG190" s="4">
        <v>0.88</v>
      </c>
      <c r="AH190" s="4">
        <v>-1474.52</v>
      </c>
      <c r="AI190" s="4">
        <v>103.87</v>
      </c>
      <c r="AJ190" s="4">
        <v>60</v>
      </c>
      <c r="AK190" s="4">
        <v>9</v>
      </c>
      <c r="AL190" s="4">
        <v>9</v>
      </c>
      <c r="AM190" s="4">
        <v>0.44</v>
      </c>
      <c r="AN190" s="4">
        <v>588</v>
      </c>
      <c r="AO190" s="4">
        <v>591.91999999999996</v>
      </c>
      <c r="AP190" s="4">
        <v>385115.84</v>
      </c>
      <c r="AQ190" s="4">
        <v>294412.49</v>
      </c>
      <c r="AR190" s="4" t="s">
        <v>837</v>
      </c>
      <c r="AS190" s="5">
        <f t="shared" si="0"/>
        <v>5.1771318493150709</v>
      </c>
    </row>
    <row r="191" spans="1:45" ht="14.25" customHeight="1" x14ac:dyDescent="0.55000000000000004">
      <c r="A191" s="4">
        <v>0</v>
      </c>
      <c r="B191" s="4">
        <v>8.1</v>
      </c>
      <c r="C191" s="4">
        <v>752.04</v>
      </c>
      <c r="D191" s="4">
        <v>7.8</v>
      </c>
      <c r="E191" s="4" t="s">
        <v>2959</v>
      </c>
      <c r="F191" s="4" t="s">
        <v>2817</v>
      </c>
      <c r="G191" s="4" t="s">
        <v>2333</v>
      </c>
      <c r="H191" s="4" t="s">
        <v>2960</v>
      </c>
      <c r="I191" s="4">
        <v>0</v>
      </c>
      <c r="J191" s="4">
        <v>2000.16</v>
      </c>
      <c r="K191" s="4">
        <f t="shared" si="7"/>
        <v>65.8</v>
      </c>
      <c r="L191" s="4">
        <f t="shared" si="8"/>
        <v>51</v>
      </c>
      <c r="M191" s="4">
        <f t="shared" si="9"/>
        <v>14.799999999999997</v>
      </c>
      <c r="N191" s="4">
        <v>7.25</v>
      </c>
      <c r="O191" s="4">
        <v>0</v>
      </c>
      <c r="P191" s="4">
        <v>65</v>
      </c>
      <c r="Q191" s="4">
        <v>19.5</v>
      </c>
      <c r="R191" s="4">
        <v>8.1</v>
      </c>
      <c r="S191" s="4">
        <v>15.19</v>
      </c>
      <c r="T191" s="4">
        <v>-15.19</v>
      </c>
      <c r="U191" s="4">
        <v>0.38</v>
      </c>
      <c r="V191" s="4">
        <v>481.31</v>
      </c>
      <c r="W191" s="4">
        <v>125.42</v>
      </c>
      <c r="X191" s="4">
        <v>78.95</v>
      </c>
      <c r="Y191" s="4">
        <v>97.94</v>
      </c>
      <c r="Z191" s="4">
        <v>7.74</v>
      </c>
      <c r="AA191" s="4">
        <v>-0.66</v>
      </c>
      <c r="AB191" s="4">
        <v>9.1199999999999992</v>
      </c>
      <c r="AC191" s="4">
        <v>-114.23</v>
      </c>
      <c r="AD191" s="4">
        <v>980</v>
      </c>
      <c r="AE191" s="4">
        <v>8765</v>
      </c>
      <c r="AF191" s="4">
        <v>108.62</v>
      </c>
      <c r="AG191" s="4">
        <v>0.88</v>
      </c>
      <c r="AH191" s="4">
        <v>-174.08</v>
      </c>
      <c r="AI191" s="4">
        <v>79.900000000000006</v>
      </c>
      <c r="AJ191" s="4">
        <v>60</v>
      </c>
      <c r="AK191" s="4">
        <v>9</v>
      </c>
      <c r="AL191" s="4">
        <v>9</v>
      </c>
      <c r="AM191" s="4">
        <v>0.56999999999999995</v>
      </c>
      <c r="AN191" s="4">
        <v>588</v>
      </c>
      <c r="AO191" s="4">
        <v>593.1</v>
      </c>
      <c r="AP191" s="4">
        <v>635981.35</v>
      </c>
      <c r="AQ191" s="4">
        <v>224283.22</v>
      </c>
      <c r="AR191" s="4" t="s">
        <v>842</v>
      </c>
      <c r="AS191" s="5">
        <f t="shared" si="0"/>
        <v>23.498751712328769</v>
      </c>
    </row>
    <row r="192" spans="1:45" ht="14.25" customHeight="1" x14ac:dyDescent="0.55000000000000004">
      <c r="A192" s="4">
        <v>0</v>
      </c>
      <c r="B192" s="4">
        <v>8.1</v>
      </c>
      <c r="C192" s="4">
        <v>750.97</v>
      </c>
      <c r="D192" s="4">
        <v>7.8</v>
      </c>
      <c r="E192" s="4" t="s">
        <v>2961</v>
      </c>
      <c r="F192" s="4" t="s">
        <v>2950</v>
      </c>
      <c r="G192" s="4" t="s">
        <v>2333</v>
      </c>
      <c r="H192" s="4" t="s">
        <v>2962</v>
      </c>
      <c r="I192" s="4">
        <v>0</v>
      </c>
      <c r="J192" s="4">
        <v>1999.98</v>
      </c>
      <c r="K192" s="4">
        <f t="shared" si="7"/>
        <v>65.849999999999994</v>
      </c>
      <c r="L192" s="4">
        <f t="shared" si="8"/>
        <v>49.589999999999996</v>
      </c>
      <c r="M192" s="4">
        <f t="shared" si="9"/>
        <v>16.259999999999998</v>
      </c>
      <c r="N192" s="4">
        <v>7.25</v>
      </c>
      <c r="O192" s="4">
        <v>0</v>
      </c>
      <c r="P192" s="4">
        <v>62</v>
      </c>
      <c r="Q192" s="4">
        <v>20.3</v>
      </c>
      <c r="R192" s="4">
        <v>8.1</v>
      </c>
      <c r="S192" s="4">
        <v>15.54</v>
      </c>
      <c r="T192" s="4">
        <v>-15.54</v>
      </c>
      <c r="U192" s="4">
        <v>0.38</v>
      </c>
      <c r="V192" s="4">
        <v>480.62</v>
      </c>
      <c r="W192" s="4">
        <v>125.25</v>
      </c>
      <c r="X192" s="4">
        <v>78.86</v>
      </c>
      <c r="Y192" s="4">
        <v>97.8</v>
      </c>
      <c r="Z192" s="4">
        <v>9.3000000000000007</v>
      </c>
      <c r="AA192" s="4">
        <v>-0.66</v>
      </c>
      <c r="AB192" s="4">
        <v>9.1199999999999992</v>
      </c>
      <c r="AC192" s="4">
        <v>-108.9</v>
      </c>
      <c r="AD192" s="4">
        <v>980</v>
      </c>
      <c r="AE192" s="4">
        <v>8765</v>
      </c>
      <c r="AF192" s="4">
        <v>108.62</v>
      </c>
      <c r="AG192" s="4">
        <v>0.88</v>
      </c>
      <c r="AH192" s="4">
        <v>-173.94</v>
      </c>
      <c r="AI192" s="4">
        <v>95.88</v>
      </c>
      <c r="AJ192" s="4">
        <v>60</v>
      </c>
      <c r="AK192" s="4">
        <v>9</v>
      </c>
      <c r="AL192" s="4">
        <v>9</v>
      </c>
      <c r="AM192" s="4">
        <v>0.47</v>
      </c>
      <c r="AN192" s="4">
        <v>588</v>
      </c>
      <c r="AO192" s="4">
        <v>592.25</v>
      </c>
      <c r="AP192" s="4">
        <v>636550.44999999995</v>
      </c>
      <c r="AQ192" s="4">
        <v>274932.14</v>
      </c>
      <c r="AR192" s="4" t="s">
        <v>847</v>
      </c>
      <c r="AS192" s="5">
        <f t="shared" si="0"/>
        <v>20.64031449771689</v>
      </c>
    </row>
    <row r="193" spans="1:45" ht="14.25" customHeight="1" x14ac:dyDescent="0.55000000000000004">
      <c r="A193" s="4">
        <v>0</v>
      </c>
      <c r="B193" s="4">
        <v>8.1</v>
      </c>
      <c r="C193" s="4">
        <v>619.73</v>
      </c>
      <c r="D193" s="4">
        <v>7.8</v>
      </c>
      <c r="E193" s="4" t="s">
        <v>2963</v>
      </c>
      <c r="F193" s="4" t="s">
        <v>2777</v>
      </c>
      <c r="G193" s="4" t="s">
        <v>2333</v>
      </c>
      <c r="H193" s="4" t="s">
        <v>2898</v>
      </c>
      <c r="I193" s="4">
        <v>0</v>
      </c>
      <c r="J193" s="4">
        <v>1971.24</v>
      </c>
      <c r="K193" s="4">
        <f t="shared" si="7"/>
        <v>74.7</v>
      </c>
      <c r="L193" s="4">
        <f t="shared" si="8"/>
        <v>51.95</v>
      </c>
      <c r="M193" s="4">
        <f t="shared" si="9"/>
        <v>22.75</v>
      </c>
      <c r="N193" s="4">
        <v>7.29</v>
      </c>
      <c r="O193" s="4">
        <v>0</v>
      </c>
      <c r="P193" s="4">
        <v>61</v>
      </c>
      <c r="Q193" s="4">
        <v>20.399999999999999</v>
      </c>
      <c r="R193" s="4">
        <v>8.1</v>
      </c>
      <c r="S193" s="4">
        <v>15.5</v>
      </c>
      <c r="T193" s="4">
        <v>-15.5</v>
      </c>
      <c r="U193" s="4">
        <v>0.31</v>
      </c>
      <c r="V193" s="4">
        <v>396.63</v>
      </c>
      <c r="W193" s="4">
        <v>103.99</v>
      </c>
      <c r="X193" s="4">
        <v>67.84</v>
      </c>
      <c r="Y193" s="4">
        <v>80.66</v>
      </c>
      <c r="Z193" s="4">
        <v>7.91</v>
      </c>
      <c r="AA193" s="4">
        <v>-0.8</v>
      </c>
      <c r="AB193" s="4">
        <v>9.4</v>
      </c>
      <c r="AC193" s="4">
        <v>-109.47</v>
      </c>
      <c r="AD193" s="4">
        <v>980</v>
      </c>
      <c r="AE193" s="4">
        <v>8765</v>
      </c>
      <c r="AF193" s="4">
        <v>108.62</v>
      </c>
      <c r="AG193" s="4">
        <v>0.88</v>
      </c>
      <c r="AH193" s="4">
        <v>-158.43</v>
      </c>
      <c r="AI193" s="4">
        <v>71.91</v>
      </c>
      <c r="AJ193" s="4">
        <v>60</v>
      </c>
      <c r="AK193" s="4">
        <v>9</v>
      </c>
      <c r="AL193" s="4">
        <v>9</v>
      </c>
      <c r="AM193" s="4">
        <v>0.63</v>
      </c>
      <c r="AN193" s="4">
        <v>588</v>
      </c>
      <c r="AO193" s="4">
        <v>593.66999999999996</v>
      </c>
      <c r="AP193" s="4">
        <v>734271.51</v>
      </c>
      <c r="AQ193" s="4">
        <v>190517.28</v>
      </c>
      <c r="AR193" s="4" t="s">
        <v>852</v>
      </c>
      <c r="AS193" s="5">
        <f t="shared" si="0"/>
        <v>31.036200342465751</v>
      </c>
    </row>
    <row r="194" spans="1:45" ht="14.25" customHeight="1" x14ac:dyDescent="0.55000000000000004">
      <c r="A194" s="4">
        <v>0</v>
      </c>
      <c r="B194" s="4">
        <v>8.1</v>
      </c>
      <c r="C194" s="4">
        <v>655.17999999999995</v>
      </c>
      <c r="D194" s="4">
        <v>7.8</v>
      </c>
      <c r="E194" s="4" t="s">
        <v>2964</v>
      </c>
      <c r="F194" s="4" t="s">
        <v>2817</v>
      </c>
      <c r="G194" s="4" t="s">
        <v>2333</v>
      </c>
      <c r="H194" s="4" t="s">
        <v>2965</v>
      </c>
      <c r="I194" s="4">
        <v>0</v>
      </c>
      <c r="J194" s="4">
        <v>1980.69</v>
      </c>
      <c r="K194" s="4">
        <f t="shared" si="7"/>
        <v>71.66</v>
      </c>
      <c r="L194" s="4">
        <f t="shared" si="8"/>
        <v>51</v>
      </c>
      <c r="M194" s="4">
        <f t="shared" si="9"/>
        <v>20.659999999999997</v>
      </c>
      <c r="N194" s="4">
        <v>7.28</v>
      </c>
      <c r="O194" s="4">
        <v>0</v>
      </c>
      <c r="P194" s="4">
        <v>60</v>
      </c>
      <c r="Q194" s="4">
        <v>20.399999999999999</v>
      </c>
      <c r="R194" s="4">
        <v>8.1</v>
      </c>
      <c r="S194" s="4">
        <v>15.37</v>
      </c>
      <c r="T194" s="4">
        <v>-15.37</v>
      </c>
      <c r="U194" s="4">
        <v>0.33</v>
      </c>
      <c r="V194" s="4">
        <v>419.31</v>
      </c>
      <c r="W194" s="4">
        <v>109.72</v>
      </c>
      <c r="X194" s="4">
        <v>70.75</v>
      </c>
      <c r="Y194" s="4">
        <v>85.29</v>
      </c>
      <c r="Z194" s="4">
        <v>8.43</v>
      </c>
      <c r="AA194" s="4">
        <v>-0.76</v>
      </c>
      <c r="AB194" s="4">
        <v>9.32</v>
      </c>
      <c r="AC194" s="4">
        <v>-111.43</v>
      </c>
      <c r="AD194" s="4">
        <v>980</v>
      </c>
      <c r="AE194" s="4">
        <v>8765</v>
      </c>
      <c r="AF194" s="4">
        <v>108.62</v>
      </c>
      <c r="AG194" s="4">
        <v>0.88</v>
      </c>
      <c r="AH194" s="4">
        <v>-162.32</v>
      </c>
      <c r="AI194" s="4">
        <v>79.900000000000006</v>
      </c>
      <c r="AJ194" s="4">
        <v>60</v>
      </c>
      <c r="AK194" s="4">
        <v>9</v>
      </c>
      <c r="AL194" s="4">
        <v>9</v>
      </c>
      <c r="AM194" s="4">
        <v>0.56999999999999995</v>
      </c>
      <c r="AN194" s="4">
        <v>588</v>
      </c>
      <c r="AO194" s="4">
        <v>593.1</v>
      </c>
      <c r="AP194" s="4">
        <v>700737.52</v>
      </c>
      <c r="AQ194" s="4">
        <v>224283.22</v>
      </c>
      <c r="AR194" s="4" t="s">
        <v>857</v>
      </c>
      <c r="AS194" s="5">
        <f t="shared" si="0"/>
        <v>27.194880136986303</v>
      </c>
    </row>
    <row r="195" spans="1:45" ht="14.25" customHeight="1" x14ac:dyDescent="0.55000000000000004">
      <c r="A195" s="4">
        <v>0</v>
      </c>
      <c r="B195" s="4">
        <v>8.1</v>
      </c>
      <c r="C195" s="4">
        <v>853.2</v>
      </c>
      <c r="D195" s="4">
        <v>7.8</v>
      </c>
      <c r="E195" s="4" t="s">
        <v>2966</v>
      </c>
      <c r="F195" s="4" t="s">
        <v>2967</v>
      </c>
      <c r="G195" s="4" t="s">
        <v>2333</v>
      </c>
      <c r="H195" s="4" t="s">
        <v>2968</v>
      </c>
      <c r="I195" s="4">
        <v>0</v>
      </c>
      <c r="J195" s="4">
        <v>2049.42</v>
      </c>
      <c r="K195" s="4">
        <f t="shared" ref="K195:K251" si="10">IF(E195=0,0,
VALUE(MID(E195,2,FIND(",",E195)-2))+
VALUE(MID(F195,2,FIND(",",F195)-2))+
VALUE(MID(G195,2,FIND(",",G195)-2))
)</f>
        <v>61.82</v>
      </c>
      <c r="L195" s="4">
        <f t="shared" ref="L195:L251" si="11">IF(E195=0,0,
VALUE(MID(E195,FIND(",",E195)+1,FIND("]",E195)-FIND(",",E195)-1))+
VALUE(MID(F195,FIND(",",F195)+1,FIND("]",F195)-FIND(",",F195)-1))+
VALUE(MID(G195,FIND(",",G195)+1,FIND("]",G195)-FIND(",",G195)-1))
)</f>
        <v>49.589999999999996</v>
      </c>
      <c r="M195" s="4">
        <f t="shared" ref="M195:M251" si="12">(K195-L195)</f>
        <v>12.230000000000004</v>
      </c>
      <c r="N195" s="4">
        <v>7.27</v>
      </c>
      <c r="O195" s="4">
        <v>0</v>
      </c>
      <c r="P195" s="4">
        <v>63</v>
      </c>
      <c r="Q195" s="4">
        <v>20.3</v>
      </c>
      <c r="R195" s="4">
        <v>8.1</v>
      </c>
      <c r="S195" s="4">
        <v>15.67</v>
      </c>
      <c r="T195" s="4">
        <v>-15.67</v>
      </c>
      <c r="U195" s="4">
        <v>0.42</v>
      </c>
      <c r="V195" s="4">
        <v>546.04999999999995</v>
      </c>
      <c r="W195" s="4">
        <v>142.19999999999999</v>
      </c>
      <c r="X195" s="4">
        <v>89.05</v>
      </c>
      <c r="Y195" s="4">
        <v>111.14</v>
      </c>
      <c r="Z195" s="4">
        <v>8.73</v>
      </c>
      <c r="AA195" s="4">
        <v>-0.56000000000000005</v>
      </c>
      <c r="AB195" s="4">
        <v>8.92</v>
      </c>
      <c r="AC195" s="4">
        <v>-107.05</v>
      </c>
      <c r="AD195" s="4">
        <v>980</v>
      </c>
      <c r="AE195" s="4">
        <v>8765</v>
      </c>
      <c r="AF195" s="4">
        <v>108.62</v>
      </c>
      <c r="AG195" s="4">
        <v>0.88</v>
      </c>
      <c r="AH195" s="4">
        <v>-186.1</v>
      </c>
      <c r="AI195" s="4">
        <v>95.88</v>
      </c>
      <c r="AJ195" s="4">
        <v>60</v>
      </c>
      <c r="AK195" s="4">
        <v>9</v>
      </c>
      <c r="AL195" s="4">
        <v>9</v>
      </c>
      <c r="AM195" s="4">
        <v>0.47</v>
      </c>
      <c r="AN195" s="4">
        <v>588</v>
      </c>
      <c r="AO195" s="4">
        <v>592.25</v>
      </c>
      <c r="AP195" s="4">
        <v>557918.82999999996</v>
      </c>
      <c r="AQ195" s="4">
        <v>274932.14</v>
      </c>
      <c r="AR195" s="4" t="s">
        <v>862</v>
      </c>
      <c r="AS195" s="5">
        <f t="shared" si="0"/>
        <v>16.152208333333331</v>
      </c>
    </row>
    <row r="196" spans="1:45" ht="14.25" customHeight="1" x14ac:dyDescent="0.55000000000000004">
      <c r="A196" s="4">
        <v>0</v>
      </c>
      <c r="B196" s="4">
        <v>8.1</v>
      </c>
      <c r="C196" s="4">
        <v>576.70000000000005</v>
      </c>
      <c r="D196" s="4">
        <v>7.8</v>
      </c>
      <c r="E196" s="4" t="s">
        <v>2969</v>
      </c>
      <c r="F196" s="4" t="s">
        <v>2777</v>
      </c>
      <c r="G196" s="4" t="s">
        <v>2333</v>
      </c>
      <c r="H196" s="4" t="s">
        <v>2970</v>
      </c>
      <c r="I196" s="4">
        <v>0</v>
      </c>
      <c r="J196" s="4">
        <v>1957.15</v>
      </c>
      <c r="K196" s="4">
        <f t="shared" si="10"/>
        <v>79.490000000000009</v>
      </c>
      <c r="L196" s="4">
        <f t="shared" si="11"/>
        <v>51.95</v>
      </c>
      <c r="M196" s="4">
        <f t="shared" si="12"/>
        <v>27.540000000000006</v>
      </c>
      <c r="N196" s="4">
        <v>7.31</v>
      </c>
      <c r="O196" s="4">
        <v>0</v>
      </c>
      <c r="P196" s="4">
        <v>61</v>
      </c>
      <c r="Q196" s="4">
        <v>20.6</v>
      </c>
      <c r="R196" s="4">
        <v>8.1</v>
      </c>
      <c r="S196" s="4">
        <v>15.68</v>
      </c>
      <c r="T196" s="4">
        <v>-15.68</v>
      </c>
      <c r="U196" s="4">
        <v>0.28999999999999998</v>
      </c>
      <c r="V196" s="4">
        <v>369.09</v>
      </c>
      <c r="W196" s="4">
        <v>97.07</v>
      </c>
      <c r="X196" s="4">
        <v>64.41</v>
      </c>
      <c r="Y196" s="4">
        <v>75.040000000000006</v>
      </c>
      <c r="Z196" s="4">
        <v>8.42</v>
      </c>
      <c r="AA196" s="4">
        <v>-0.85</v>
      </c>
      <c r="AB196" s="4">
        <v>9.5</v>
      </c>
      <c r="AC196" s="4">
        <v>-106.87</v>
      </c>
      <c r="AD196" s="4">
        <v>980</v>
      </c>
      <c r="AE196" s="4">
        <v>8765</v>
      </c>
      <c r="AF196" s="4">
        <v>108.62</v>
      </c>
      <c r="AG196" s="4">
        <v>0.88</v>
      </c>
      <c r="AH196" s="4">
        <v>-154</v>
      </c>
      <c r="AI196" s="4">
        <v>71.91</v>
      </c>
      <c r="AJ196" s="4">
        <v>60</v>
      </c>
      <c r="AK196" s="4">
        <v>9</v>
      </c>
      <c r="AL196" s="4">
        <v>9</v>
      </c>
      <c r="AM196" s="4">
        <v>0.63</v>
      </c>
      <c r="AN196" s="4">
        <v>588</v>
      </c>
      <c r="AO196" s="4">
        <v>593.66999999999996</v>
      </c>
      <c r="AP196" s="4">
        <v>787112.81</v>
      </c>
      <c r="AQ196" s="4">
        <v>190517.28</v>
      </c>
      <c r="AR196" s="4" t="s">
        <v>867</v>
      </c>
      <c r="AS196" s="5">
        <f t="shared" si="0"/>
        <v>34.052256278538813</v>
      </c>
    </row>
    <row r="197" spans="1:45" ht="14.25" customHeight="1" x14ac:dyDescent="0.55000000000000004">
      <c r="A197" s="4">
        <v>0</v>
      </c>
      <c r="B197" s="4">
        <v>8.1</v>
      </c>
      <c r="C197" s="4">
        <v>2438.6799999999998</v>
      </c>
      <c r="D197" s="4">
        <v>7.8</v>
      </c>
      <c r="E197" s="4" t="s">
        <v>2971</v>
      </c>
      <c r="F197" s="4" t="s">
        <v>2333</v>
      </c>
      <c r="G197" s="4" t="s">
        <v>2333</v>
      </c>
      <c r="H197" s="4" t="s">
        <v>2972</v>
      </c>
      <c r="I197" s="4">
        <v>0</v>
      </c>
      <c r="J197" s="4">
        <v>2465.02</v>
      </c>
      <c r="K197" s="4">
        <f t="shared" si="10"/>
        <v>47.87</v>
      </c>
      <c r="L197" s="4">
        <f t="shared" si="11"/>
        <v>47.87</v>
      </c>
      <c r="M197" s="4">
        <f t="shared" si="12"/>
        <v>0</v>
      </c>
      <c r="N197" s="4">
        <v>7.56</v>
      </c>
      <c r="O197" s="4">
        <v>0</v>
      </c>
      <c r="P197" s="4">
        <v>67</v>
      </c>
      <c r="Q197" s="4">
        <v>19.399999999999999</v>
      </c>
      <c r="R197" s="4">
        <v>8.1</v>
      </c>
      <c r="S197" s="4">
        <v>15.35</v>
      </c>
      <c r="T197" s="4">
        <v>-15.35</v>
      </c>
      <c r="U197" s="4">
        <v>0.99</v>
      </c>
      <c r="V197" s="4">
        <v>1560.75</v>
      </c>
      <c r="W197" s="4">
        <v>410.25</v>
      </c>
      <c r="X197" s="4">
        <v>268.42</v>
      </c>
      <c r="Y197" s="4">
        <v>317.79000000000002</v>
      </c>
      <c r="Z197" s="4">
        <v>8.92</v>
      </c>
      <c r="AA197" s="4">
        <v>0.33</v>
      </c>
      <c r="AB197" s="4">
        <v>7.13</v>
      </c>
      <c r="AC197" s="4">
        <v>-111.75</v>
      </c>
      <c r="AD197" s="4">
        <v>980</v>
      </c>
      <c r="AE197" s="4">
        <v>8765</v>
      </c>
      <c r="AF197" s="4">
        <v>108.62</v>
      </c>
      <c r="AG197" s="4">
        <v>0.88</v>
      </c>
      <c r="AH197" s="4">
        <v>-10165.780000000001</v>
      </c>
      <c r="AI197" s="4">
        <v>126.48</v>
      </c>
      <c r="AJ197" s="4">
        <v>60</v>
      </c>
      <c r="AK197" s="4">
        <v>9</v>
      </c>
      <c r="AL197" s="4">
        <v>9</v>
      </c>
      <c r="AM197" s="4">
        <v>0.36</v>
      </c>
      <c r="AN197" s="4">
        <v>588</v>
      </c>
      <c r="AO197" s="4">
        <v>591.22</v>
      </c>
      <c r="AP197" s="4">
        <v>96497.89</v>
      </c>
      <c r="AQ197" s="4">
        <v>96497.89</v>
      </c>
      <c r="AR197" s="4" t="s">
        <v>871</v>
      </c>
      <c r="AS197" s="5">
        <f t="shared" si="0"/>
        <v>0</v>
      </c>
    </row>
    <row r="198" spans="1:45" ht="14.25" customHeight="1" x14ac:dyDescent="0.55000000000000004">
      <c r="A198" s="4">
        <v>0</v>
      </c>
      <c r="B198" s="4">
        <v>8.1</v>
      </c>
      <c r="C198" s="4">
        <v>600.91999999999996</v>
      </c>
      <c r="D198" s="4">
        <v>7.8</v>
      </c>
      <c r="E198" s="4" t="s">
        <v>2973</v>
      </c>
      <c r="F198" s="4" t="s">
        <v>2777</v>
      </c>
      <c r="G198" s="4" t="s">
        <v>2333</v>
      </c>
      <c r="H198" s="4" t="s">
        <v>2974</v>
      </c>
      <c r="I198" s="4">
        <v>0</v>
      </c>
      <c r="J198" s="4">
        <v>1965.5</v>
      </c>
      <c r="K198" s="4">
        <f t="shared" si="10"/>
        <v>76.61</v>
      </c>
      <c r="L198" s="4">
        <f t="shared" si="11"/>
        <v>51.95</v>
      </c>
      <c r="M198" s="4">
        <f t="shared" si="12"/>
        <v>24.659999999999997</v>
      </c>
      <c r="N198" s="4">
        <v>7.3</v>
      </c>
      <c r="O198" s="4">
        <v>0</v>
      </c>
      <c r="P198" s="4">
        <v>68</v>
      </c>
      <c r="Q198" s="4">
        <v>19.5</v>
      </c>
      <c r="R198" s="4">
        <v>8.1</v>
      </c>
      <c r="S198" s="4">
        <v>15.57</v>
      </c>
      <c r="T198" s="4">
        <v>-15.57</v>
      </c>
      <c r="U198" s="4">
        <v>0.31</v>
      </c>
      <c r="V198" s="4">
        <v>384.59</v>
      </c>
      <c r="W198" s="4">
        <v>100.96</v>
      </c>
      <c r="X198" s="4">
        <v>66.319999999999993</v>
      </c>
      <c r="Y198" s="4">
        <v>78.2</v>
      </c>
      <c r="Z198" s="4">
        <v>8.11</v>
      </c>
      <c r="AA198" s="4">
        <v>-0.82</v>
      </c>
      <c r="AB198" s="4">
        <v>9.44</v>
      </c>
      <c r="AC198" s="4">
        <v>-108.5</v>
      </c>
      <c r="AD198" s="4">
        <v>980</v>
      </c>
      <c r="AE198" s="4">
        <v>8765</v>
      </c>
      <c r="AF198" s="4">
        <v>108.62</v>
      </c>
      <c r="AG198" s="4">
        <v>0.88</v>
      </c>
      <c r="AH198" s="4">
        <v>-156.46</v>
      </c>
      <c r="AI198" s="4">
        <v>71.91</v>
      </c>
      <c r="AJ198" s="4">
        <v>60</v>
      </c>
      <c r="AK198" s="4">
        <v>9</v>
      </c>
      <c r="AL198" s="4">
        <v>9</v>
      </c>
      <c r="AM198" s="4">
        <v>0.63</v>
      </c>
      <c r="AN198" s="4">
        <v>588</v>
      </c>
      <c r="AO198" s="4">
        <v>593.66999999999996</v>
      </c>
      <c r="AP198" s="4">
        <v>755390.31</v>
      </c>
      <c r="AQ198" s="4">
        <v>190517.28</v>
      </c>
      <c r="AR198" s="4" t="s">
        <v>875</v>
      </c>
      <c r="AS198" s="5">
        <f t="shared" si="0"/>
        <v>32.241611301369865</v>
      </c>
    </row>
    <row r="199" spans="1:45" ht="14.25" customHeight="1" x14ac:dyDescent="0.55000000000000004">
      <c r="A199" s="4">
        <v>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f t="shared" si="10"/>
        <v>0</v>
      </c>
      <c r="L199" s="4">
        <f t="shared" si="11"/>
        <v>0</v>
      </c>
      <c r="M199" s="4">
        <f t="shared" si="12"/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5">
        <f t="shared" si="0"/>
        <v>0</v>
      </c>
    </row>
    <row r="200" spans="1:45" ht="14.25" customHeight="1" x14ac:dyDescent="0.55000000000000004">
      <c r="A200" s="4">
        <v>0</v>
      </c>
      <c r="B200" s="4">
        <v>8.1</v>
      </c>
      <c r="C200" s="4">
        <v>618.91</v>
      </c>
      <c r="D200" s="4">
        <v>7.8</v>
      </c>
      <c r="E200" s="4" t="s">
        <v>2975</v>
      </c>
      <c r="F200" s="4" t="s">
        <v>2817</v>
      </c>
      <c r="G200" s="4" t="s">
        <v>2333</v>
      </c>
      <c r="H200" s="4" t="s">
        <v>2976</v>
      </c>
      <c r="I200" s="4">
        <v>0</v>
      </c>
      <c r="J200" s="4">
        <v>1971.01</v>
      </c>
      <c r="K200" s="4">
        <f t="shared" si="10"/>
        <v>74.78</v>
      </c>
      <c r="L200" s="4">
        <f t="shared" si="11"/>
        <v>51</v>
      </c>
      <c r="M200" s="4">
        <f t="shared" si="12"/>
        <v>23.78</v>
      </c>
      <c r="N200" s="4">
        <v>7.29</v>
      </c>
      <c r="O200" s="4">
        <v>0</v>
      </c>
      <c r="P200" s="4">
        <v>65</v>
      </c>
      <c r="Q200" s="4">
        <v>19.8</v>
      </c>
      <c r="R200" s="4">
        <v>8.1</v>
      </c>
      <c r="S200" s="4">
        <v>15.47</v>
      </c>
      <c r="T200" s="4">
        <v>-15.47</v>
      </c>
      <c r="U200" s="4">
        <v>0.31</v>
      </c>
      <c r="V200" s="4">
        <v>396.11</v>
      </c>
      <c r="W200" s="4">
        <v>103.86</v>
      </c>
      <c r="X200" s="4">
        <v>67.77</v>
      </c>
      <c r="Y200" s="4">
        <v>80.55</v>
      </c>
      <c r="Z200" s="4">
        <v>8.8000000000000007</v>
      </c>
      <c r="AA200" s="4">
        <v>-0.8</v>
      </c>
      <c r="AB200" s="4">
        <v>9.4</v>
      </c>
      <c r="AC200" s="4">
        <v>-109.97</v>
      </c>
      <c r="AD200" s="4">
        <v>980</v>
      </c>
      <c r="AE200" s="4">
        <v>8765</v>
      </c>
      <c r="AF200" s="4">
        <v>108.62</v>
      </c>
      <c r="AG200" s="4">
        <v>0.88</v>
      </c>
      <c r="AH200" s="4">
        <v>-158.35</v>
      </c>
      <c r="AI200" s="4">
        <v>79.900000000000006</v>
      </c>
      <c r="AJ200" s="4">
        <v>60</v>
      </c>
      <c r="AK200" s="4">
        <v>9</v>
      </c>
      <c r="AL200" s="4">
        <v>9</v>
      </c>
      <c r="AM200" s="4">
        <v>0.56999999999999995</v>
      </c>
      <c r="AN200" s="4">
        <v>588</v>
      </c>
      <c r="AO200" s="4">
        <v>593.1</v>
      </c>
      <c r="AP200" s="4">
        <v>735134.1</v>
      </c>
      <c r="AQ200" s="4">
        <v>224283.22</v>
      </c>
      <c r="AR200" s="4" t="s">
        <v>885</v>
      </c>
      <c r="AS200" s="5">
        <f t="shared" si="0"/>
        <v>29.158155251141554</v>
      </c>
    </row>
    <row r="201" spans="1:45" ht="14.25" customHeight="1" x14ac:dyDescent="0.55000000000000004">
      <c r="A201" s="4">
        <v>0</v>
      </c>
      <c r="B201" s="4">
        <v>8.1</v>
      </c>
      <c r="C201" s="4">
        <v>750.86</v>
      </c>
      <c r="D201" s="4">
        <v>7.8</v>
      </c>
      <c r="E201" s="4" t="s">
        <v>2961</v>
      </c>
      <c r="F201" s="4" t="s">
        <v>2950</v>
      </c>
      <c r="G201" s="4" t="s">
        <v>2333</v>
      </c>
      <c r="H201" s="4" t="s">
        <v>2962</v>
      </c>
      <c r="I201" s="4">
        <v>0</v>
      </c>
      <c r="J201" s="4">
        <v>1999.97</v>
      </c>
      <c r="K201" s="4">
        <f t="shared" si="10"/>
        <v>65.849999999999994</v>
      </c>
      <c r="L201" s="4">
        <f t="shared" si="11"/>
        <v>49.589999999999996</v>
      </c>
      <c r="M201" s="4">
        <f t="shared" si="12"/>
        <v>16.259999999999998</v>
      </c>
      <c r="N201" s="4">
        <v>7.25</v>
      </c>
      <c r="O201" s="4">
        <v>0</v>
      </c>
      <c r="P201" s="4">
        <v>66</v>
      </c>
      <c r="Q201" s="4">
        <v>19.600000000000001</v>
      </c>
      <c r="R201" s="4">
        <v>8.1</v>
      </c>
      <c r="S201" s="4">
        <v>15.41</v>
      </c>
      <c r="T201" s="4">
        <v>-15.41</v>
      </c>
      <c r="U201" s="4">
        <v>0.38</v>
      </c>
      <c r="V201" s="4">
        <v>480.55</v>
      </c>
      <c r="W201" s="4">
        <v>125.23</v>
      </c>
      <c r="X201" s="4">
        <v>78.849999999999994</v>
      </c>
      <c r="Y201" s="4">
        <v>97.79</v>
      </c>
      <c r="Z201" s="4">
        <v>9.3000000000000007</v>
      </c>
      <c r="AA201" s="4">
        <v>-0.66</v>
      </c>
      <c r="AB201" s="4">
        <v>9.1199999999999992</v>
      </c>
      <c r="AC201" s="4">
        <v>-110.84</v>
      </c>
      <c r="AD201" s="4">
        <v>980</v>
      </c>
      <c r="AE201" s="4">
        <v>8765</v>
      </c>
      <c r="AF201" s="4">
        <v>108.62</v>
      </c>
      <c r="AG201" s="4">
        <v>0.88</v>
      </c>
      <c r="AH201" s="4">
        <v>-173.92</v>
      </c>
      <c r="AI201" s="4">
        <v>95.88</v>
      </c>
      <c r="AJ201" s="4">
        <v>60</v>
      </c>
      <c r="AK201" s="4">
        <v>9</v>
      </c>
      <c r="AL201" s="4">
        <v>9</v>
      </c>
      <c r="AM201" s="4">
        <v>0.47</v>
      </c>
      <c r="AN201" s="4">
        <v>588</v>
      </c>
      <c r="AO201" s="4">
        <v>592.25</v>
      </c>
      <c r="AP201" s="4">
        <v>636609.84</v>
      </c>
      <c r="AQ201" s="4">
        <v>274932.14</v>
      </c>
      <c r="AR201" s="4" t="s">
        <v>890</v>
      </c>
      <c r="AS201" s="5">
        <f t="shared" si="0"/>
        <v>20.643704337899539</v>
      </c>
    </row>
    <row r="202" spans="1:45" ht="14.25" customHeight="1" x14ac:dyDescent="0.55000000000000004">
      <c r="A202" s="4">
        <v>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f t="shared" si="10"/>
        <v>0</v>
      </c>
      <c r="L202" s="4">
        <f t="shared" si="11"/>
        <v>0</v>
      </c>
      <c r="M202" s="4">
        <f t="shared" si="12"/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5">
        <f t="shared" si="0"/>
        <v>0</v>
      </c>
    </row>
    <row r="203" spans="1:45" ht="14.25" customHeight="1" x14ac:dyDescent="0.55000000000000004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f t="shared" si="10"/>
        <v>0</v>
      </c>
      <c r="L203" s="4">
        <f t="shared" si="11"/>
        <v>0</v>
      </c>
      <c r="M203" s="4">
        <f t="shared" si="12"/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5">
        <f t="shared" si="0"/>
        <v>0</v>
      </c>
    </row>
    <row r="204" spans="1:45" ht="14.25" customHeight="1" x14ac:dyDescent="0.55000000000000004">
      <c r="A204" s="4">
        <v>0</v>
      </c>
      <c r="B204" s="4">
        <v>8.1</v>
      </c>
      <c r="C204" s="4">
        <v>750.57</v>
      </c>
      <c r="D204" s="4">
        <v>7.8</v>
      </c>
      <c r="E204" s="4" t="s">
        <v>2977</v>
      </c>
      <c r="F204" s="4" t="s">
        <v>2950</v>
      </c>
      <c r="G204" s="4" t="s">
        <v>2333</v>
      </c>
      <c r="H204" s="4" t="s">
        <v>2978</v>
      </c>
      <c r="I204" s="4">
        <v>0</v>
      </c>
      <c r="J204" s="4">
        <v>1999.92</v>
      </c>
      <c r="K204" s="4">
        <f t="shared" si="10"/>
        <v>65.87</v>
      </c>
      <c r="L204" s="4">
        <f t="shared" si="11"/>
        <v>49.589999999999996</v>
      </c>
      <c r="M204" s="4">
        <f t="shared" si="12"/>
        <v>16.280000000000008</v>
      </c>
      <c r="N204" s="4">
        <v>7.25</v>
      </c>
      <c r="O204" s="4">
        <v>0</v>
      </c>
      <c r="P204" s="4">
        <v>64</v>
      </c>
      <c r="Q204" s="4">
        <v>19.8</v>
      </c>
      <c r="R204" s="4">
        <v>8.1</v>
      </c>
      <c r="S204" s="4">
        <v>15.34</v>
      </c>
      <c r="T204" s="4">
        <v>-15.34</v>
      </c>
      <c r="U204" s="4">
        <v>0.38</v>
      </c>
      <c r="V204" s="4">
        <v>480.37</v>
      </c>
      <c r="W204" s="4">
        <v>125.19</v>
      </c>
      <c r="X204" s="4">
        <v>78.83</v>
      </c>
      <c r="Y204" s="4">
        <v>97.75</v>
      </c>
      <c r="Z204" s="4">
        <v>9.3000000000000007</v>
      </c>
      <c r="AA204" s="4">
        <v>-0.66</v>
      </c>
      <c r="AB204" s="4">
        <v>9.1199999999999992</v>
      </c>
      <c r="AC204" s="4">
        <v>-111.89</v>
      </c>
      <c r="AD204" s="4">
        <v>980</v>
      </c>
      <c r="AE204" s="4">
        <v>8765</v>
      </c>
      <c r="AF204" s="4">
        <v>108.62</v>
      </c>
      <c r="AG204" s="4">
        <v>0.88</v>
      </c>
      <c r="AH204" s="4">
        <v>-173.88</v>
      </c>
      <c r="AI204" s="4">
        <v>95.88</v>
      </c>
      <c r="AJ204" s="4">
        <v>60</v>
      </c>
      <c r="AK204" s="4">
        <v>9</v>
      </c>
      <c r="AL204" s="4">
        <v>9</v>
      </c>
      <c r="AM204" s="4">
        <v>0.47</v>
      </c>
      <c r="AN204" s="4">
        <v>588</v>
      </c>
      <c r="AO204" s="4">
        <v>592.25</v>
      </c>
      <c r="AP204" s="4">
        <v>636759.62</v>
      </c>
      <c r="AQ204" s="4">
        <v>274932.14</v>
      </c>
      <c r="AR204" s="4" t="s">
        <v>903</v>
      </c>
      <c r="AS204" s="5">
        <f t="shared" si="0"/>
        <v>20.652253424657534</v>
      </c>
    </row>
    <row r="205" spans="1:45" ht="14.25" customHeight="1" x14ac:dyDescent="0.55000000000000004">
      <c r="A205" s="4">
        <v>0</v>
      </c>
      <c r="B205" s="4">
        <v>8.1</v>
      </c>
      <c r="C205" s="4">
        <v>817.62</v>
      </c>
      <c r="D205" s="4">
        <v>7.8</v>
      </c>
      <c r="E205" s="4" t="s">
        <v>2979</v>
      </c>
      <c r="F205" s="4" t="s">
        <v>2954</v>
      </c>
      <c r="G205" s="4" t="s">
        <v>2333</v>
      </c>
      <c r="H205" s="4" t="s">
        <v>2980</v>
      </c>
      <c r="I205" s="4">
        <v>0</v>
      </c>
      <c r="J205" s="4">
        <v>2009.89</v>
      </c>
      <c r="K205" s="4">
        <f t="shared" si="10"/>
        <v>63.05</v>
      </c>
      <c r="L205" s="4">
        <f t="shared" si="11"/>
        <v>49.04</v>
      </c>
      <c r="M205" s="4">
        <f t="shared" si="12"/>
        <v>14.009999999999998</v>
      </c>
      <c r="N205" s="4">
        <v>7.24</v>
      </c>
      <c r="O205" s="4">
        <v>0</v>
      </c>
      <c r="P205" s="4">
        <v>57</v>
      </c>
      <c r="Q205" s="4">
        <v>20.3</v>
      </c>
      <c r="R205" s="4">
        <v>8.1</v>
      </c>
      <c r="S205" s="4">
        <v>14.89</v>
      </c>
      <c r="T205" s="4">
        <v>-14.89</v>
      </c>
      <c r="U205" s="4">
        <v>0.41</v>
      </c>
      <c r="V205" s="4">
        <v>523.28</v>
      </c>
      <c r="W205" s="4">
        <v>136.08000000000001</v>
      </c>
      <c r="X205" s="4">
        <v>84.63</v>
      </c>
      <c r="Y205" s="4">
        <v>106.51</v>
      </c>
      <c r="Z205" s="4">
        <v>9.64</v>
      </c>
      <c r="AA205" s="4">
        <v>-0.6</v>
      </c>
      <c r="AB205" s="4">
        <v>9</v>
      </c>
      <c r="AC205" s="4">
        <v>-119.32</v>
      </c>
      <c r="AD205" s="4">
        <v>980</v>
      </c>
      <c r="AE205" s="4">
        <v>8765</v>
      </c>
      <c r="AF205" s="4">
        <v>108.62</v>
      </c>
      <c r="AG205" s="4">
        <v>0.88</v>
      </c>
      <c r="AH205" s="4">
        <v>-183.12</v>
      </c>
      <c r="AI205" s="4">
        <v>103.87</v>
      </c>
      <c r="AJ205" s="4">
        <v>60</v>
      </c>
      <c r="AK205" s="4">
        <v>9</v>
      </c>
      <c r="AL205" s="4">
        <v>9</v>
      </c>
      <c r="AM205" s="4">
        <v>0.44</v>
      </c>
      <c r="AN205" s="4">
        <v>588</v>
      </c>
      <c r="AO205" s="4">
        <v>591.91999999999996</v>
      </c>
      <c r="AP205" s="4">
        <v>605638.32999999996</v>
      </c>
      <c r="AQ205" s="4">
        <v>294412.49</v>
      </c>
      <c r="AR205" s="4" t="s">
        <v>908</v>
      </c>
      <c r="AS205" s="5">
        <f t="shared" si="0"/>
        <v>17.764031963470316</v>
      </c>
    </row>
    <row r="206" spans="1:45" ht="14.25" customHeight="1" x14ac:dyDescent="0.55000000000000004">
      <c r="A206" s="4">
        <v>0</v>
      </c>
      <c r="B206" s="4">
        <v>8.1</v>
      </c>
      <c r="C206" s="4">
        <v>2349.36</v>
      </c>
      <c r="D206" s="4">
        <v>7.8</v>
      </c>
      <c r="E206" s="4" t="s">
        <v>2981</v>
      </c>
      <c r="F206" s="4" t="s">
        <v>2982</v>
      </c>
      <c r="G206" s="4" t="s">
        <v>2333</v>
      </c>
      <c r="H206" s="4" t="s">
        <v>2983</v>
      </c>
      <c r="I206" s="4">
        <v>0</v>
      </c>
      <c r="J206" s="4">
        <v>2084</v>
      </c>
      <c r="K206" s="4">
        <f t="shared" si="10"/>
        <v>48.1</v>
      </c>
      <c r="L206" s="4">
        <f t="shared" si="11"/>
        <v>46.55</v>
      </c>
      <c r="M206" s="4">
        <f t="shared" si="12"/>
        <v>1.5500000000000043</v>
      </c>
      <c r="N206" s="4">
        <v>7.18</v>
      </c>
      <c r="O206" s="4">
        <v>0</v>
      </c>
      <c r="P206" s="4">
        <v>55</v>
      </c>
      <c r="Q206" s="4">
        <v>20.9</v>
      </c>
      <c r="R206" s="4">
        <v>8.1</v>
      </c>
      <c r="S206" s="4">
        <v>15.15</v>
      </c>
      <c r="T206" s="4">
        <v>-15.15</v>
      </c>
      <c r="U206" s="4">
        <v>1.1299999999999999</v>
      </c>
      <c r="V206" s="4">
        <v>1503.59</v>
      </c>
      <c r="W206" s="4">
        <v>386.57</v>
      </c>
      <c r="X206" s="4">
        <v>223.59</v>
      </c>
      <c r="Y206" s="4">
        <v>306.41000000000003</v>
      </c>
      <c r="Z206" s="4">
        <v>11.88</v>
      </c>
      <c r="AA206" s="4">
        <v>0.23</v>
      </c>
      <c r="AB206" s="4">
        <v>7.34</v>
      </c>
      <c r="AC206" s="4">
        <v>-114.84</v>
      </c>
      <c r="AD206" s="4">
        <v>980</v>
      </c>
      <c r="AE206" s="4">
        <v>8765</v>
      </c>
      <c r="AF206" s="4">
        <v>108.62</v>
      </c>
      <c r="AG206" s="4">
        <v>0.88</v>
      </c>
      <c r="AH206" s="4">
        <v>853.08</v>
      </c>
      <c r="AI206" s="4">
        <v>167.78</v>
      </c>
      <c r="AJ206" s="4">
        <v>60</v>
      </c>
      <c r="AK206" s="4">
        <v>9</v>
      </c>
      <c r="AL206" s="4">
        <v>9</v>
      </c>
      <c r="AM206" s="4">
        <v>0.27</v>
      </c>
      <c r="AN206" s="4">
        <v>588</v>
      </c>
      <c r="AO206" s="4">
        <v>590.42999999999995</v>
      </c>
      <c r="AP206" s="4">
        <v>429246.6</v>
      </c>
      <c r="AQ206" s="4">
        <v>383465.53</v>
      </c>
      <c r="AR206" s="4" t="s">
        <v>913</v>
      </c>
      <c r="AS206" s="5">
        <f t="shared" si="0"/>
        <v>2.6130747716894946</v>
      </c>
    </row>
    <row r="207" spans="1:45" ht="14.25" customHeight="1" x14ac:dyDescent="0.55000000000000004">
      <c r="A207" s="4">
        <v>0</v>
      </c>
      <c r="B207" s="4">
        <v>8.1</v>
      </c>
      <c r="C207" s="4">
        <v>750.73</v>
      </c>
      <c r="D207" s="4">
        <v>7.8</v>
      </c>
      <c r="E207" s="4" t="s">
        <v>2984</v>
      </c>
      <c r="F207" s="4" t="s">
        <v>2950</v>
      </c>
      <c r="G207" s="4" t="s">
        <v>2333</v>
      </c>
      <c r="H207" s="4" t="s">
        <v>2978</v>
      </c>
      <c r="I207" s="4">
        <v>0</v>
      </c>
      <c r="J207" s="4">
        <v>1999.94</v>
      </c>
      <c r="K207" s="4">
        <f t="shared" si="10"/>
        <v>65.86</v>
      </c>
      <c r="L207" s="4">
        <f t="shared" si="11"/>
        <v>49.589999999999996</v>
      </c>
      <c r="M207" s="4">
        <f t="shared" si="12"/>
        <v>16.270000000000003</v>
      </c>
      <c r="N207" s="4">
        <v>7.25</v>
      </c>
      <c r="O207" s="4">
        <v>0</v>
      </c>
      <c r="P207" s="4">
        <v>63</v>
      </c>
      <c r="Q207" s="4">
        <v>19.8</v>
      </c>
      <c r="R207" s="4">
        <v>8.1</v>
      </c>
      <c r="S207" s="4">
        <v>15.21</v>
      </c>
      <c r="T207" s="4">
        <v>-15.21</v>
      </c>
      <c r="U207" s="4">
        <v>0.38</v>
      </c>
      <c r="V207" s="4">
        <v>480.47</v>
      </c>
      <c r="W207" s="4">
        <v>125.21</v>
      </c>
      <c r="X207" s="4">
        <v>78.84</v>
      </c>
      <c r="Y207" s="4">
        <v>97.77</v>
      </c>
      <c r="Z207" s="4">
        <v>9.3000000000000007</v>
      </c>
      <c r="AA207" s="4">
        <v>-0.66</v>
      </c>
      <c r="AB207" s="4">
        <v>9.1199999999999992</v>
      </c>
      <c r="AC207" s="4">
        <v>-113.89</v>
      </c>
      <c r="AD207" s="4">
        <v>980</v>
      </c>
      <c r="AE207" s="4">
        <v>8765</v>
      </c>
      <c r="AF207" s="4">
        <v>108.62</v>
      </c>
      <c r="AG207" s="4">
        <v>0.88</v>
      </c>
      <c r="AH207" s="4">
        <v>-173.9</v>
      </c>
      <c r="AI207" s="4">
        <v>95.88</v>
      </c>
      <c r="AJ207" s="4">
        <v>60</v>
      </c>
      <c r="AK207" s="4">
        <v>9</v>
      </c>
      <c r="AL207" s="4">
        <v>9</v>
      </c>
      <c r="AM207" s="4">
        <v>0.47</v>
      </c>
      <c r="AN207" s="4">
        <v>588</v>
      </c>
      <c r="AO207" s="4">
        <v>592.25</v>
      </c>
      <c r="AP207" s="4">
        <v>636678.27</v>
      </c>
      <c r="AQ207" s="4">
        <v>274932.14</v>
      </c>
      <c r="AR207" s="4" t="s">
        <v>918</v>
      </c>
      <c r="AS207" s="5">
        <f t="shared" si="0"/>
        <v>20.647610159817351</v>
      </c>
    </row>
    <row r="208" spans="1:45" ht="14.25" customHeight="1" x14ac:dyDescent="0.55000000000000004">
      <c r="A208" s="4">
        <v>0</v>
      </c>
      <c r="B208" s="4">
        <v>8.1</v>
      </c>
      <c r="C208" s="4">
        <v>699.9</v>
      </c>
      <c r="D208" s="4">
        <v>7.8</v>
      </c>
      <c r="E208" s="4" t="s">
        <v>2985</v>
      </c>
      <c r="F208" s="4" t="s">
        <v>2826</v>
      </c>
      <c r="G208" s="4" t="s">
        <v>2333</v>
      </c>
      <c r="H208" s="4" t="s">
        <v>2986</v>
      </c>
      <c r="I208" s="4">
        <v>0</v>
      </c>
      <c r="J208" s="4">
        <v>1990.63</v>
      </c>
      <c r="K208" s="4">
        <f t="shared" si="10"/>
        <v>68.599999999999994</v>
      </c>
      <c r="L208" s="4">
        <f t="shared" si="11"/>
        <v>50.23</v>
      </c>
      <c r="M208" s="4">
        <f t="shared" si="12"/>
        <v>18.369999999999997</v>
      </c>
      <c r="N208" s="4">
        <v>7.27</v>
      </c>
      <c r="O208" s="4">
        <v>0</v>
      </c>
      <c r="P208" s="4">
        <v>60</v>
      </c>
      <c r="Q208" s="4">
        <v>20.100000000000001</v>
      </c>
      <c r="R208" s="4">
        <v>8.1</v>
      </c>
      <c r="S208" s="4">
        <v>15.1</v>
      </c>
      <c r="T208" s="4">
        <v>-15.1</v>
      </c>
      <c r="U208" s="4">
        <v>0.35</v>
      </c>
      <c r="V208" s="4">
        <v>447.93</v>
      </c>
      <c r="W208" s="4">
        <v>116.96</v>
      </c>
      <c r="X208" s="4">
        <v>74.5</v>
      </c>
      <c r="Y208" s="4">
        <v>91.13</v>
      </c>
      <c r="Z208" s="4">
        <v>8.8800000000000008</v>
      </c>
      <c r="AA208" s="4">
        <v>-0.71</v>
      </c>
      <c r="AB208" s="4">
        <v>9.2200000000000006</v>
      </c>
      <c r="AC208" s="4">
        <v>-115.72</v>
      </c>
      <c r="AD208" s="4">
        <v>980</v>
      </c>
      <c r="AE208" s="4">
        <v>8765</v>
      </c>
      <c r="AF208" s="4">
        <v>108.62</v>
      </c>
      <c r="AG208" s="4">
        <v>0.88</v>
      </c>
      <c r="AH208" s="4">
        <v>-167.53</v>
      </c>
      <c r="AI208" s="4">
        <v>87.89</v>
      </c>
      <c r="AJ208" s="4">
        <v>60</v>
      </c>
      <c r="AK208" s="4">
        <v>9</v>
      </c>
      <c r="AL208" s="4">
        <v>9</v>
      </c>
      <c r="AM208" s="4">
        <v>0.52</v>
      </c>
      <c r="AN208" s="4">
        <v>588</v>
      </c>
      <c r="AO208" s="4">
        <v>592.64</v>
      </c>
      <c r="AP208" s="4">
        <v>666990.39</v>
      </c>
      <c r="AQ208" s="4">
        <v>251909.9</v>
      </c>
      <c r="AR208" s="4" t="s">
        <v>923</v>
      </c>
      <c r="AS208" s="5">
        <f t="shared" si="0"/>
        <v>23.691808789954337</v>
      </c>
    </row>
    <row r="209" spans="1:45" ht="14.25" customHeight="1" x14ac:dyDescent="0.55000000000000004">
      <c r="A209" s="4">
        <v>0</v>
      </c>
      <c r="B209" s="4">
        <v>8.1</v>
      </c>
      <c r="C209" s="4">
        <v>1407.97</v>
      </c>
      <c r="D209" s="4">
        <v>7.8</v>
      </c>
      <c r="E209" s="4" t="s">
        <v>2987</v>
      </c>
      <c r="F209" s="4" t="s">
        <v>2616</v>
      </c>
      <c r="G209" s="4" t="s">
        <v>2333</v>
      </c>
      <c r="H209" s="4" t="s">
        <v>2988</v>
      </c>
      <c r="I209" s="4">
        <v>0</v>
      </c>
      <c r="J209" s="4">
        <v>2302.71</v>
      </c>
      <c r="K209" s="4">
        <f t="shared" si="10"/>
        <v>52.58</v>
      </c>
      <c r="L209" s="4">
        <f t="shared" si="11"/>
        <v>51</v>
      </c>
      <c r="M209" s="4">
        <f t="shared" si="12"/>
        <v>1.5799999999999983</v>
      </c>
      <c r="N209" s="4">
        <v>7.45</v>
      </c>
      <c r="O209" s="4">
        <v>0</v>
      </c>
      <c r="P209" s="4">
        <v>72</v>
      </c>
      <c r="Q209" s="4">
        <v>18.8</v>
      </c>
      <c r="R209" s="4">
        <v>8.1</v>
      </c>
      <c r="S209" s="4">
        <v>15.41</v>
      </c>
      <c r="T209" s="4">
        <v>-15.41</v>
      </c>
      <c r="U209" s="4">
        <v>0.61</v>
      </c>
      <c r="V209" s="4">
        <v>901.1</v>
      </c>
      <c r="W209" s="4">
        <v>236.01</v>
      </c>
      <c r="X209" s="4">
        <v>151.82</v>
      </c>
      <c r="Y209" s="4">
        <v>183.46</v>
      </c>
      <c r="Z209" s="4">
        <v>6.19</v>
      </c>
      <c r="AA209" s="4">
        <v>-0.13</v>
      </c>
      <c r="AB209" s="4">
        <v>8.06</v>
      </c>
      <c r="AC209" s="4">
        <v>-110.87</v>
      </c>
      <c r="AD209" s="4">
        <v>980</v>
      </c>
      <c r="AE209" s="4">
        <v>8765</v>
      </c>
      <c r="AF209" s="4">
        <v>108.62</v>
      </c>
      <c r="AG209" s="4">
        <v>0.88</v>
      </c>
      <c r="AH209" s="4">
        <v>-279.56</v>
      </c>
      <c r="AI209" s="4">
        <v>79.900000000000006</v>
      </c>
      <c r="AJ209" s="4">
        <v>60</v>
      </c>
      <c r="AK209" s="4">
        <v>9</v>
      </c>
      <c r="AL209" s="4">
        <v>9</v>
      </c>
      <c r="AM209" s="4">
        <v>0.56999999999999995</v>
      </c>
      <c r="AN209" s="4">
        <v>588</v>
      </c>
      <c r="AO209" s="4">
        <v>593.1</v>
      </c>
      <c r="AP209" s="4">
        <v>262393.13</v>
      </c>
      <c r="AQ209" s="4">
        <v>224283.22</v>
      </c>
      <c r="AR209" s="4" t="s">
        <v>928</v>
      </c>
      <c r="AS209" s="5">
        <f t="shared" si="0"/>
        <v>2.1752231735159819</v>
      </c>
    </row>
    <row r="210" spans="1:45" ht="14.25" customHeight="1" x14ac:dyDescent="0.55000000000000004">
      <c r="A210" s="4">
        <v>0</v>
      </c>
      <c r="B210" s="4">
        <v>8.1</v>
      </c>
      <c r="C210" s="4">
        <v>2385.0700000000002</v>
      </c>
      <c r="D210" s="4">
        <v>7.8</v>
      </c>
      <c r="E210" s="4" t="s">
        <v>2989</v>
      </c>
      <c r="F210" s="4" t="s">
        <v>2990</v>
      </c>
      <c r="G210" s="4" t="s">
        <v>2333</v>
      </c>
      <c r="H210" s="4" t="s">
        <v>2991</v>
      </c>
      <c r="I210" s="4">
        <v>0</v>
      </c>
      <c r="J210" s="4">
        <v>2176.04</v>
      </c>
      <c r="K210" s="4">
        <f t="shared" si="10"/>
        <v>48</v>
      </c>
      <c r="L210" s="4">
        <f t="shared" si="11"/>
        <v>47.81</v>
      </c>
      <c r="M210" s="4">
        <f t="shared" si="12"/>
        <v>0.18999999999999773</v>
      </c>
      <c r="N210" s="4">
        <v>7.27</v>
      </c>
      <c r="O210" s="4">
        <v>0</v>
      </c>
      <c r="P210" s="4">
        <v>64</v>
      </c>
      <c r="Q210" s="4">
        <v>20.5</v>
      </c>
      <c r="R210" s="4">
        <v>8.1</v>
      </c>
      <c r="S210" s="4">
        <v>15.98</v>
      </c>
      <c r="T210" s="4">
        <v>-15.98</v>
      </c>
      <c r="U210" s="4">
        <v>1.1000000000000001</v>
      </c>
      <c r="V210" s="4">
        <v>1526.45</v>
      </c>
      <c r="W210" s="4">
        <v>394.83</v>
      </c>
      <c r="X210" s="4">
        <v>236.64</v>
      </c>
      <c r="Y210" s="4">
        <v>311</v>
      </c>
      <c r="Z210" s="4">
        <v>9.0399999999999991</v>
      </c>
      <c r="AA210" s="4">
        <v>0.26</v>
      </c>
      <c r="AB210" s="4">
        <v>7.27</v>
      </c>
      <c r="AC210" s="4">
        <v>-102.82</v>
      </c>
      <c r="AD210" s="4">
        <v>980</v>
      </c>
      <c r="AE210" s="4">
        <v>8765</v>
      </c>
      <c r="AF210" s="4">
        <v>108.62</v>
      </c>
      <c r="AG210" s="4">
        <v>0.88</v>
      </c>
      <c r="AH210" s="4">
        <v>1130.79</v>
      </c>
      <c r="AI210" s="4">
        <v>127.83</v>
      </c>
      <c r="AJ210" s="4">
        <v>60</v>
      </c>
      <c r="AK210" s="4">
        <v>9</v>
      </c>
      <c r="AL210" s="4">
        <v>9</v>
      </c>
      <c r="AM210" s="4">
        <v>0.35</v>
      </c>
      <c r="AN210" s="4">
        <v>588</v>
      </c>
      <c r="AO210" s="4">
        <v>591.19000000000005</v>
      </c>
      <c r="AP210" s="4">
        <v>348507.41</v>
      </c>
      <c r="AQ210" s="4">
        <v>338243.28</v>
      </c>
      <c r="AR210" s="4" t="s">
        <v>933</v>
      </c>
      <c r="AS210" s="5">
        <f t="shared" si="0"/>
        <v>0.58585216894976866</v>
      </c>
    </row>
    <row r="211" spans="1:45" ht="14.25" customHeight="1" x14ac:dyDescent="0.55000000000000004">
      <c r="A211" s="4">
        <v>0</v>
      </c>
      <c r="B211" s="4">
        <v>8.1</v>
      </c>
      <c r="C211" s="4">
        <v>3648.88</v>
      </c>
      <c r="D211" s="4">
        <v>7.8</v>
      </c>
      <c r="E211" s="4" t="s">
        <v>2992</v>
      </c>
      <c r="F211" s="4" t="s">
        <v>2656</v>
      </c>
      <c r="G211" s="4" t="s">
        <v>2333</v>
      </c>
      <c r="H211" s="4" t="s">
        <v>2993</v>
      </c>
      <c r="I211" s="4">
        <v>0</v>
      </c>
      <c r="J211" s="4">
        <v>2187.48</v>
      </c>
      <c r="K211" s="4">
        <f t="shared" si="10"/>
        <v>45.97</v>
      </c>
      <c r="L211" s="4">
        <f t="shared" si="11"/>
        <v>51</v>
      </c>
      <c r="M211" s="4">
        <f t="shared" si="12"/>
        <v>-5.0300000000000011</v>
      </c>
      <c r="N211" s="4">
        <v>7.27</v>
      </c>
      <c r="O211" s="4">
        <v>0</v>
      </c>
      <c r="P211" s="4">
        <v>66</v>
      </c>
      <c r="Q211" s="4">
        <v>20.100000000000001</v>
      </c>
      <c r="R211" s="4">
        <v>8.1</v>
      </c>
      <c r="S211" s="4">
        <v>15.87</v>
      </c>
      <c r="T211" s="4">
        <v>-15.87</v>
      </c>
      <c r="U211" s="4">
        <v>1.67</v>
      </c>
      <c r="V211" s="4">
        <v>2335.29</v>
      </c>
      <c r="W211" s="4">
        <v>603.03</v>
      </c>
      <c r="X211" s="4">
        <v>357.55</v>
      </c>
      <c r="Y211" s="4">
        <v>475.87</v>
      </c>
      <c r="Z211" s="4">
        <v>5.41</v>
      </c>
      <c r="AA211" s="4">
        <v>0.61</v>
      </c>
      <c r="AB211" s="4">
        <v>6.58</v>
      </c>
      <c r="AC211" s="4">
        <v>-104.28</v>
      </c>
      <c r="AD211" s="4">
        <v>980</v>
      </c>
      <c r="AE211" s="4">
        <v>8765</v>
      </c>
      <c r="AF211" s="4">
        <v>108.62</v>
      </c>
      <c r="AG211" s="4">
        <v>0.88</v>
      </c>
      <c r="AH211" s="4">
        <v>162.59</v>
      </c>
      <c r="AI211" s="4">
        <v>79.900000000000006</v>
      </c>
      <c r="AJ211" s="4">
        <v>60</v>
      </c>
      <c r="AK211" s="4">
        <v>9</v>
      </c>
      <c r="AL211" s="4">
        <v>9</v>
      </c>
      <c r="AM211" s="4">
        <v>0.56999999999999995</v>
      </c>
      <c r="AN211" s="4">
        <v>588</v>
      </c>
      <c r="AO211" s="4">
        <v>593.1</v>
      </c>
      <c r="AP211" s="4">
        <v>326073.38</v>
      </c>
      <c r="AQ211" s="4">
        <v>224283.22</v>
      </c>
      <c r="AR211" s="4" t="s">
        <v>938</v>
      </c>
      <c r="AS211" s="5">
        <f t="shared" si="0"/>
        <v>5.8099406392694064</v>
      </c>
    </row>
    <row r="212" spans="1:45" ht="14.25" customHeight="1" x14ac:dyDescent="0.55000000000000004">
      <c r="A212" s="4">
        <v>0</v>
      </c>
      <c r="B212" s="4">
        <v>8.1</v>
      </c>
      <c r="C212" s="4">
        <v>2061.5100000000002</v>
      </c>
      <c r="D212" s="4">
        <v>7.8</v>
      </c>
      <c r="E212" s="4" t="s">
        <v>2994</v>
      </c>
      <c r="F212" s="4" t="s">
        <v>2995</v>
      </c>
      <c r="G212" s="4" t="s">
        <v>2333</v>
      </c>
      <c r="H212" s="4" t="s">
        <v>2996</v>
      </c>
      <c r="I212" s="4">
        <v>0</v>
      </c>
      <c r="J212" s="4">
        <v>2157.73</v>
      </c>
      <c r="K212" s="4">
        <f t="shared" si="10"/>
        <v>48.980000000000004</v>
      </c>
      <c r="L212" s="4">
        <f t="shared" si="11"/>
        <v>48.58</v>
      </c>
      <c r="M212" s="4">
        <f t="shared" si="12"/>
        <v>0.40000000000000568</v>
      </c>
      <c r="N212" s="4">
        <v>7.27</v>
      </c>
      <c r="O212" s="4">
        <v>0</v>
      </c>
      <c r="P212" s="4">
        <v>61</v>
      </c>
      <c r="Q212" s="4">
        <v>20.5</v>
      </c>
      <c r="R212" s="4">
        <v>8.1</v>
      </c>
      <c r="S212" s="4">
        <v>15.59</v>
      </c>
      <c r="T212" s="4">
        <v>-15.59</v>
      </c>
      <c r="U212" s="4">
        <v>0.96</v>
      </c>
      <c r="V212" s="4">
        <v>1319.37</v>
      </c>
      <c r="W212" s="4">
        <v>341.26</v>
      </c>
      <c r="X212" s="4">
        <v>204.57</v>
      </c>
      <c r="Y212" s="4">
        <v>268.79000000000002</v>
      </c>
      <c r="Z212" s="4">
        <v>8.07</v>
      </c>
      <c r="AA212" s="4">
        <v>0.14000000000000001</v>
      </c>
      <c r="AB212" s="4">
        <v>7.51</v>
      </c>
      <c r="AC212" s="4">
        <v>-108.15</v>
      </c>
      <c r="AD212" s="4">
        <v>980</v>
      </c>
      <c r="AE212" s="4">
        <v>8765</v>
      </c>
      <c r="AF212" s="4">
        <v>108.62</v>
      </c>
      <c r="AG212" s="4">
        <v>0.88</v>
      </c>
      <c r="AH212" s="4">
        <v>-2435.83</v>
      </c>
      <c r="AI212" s="4">
        <v>111.86</v>
      </c>
      <c r="AJ212" s="4">
        <v>60</v>
      </c>
      <c r="AK212" s="4">
        <v>9</v>
      </c>
      <c r="AL212" s="4">
        <v>9</v>
      </c>
      <c r="AM212" s="4">
        <v>0.4</v>
      </c>
      <c r="AN212" s="4">
        <v>588</v>
      </c>
      <c r="AO212" s="4">
        <v>591.64</v>
      </c>
      <c r="AP212" s="4">
        <v>370626.72</v>
      </c>
      <c r="AQ212" s="4">
        <v>311109.93</v>
      </c>
      <c r="AR212" s="4" t="s">
        <v>943</v>
      </c>
      <c r="AS212" s="5">
        <f t="shared" si="0"/>
        <v>3.3970770547945195</v>
      </c>
    </row>
    <row r="213" spans="1:45" ht="14.25" customHeight="1" x14ac:dyDescent="0.55000000000000004">
      <c r="A213" s="4">
        <v>0</v>
      </c>
      <c r="B213" s="4">
        <v>8.1</v>
      </c>
      <c r="C213" s="4">
        <v>3599.12</v>
      </c>
      <c r="D213" s="4">
        <v>7.8</v>
      </c>
      <c r="E213" s="4" t="s">
        <v>2997</v>
      </c>
      <c r="F213" s="4" t="s">
        <v>2998</v>
      </c>
      <c r="G213" s="4" t="s">
        <v>2333</v>
      </c>
      <c r="H213" s="4" t="s">
        <v>2999</v>
      </c>
      <c r="I213" s="4">
        <v>0</v>
      </c>
      <c r="J213" s="4">
        <v>2187.19</v>
      </c>
      <c r="K213" s="4">
        <f t="shared" si="10"/>
        <v>46.019999999999996</v>
      </c>
      <c r="L213" s="4">
        <f t="shared" si="11"/>
        <v>46.019999999999996</v>
      </c>
      <c r="M213" s="4">
        <f t="shared" si="12"/>
        <v>0</v>
      </c>
      <c r="N213" s="4">
        <v>7.27</v>
      </c>
      <c r="O213" s="4">
        <v>0</v>
      </c>
      <c r="P213" s="4">
        <v>70</v>
      </c>
      <c r="Q213" s="4">
        <v>20.3</v>
      </c>
      <c r="R213" s="4">
        <v>8.1</v>
      </c>
      <c r="S213" s="4">
        <v>16.559999999999999</v>
      </c>
      <c r="T213" s="4">
        <v>-16.559999999999999</v>
      </c>
      <c r="U213" s="4">
        <v>1.65</v>
      </c>
      <c r="V213" s="4">
        <v>2303.44</v>
      </c>
      <c r="W213" s="4">
        <v>594.83000000000004</v>
      </c>
      <c r="X213" s="4">
        <v>352.78</v>
      </c>
      <c r="Y213" s="4">
        <v>469.38</v>
      </c>
      <c r="Z213" s="4">
        <v>13.07</v>
      </c>
      <c r="AA213" s="4">
        <v>0.6</v>
      </c>
      <c r="AB213" s="4">
        <v>6.6</v>
      </c>
      <c r="AC213" s="4">
        <v>-95.75</v>
      </c>
      <c r="AD213" s="4">
        <v>980</v>
      </c>
      <c r="AE213" s="4">
        <v>8765</v>
      </c>
      <c r="AF213" s="4">
        <v>108.62</v>
      </c>
      <c r="AG213" s="4">
        <v>0.88</v>
      </c>
      <c r="AH213" s="4">
        <v>168.27</v>
      </c>
      <c r="AI213" s="4">
        <v>192.84</v>
      </c>
      <c r="AJ213" s="4">
        <v>60</v>
      </c>
      <c r="AK213" s="4">
        <v>9</v>
      </c>
      <c r="AL213" s="4">
        <v>9</v>
      </c>
      <c r="AM213" s="4">
        <v>0.23</v>
      </c>
      <c r="AN213" s="4">
        <v>588</v>
      </c>
      <c r="AO213" s="4">
        <v>590.11</v>
      </c>
      <c r="AP213" s="4">
        <v>326638.39</v>
      </c>
      <c r="AQ213" s="4">
        <v>326638.39</v>
      </c>
      <c r="AR213" s="4" t="s">
        <v>948</v>
      </c>
      <c r="AS213" s="5">
        <f t="shared" si="0"/>
        <v>0</v>
      </c>
    </row>
    <row r="214" spans="1:45" ht="14.25" customHeight="1" x14ac:dyDescent="0.55000000000000004">
      <c r="A214" s="4">
        <v>0</v>
      </c>
      <c r="B214" s="4">
        <v>8.1</v>
      </c>
      <c r="C214" s="4">
        <v>2046.08</v>
      </c>
      <c r="D214" s="4">
        <v>7.8</v>
      </c>
      <c r="E214" s="4" t="s">
        <v>3000</v>
      </c>
      <c r="F214" s="4" t="s">
        <v>3001</v>
      </c>
      <c r="G214" s="4" t="s">
        <v>2333</v>
      </c>
      <c r="H214" s="4" t="s">
        <v>3002</v>
      </c>
      <c r="I214" s="4">
        <v>0</v>
      </c>
      <c r="J214" s="4">
        <v>2131.5</v>
      </c>
      <c r="K214" s="4">
        <f t="shared" si="10"/>
        <v>49.03</v>
      </c>
      <c r="L214" s="4">
        <f t="shared" si="11"/>
        <v>49.04</v>
      </c>
      <c r="M214" s="4">
        <f t="shared" si="12"/>
        <v>-9.9999999999980105E-3</v>
      </c>
      <c r="N214" s="4">
        <v>7.24</v>
      </c>
      <c r="O214" s="4">
        <v>0</v>
      </c>
      <c r="P214" s="4">
        <v>73</v>
      </c>
      <c r="Q214" s="4">
        <v>20.100000000000001</v>
      </c>
      <c r="R214" s="4">
        <v>8.1</v>
      </c>
      <c r="S214" s="4">
        <v>16.75</v>
      </c>
      <c r="T214" s="4">
        <v>-16.75</v>
      </c>
      <c r="U214" s="4">
        <v>0.96</v>
      </c>
      <c r="V214" s="4">
        <v>1309.49</v>
      </c>
      <c r="W214" s="4">
        <v>338.14</v>
      </c>
      <c r="X214" s="4">
        <v>200.78</v>
      </c>
      <c r="Y214" s="4">
        <v>266.8</v>
      </c>
      <c r="Z214" s="4">
        <v>7.5</v>
      </c>
      <c r="AA214" s="4">
        <v>0.13</v>
      </c>
      <c r="AB214" s="4">
        <v>7.53</v>
      </c>
      <c r="AC214" s="4">
        <v>-93.64</v>
      </c>
      <c r="AD214" s="4">
        <v>980</v>
      </c>
      <c r="AE214" s="4">
        <v>8765</v>
      </c>
      <c r="AF214" s="4">
        <v>108.62</v>
      </c>
      <c r="AG214" s="4">
        <v>0.88</v>
      </c>
      <c r="AH214" s="4">
        <v>-2710.66</v>
      </c>
      <c r="AI214" s="4">
        <v>103.87</v>
      </c>
      <c r="AJ214" s="4">
        <v>60</v>
      </c>
      <c r="AK214" s="4">
        <v>9</v>
      </c>
      <c r="AL214" s="4">
        <v>9</v>
      </c>
      <c r="AM214" s="4">
        <v>0.44</v>
      </c>
      <c r="AN214" s="4">
        <v>588</v>
      </c>
      <c r="AO214" s="4">
        <v>591.91999999999996</v>
      </c>
      <c r="AP214" s="4">
        <v>394010.23</v>
      </c>
      <c r="AQ214" s="4">
        <v>294412.49</v>
      </c>
      <c r="AR214" s="4" t="s">
        <v>953</v>
      </c>
      <c r="AS214" s="5">
        <f t="shared" si="0"/>
        <v>5.6848025114155245</v>
      </c>
    </row>
    <row r="215" spans="1:45" ht="14.25" customHeight="1" x14ac:dyDescent="0.55000000000000004">
      <c r="A215" s="4">
        <v>0</v>
      </c>
      <c r="B215" s="4">
        <v>8.1</v>
      </c>
      <c r="C215" s="4">
        <v>1577.23</v>
      </c>
      <c r="D215" s="4">
        <v>7.8</v>
      </c>
      <c r="E215" s="4" t="s">
        <v>3003</v>
      </c>
      <c r="F215" s="4" t="s">
        <v>3004</v>
      </c>
      <c r="G215" s="4" t="s">
        <v>2333</v>
      </c>
      <c r="H215" s="4" t="s">
        <v>3005</v>
      </c>
      <c r="I215" s="4">
        <v>0</v>
      </c>
      <c r="J215" s="4">
        <v>2120.11</v>
      </c>
      <c r="K215" s="4">
        <f t="shared" si="10"/>
        <v>51.31</v>
      </c>
      <c r="L215" s="4">
        <f t="shared" si="11"/>
        <v>48.58</v>
      </c>
      <c r="M215" s="4">
        <f t="shared" si="12"/>
        <v>2.730000000000004</v>
      </c>
      <c r="N215" s="4">
        <v>7.25</v>
      </c>
      <c r="O215" s="4">
        <v>0</v>
      </c>
      <c r="P215" s="4">
        <v>61</v>
      </c>
      <c r="Q215" s="4">
        <v>20.399999999999999</v>
      </c>
      <c r="R215" s="4">
        <v>8.1</v>
      </c>
      <c r="S215" s="4">
        <v>15.5</v>
      </c>
      <c r="T215" s="4">
        <v>-15.5</v>
      </c>
      <c r="U215" s="4">
        <v>0.74</v>
      </c>
      <c r="V215" s="4">
        <v>1009.43</v>
      </c>
      <c r="W215" s="4">
        <v>261.14999999999998</v>
      </c>
      <c r="X215" s="4">
        <v>156.94</v>
      </c>
      <c r="Y215" s="4">
        <v>205.62</v>
      </c>
      <c r="Z215" s="4">
        <v>8.4499999999999993</v>
      </c>
      <c r="AA215" s="4">
        <v>-0.08</v>
      </c>
      <c r="AB215" s="4">
        <v>7.95</v>
      </c>
      <c r="AC215" s="4">
        <v>-109.47</v>
      </c>
      <c r="AD215" s="4">
        <v>980</v>
      </c>
      <c r="AE215" s="4">
        <v>8765</v>
      </c>
      <c r="AF215" s="4">
        <v>108.62</v>
      </c>
      <c r="AG215" s="4">
        <v>0.88</v>
      </c>
      <c r="AH215" s="4">
        <v>-424.21</v>
      </c>
      <c r="AI215" s="4">
        <v>111.86</v>
      </c>
      <c r="AJ215" s="4">
        <v>60</v>
      </c>
      <c r="AK215" s="4">
        <v>9</v>
      </c>
      <c r="AL215" s="4">
        <v>9</v>
      </c>
      <c r="AM215" s="4">
        <v>0.4</v>
      </c>
      <c r="AN215" s="4">
        <v>588</v>
      </c>
      <c r="AO215" s="4">
        <v>591.64</v>
      </c>
      <c r="AP215" s="4">
        <v>419159.51</v>
      </c>
      <c r="AQ215" s="4">
        <v>311109.93</v>
      </c>
      <c r="AR215" s="4" t="s">
        <v>958</v>
      </c>
      <c r="AS215" s="5">
        <f t="shared" si="0"/>
        <v>6.167213470319636</v>
      </c>
    </row>
    <row r="216" spans="1:45" ht="14.25" customHeight="1" x14ac:dyDescent="0.55000000000000004">
      <c r="A216" s="4">
        <v>0</v>
      </c>
      <c r="B216" s="4">
        <v>8.1</v>
      </c>
      <c r="C216" s="4">
        <v>1005.42</v>
      </c>
      <c r="D216" s="4">
        <v>7.8</v>
      </c>
      <c r="E216" s="4" t="s">
        <v>3006</v>
      </c>
      <c r="F216" s="4" t="s">
        <v>3007</v>
      </c>
      <c r="G216" s="4" t="s">
        <v>2333</v>
      </c>
      <c r="H216" s="4" t="s">
        <v>3008</v>
      </c>
      <c r="I216" s="4">
        <v>0</v>
      </c>
      <c r="J216" s="4">
        <v>1908.72</v>
      </c>
      <c r="K216" s="4">
        <f t="shared" si="10"/>
        <v>57.91</v>
      </c>
      <c r="L216" s="4">
        <f t="shared" si="11"/>
        <v>49.589999999999996</v>
      </c>
      <c r="M216" s="4">
        <f t="shared" si="12"/>
        <v>8.32</v>
      </c>
      <c r="N216" s="4">
        <v>7.1</v>
      </c>
      <c r="O216" s="4">
        <v>0</v>
      </c>
      <c r="P216" s="4">
        <v>79</v>
      </c>
      <c r="Q216" s="4">
        <v>19.399999999999999</v>
      </c>
      <c r="R216" s="4">
        <v>8.1</v>
      </c>
      <c r="S216" s="4">
        <v>16.829999999999998</v>
      </c>
      <c r="T216" s="4">
        <v>-16.829999999999998</v>
      </c>
      <c r="U216" s="4">
        <v>0.53</v>
      </c>
      <c r="V216" s="4">
        <v>643.47</v>
      </c>
      <c r="W216" s="4">
        <v>165.23</v>
      </c>
      <c r="X216" s="4">
        <v>95.32</v>
      </c>
      <c r="Y216" s="4">
        <v>131.06</v>
      </c>
      <c r="Z216" s="4">
        <v>8.18</v>
      </c>
      <c r="AA216" s="4">
        <v>-0.47</v>
      </c>
      <c r="AB216" s="4">
        <v>8.74</v>
      </c>
      <c r="AC216" s="4">
        <v>-92.78</v>
      </c>
      <c r="AD216" s="4">
        <v>980</v>
      </c>
      <c r="AE216" s="4">
        <v>8765</v>
      </c>
      <c r="AF216" s="4">
        <v>108.62</v>
      </c>
      <c r="AG216" s="4">
        <v>0.88</v>
      </c>
      <c r="AH216" s="4">
        <v>-229.53</v>
      </c>
      <c r="AI216" s="4">
        <v>95.88</v>
      </c>
      <c r="AJ216" s="4">
        <v>60</v>
      </c>
      <c r="AK216" s="4">
        <v>9</v>
      </c>
      <c r="AL216" s="4">
        <v>9</v>
      </c>
      <c r="AM216" s="4">
        <v>0.47</v>
      </c>
      <c r="AN216" s="4">
        <v>588</v>
      </c>
      <c r="AO216" s="4">
        <v>592.25</v>
      </c>
      <c r="AP216" s="4">
        <v>662837.93999999994</v>
      </c>
      <c r="AQ216" s="4">
        <v>274932.14</v>
      </c>
      <c r="AR216" s="4" t="s">
        <v>963</v>
      </c>
      <c r="AS216" s="5">
        <f t="shared" si="0"/>
        <v>22.140742009132417</v>
      </c>
    </row>
    <row r="217" spans="1:45" ht="14.25" customHeight="1" x14ac:dyDescent="0.55000000000000004">
      <c r="A217" s="4">
        <v>0</v>
      </c>
      <c r="B217" s="4">
        <v>8.1</v>
      </c>
      <c r="C217" s="4">
        <v>1221.83</v>
      </c>
      <c r="D217" s="4">
        <v>7.8</v>
      </c>
      <c r="E217" s="4" t="s">
        <v>3009</v>
      </c>
      <c r="F217" s="4" t="s">
        <v>2745</v>
      </c>
      <c r="G217" s="4" t="s">
        <v>2333</v>
      </c>
      <c r="H217" s="4" t="s">
        <v>3010</v>
      </c>
      <c r="I217" s="4">
        <v>0</v>
      </c>
      <c r="J217" s="4">
        <v>1919.09</v>
      </c>
      <c r="K217" s="4">
        <f t="shared" si="10"/>
        <v>54.5</v>
      </c>
      <c r="L217" s="4">
        <f t="shared" si="11"/>
        <v>51.95</v>
      </c>
      <c r="M217" s="4">
        <f t="shared" si="12"/>
        <v>2.5499999999999972</v>
      </c>
      <c r="N217" s="4">
        <v>7.08</v>
      </c>
      <c r="O217" s="4">
        <v>0</v>
      </c>
      <c r="P217" s="4">
        <v>71</v>
      </c>
      <c r="Q217" s="4">
        <v>21</v>
      </c>
      <c r="R217" s="4">
        <v>8.1</v>
      </c>
      <c r="S217" s="4">
        <v>17.34</v>
      </c>
      <c r="T217" s="4">
        <v>-17.34</v>
      </c>
      <c r="U217" s="4">
        <v>0.64</v>
      </c>
      <c r="V217" s="4">
        <v>781.97</v>
      </c>
      <c r="W217" s="4">
        <v>200.15</v>
      </c>
      <c r="X217" s="4">
        <v>113.04</v>
      </c>
      <c r="Y217" s="4">
        <v>159.32</v>
      </c>
      <c r="Z217" s="4">
        <v>5.77</v>
      </c>
      <c r="AA217" s="4">
        <v>-0.32</v>
      </c>
      <c r="AB217" s="4">
        <v>8.44</v>
      </c>
      <c r="AC217" s="4">
        <v>-87.66</v>
      </c>
      <c r="AD217" s="4">
        <v>980</v>
      </c>
      <c r="AE217" s="4">
        <v>8765</v>
      </c>
      <c r="AF217" s="4">
        <v>108.62</v>
      </c>
      <c r="AG217" s="4">
        <v>0.88</v>
      </c>
      <c r="AH217" s="4">
        <v>-298.97000000000003</v>
      </c>
      <c r="AI217" s="4">
        <v>71.91</v>
      </c>
      <c r="AJ217" s="4">
        <v>60</v>
      </c>
      <c r="AK217" s="4">
        <v>9</v>
      </c>
      <c r="AL217" s="4">
        <v>9</v>
      </c>
      <c r="AM217" s="4">
        <v>0.63</v>
      </c>
      <c r="AN217" s="4">
        <v>588</v>
      </c>
      <c r="AO217" s="4">
        <v>593.66999999999996</v>
      </c>
      <c r="AP217" s="4">
        <v>625135.81000000006</v>
      </c>
      <c r="AQ217" s="4">
        <v>190517.28</v>
      </c>
      <c r="AR217" s="4" t="s">
        <v>968</v>
      </c>
      <c r="AS217" s="5">
        <f t="shared" si="0"/>
        <v>24.80699372146119</v>
      </c>
    </row>
    <row r="218" spans="1:45" ht="14.25" customHeight="1" x14ac:dyDescent="0.55000000000000004">
      <c r="A218" s="4">
        <v>0</v>
      </c>
      <c r="B218" s="4">
        <v>8.1</v>
      </c>
      <c r="C218" s="4">
        <v>3061.47</v>
      </c>
      <c r="D218" s="4">
        <v>7.8</v>
      </c>
      <c r="E218" s="4" t="s">
        <v>3011</v>
      </c>
      <c r="F218" s="4" t="s">
        <v>3012</v>
      </c>
      <c r="G218" s="4" t="s">
        <v>2333</v>
      </c>
      <c r="H218" s="4" t="s">
        <v>3013</v>
      </c>
      <c r="I218" s="4">
        <v>0</v>
      </c>
      <c r="J218" s="4">
        <v>2183.39</v>
      </c>
      <c r="K218" s="4">
        <f t="shared" si="10"/>
        <v>46.69</v>
      </c>
      <c r="L218" s="4">
        <f t="shared" si="11"/>
        <v>48.17</v>
      </c>
      <c r="M218" s="4">
        <f t="shared" si="12"/>
        <v>-1.480000000000004</v>
      </c>
      <c r="N218" s="4">
        <v>7.27</v>
      </c>
      <c r="O218" s="4">
        <v>0</v>
      </c>
      <c r="P218" s="4">
        <v>67</v>
      </c>
      <c r="Q218" s="4">
        <v>20.100000000000001</v>
      </c>
      <c r="R218" s="4">
        <v>8.1</v>
      </c>
      <c r="S218" s="4">
        <v>15.99</v>
      </c>
      <c r="T218" s="4">
        <v>-15.99</v>
      </c>
      <c r="U218" s="4">
        <v>1.4</v>
      </c>
      <c r="V218" s="4">
        <v>1959.34</v>
      </c>
      <c r="W218" s="4">
        <v>506.26</v>
      </c>
      <c r="X218" s="4">
        <v>301.33</v>
      </c>
      <c r="Y218" s="4">
        <v>399.24</v>
      </c>
      <c r="Z218" s="4">
        <v>8.24</v>
      </c>
      <c r="AA218" s="4">
        <v>0.47</v>
      </c>
      <c r="AB218" s="4">
        <v>6.87</v>
      </c>
      <c r="AC218" s="4">
        <v>-102.61</v>
      </c>
      <c r="AD218" s="4">
        <v>980</v>
      </c>
      <c r="AE218" s="4">
        <v>8765</v>
      </c>
      <c r="AF218" s="4">
        <v>108.62</v>
      </c>
      <c r="AG218" s="4">
        <v>0.88</v>
      </c>
      <c r="AH218" s="4">
        <v>270.10000000000002</v>
      </c>
      <c r="AI218" s="4">
        <v>119.85</v>
      </c>
      <c r="AJ218" s="4">
        <v>60</v>
      </c>
      <c r="AK218" s="4">
        <v>9</v>
      </c>
      <c r="AL218" s="4">
        <v>9</v>
      </c>
      <c r="AM218" s="4">
        <v>0.38</v>
      </c>
      <c r="AN218" s="4">
        <v>588</v>
      </c>
      <c r="AO218" s="4">
        <v>591.4</v>
      </c>
      <c r="AP218" s="4">
        <v>334008.53000000003</v>
      </c>
      <c r="AQ218" s="4">
        <v>325581.05</v>
      </c>
      <c r="AR218" s="4" t="s">
        <v>973</v>
      </c>
      <c r="AS218" s="5">
        <f t="shared" si="0"/>
        <v>0.48102054794520777</v>
      </c>
    </row>
    <row r="219" spans="1:45" ht="14.25" customHeight="1" x14ac:dyDescent="0.55000000000000004">
      <c r="A219" s="4">
        <v>0</v>
      </c>
      <c r="B219" s="4">
        <v>8.1</v>
      </c>
      <c r="C219" s="4">
        <v>3596</v>
      </c>
      <c r="D219" s="4">
        <v>7.8</v>
      </c>
      <c r="E219" s="4" t="s">
        <v>3014</v>
      </c>
      <c r="F219" s="4" t="s">
        <v>3015</v>
      </c>
      <c r="G219" s="4" t="s">
        <v>2333</v>
      </c>
      <c r="H219" s="4" t="s">
        <v>3016</v>
      </c>
      <c r="I219" s="4">
        <v>0</v>
      </c>
      <c r="J219" s="4">
        <v>2187.17</v>
      </c>
      <c r="K219" s="4">
        <f t="shared" si="10"/>
        <v>46.03</v>
      </c>
      <c r="L219" s="4">
        <f t="shared" si="11"/>
        <v>51.95</v>
      </c>
      <c r="M219" s="4">
        <f t="shared" si="12"/>
        <v>-5.9200000000000017</v>
      </c>
      <c r="N219" s="4">
        <v>7.27</v>
      </c>
      <c r="O219" s="4">
        <v>0</v>
      </c>
      <c r="P219" s="4">
        <v>78</v>
      </c>
      <c r="Q219" s="4">
        <v>19.100000000000001</v>
      </c>
      <c r="R219" s="4">
        <v>8.1</v>
      </c>
      <c r="S219" s="4">
        <v>16.420000000000002</v>
      </c>
      <c r="T219" s="4">
        <v>-16.420000000000002</v>
      </c>
      <c r="U219" s="4">
        <v>1.64</v>
      </c>
      <c r="V219" s="4">
        <v>2301.44</v>
      </c>
      <c r="W219" s="4">
        <v>594.30999999999995</v>
      </c>
      <c r="X219" s="4">
        <v>352.49</v>
      </c>
      <c r="Y219" s="4">
        <v>468.97</v>
      </c>
      <c r="Z219" s="4">
        <v>4.87</v>
      </c>
      <c r="AA219" s="4">
        <v>0.6</v>
      </c>
      <c r="AB219" s="4">
        <v>6.61</v>
      </c>
      <c r="AC219" s="4">
        <v>-97.34</v>
      </c>
      <c r="AD219" s="4">
        <v>980</v>
      </c>
      <c r="AE219" s="4">
        <v>8765</v>
      </c>
      <c r="AF219" s="4">
        <v>108.62</v>
      </c>
      <c r="AG219" s="4">
        <v>0.88</v>
      </c>
      <c r="AH219" s="4">
        <v>168.64</v>
      </c>
      <c r="AI219" s="4">
        <v>71.91</v>
      </c>
      <c r="AJ219" s="4">
        <v>60</v>
      </c>
      <c r="AK219" s="4">
        <v>9</v>
      </c>
      <c r="AL219" s="4">
        <v>9</v>
      </c>
      <c r="AM219" s="4">
        <v>0.63</v>
      </c>
      <c r="AN219" s="4">
        <v>588</v>
      </c>
      <c r="AO219" s="4">
        <v>593.66999999999996</v>
      </c>
      <c r="AP219" s="4">
        <v>326674.38</v>
      </c>
      <c r="AQ219" s="4">
        <v>190517.28</v>
      </c>
      <c r="AR219" s="4" t="s">
        <v>978</v>
      </c>
      <c r="AS219" s="5">
        <f t="shared" si="0"/>
        <v>7.7715239726027399</v>
      </c>
    </row>
    <row r="220" spans="1:45" ht="14.25" customHeight="1" x14ac:dyDescent="0.55000000000000004">
      <c r="A220" s="4">
        <v>0</v>
      </c>
      <c r="B220" s="4">
        <v>8.1</v>
      </c>
      <c r="C220" s="4">
        <v>2839.16</v>
      </c>
      <c r="D220" s="4">
        <v>7.8</v>
      </c>
      <c r="E220" s="4" t="s">
        <v>3017</v>
      </c>
      <c r="F220" s="4" t="s">
        <v>3018</v>
      </c>
      <c r="G220" s="4" t="s">
        <v>2333</v>
      </c>
      <c r="H220" s="4" t="s">
        <v>3019</v>
      </c>
      <c r="I220" s="4">
        <v>0</v>
      </c>
      <c r="J220" s="4">
        <v>2168.1799999999998</v>
      </c>
      <c r="K220" s="4">
        <f t="shared" si="10"/>
        <v>47.05</v>
      </c>
      <c r="L220" s="4">
        <f t="shared" si="11"/>
        <v>47.81</v>
      </c>
      <c r="M220" s="4">
        <f t="shared" si="12"/>
        <v>-0.76000000000000512</v>
      </c>
      <c r="N220" s="4">
        <v>7.26</v>
      </c>
      <c r="O220" s="4">
        <v>0</v>
      </c>
      <c r="P220" s="4">
        <v>74</v>
      </c>
      <c r="Q220" s="4">
        <v>19.7</v>
      </c>
      <c r="R220" s="4">
        <v>8.1</v>
      </c>
      <c r="S220" s="4">
        <v>16.5</v>
      </c>
      <c r="T220" s="4">
        <v>-16.5</v>
      </c>
      <c r="U220" s="4">
        <v>1.31</v>
      </c>
      <c r="V220" s="4">
        <v>1817.06</v>
      </c>
      <c r="W220" s="4">
        <v>469.23</v>
      </c>
      <c r="X220" s="4">
        <v>278.44</v>
      </c>
      <c r="Y220" s="4">
        <v>370.25</v>
      </c>
      <c r="Z220" s="4">
        <v>8.86</v>
      </c>
      <c r="AA220" s="4">
        <v>0.4</v>
      </c>
      <c r="AB220" s="4">
        <v>6.99</v>
      </c>
      <c r="AC220" s="4">
        <v>-96.45</v>
      </c>
      <c r="AD220" s="4">
        <v>980</v>
      </c>
      <c r="AE220" s="4">
        <v>8765</v>
      </c>
      <c r="AF220" s="4">
        <v>108.62</v>
      </c>
      <c r="AG220" s="4">
        <v>0.88</v>
      </c>
      <c r="AH220" s="4">
        <v>351.01</v>
      </c>
      <c r="AI220" s="4">
        <v>127.83</v>
      </c>
      <c r="AJ220" s="4">
        <v>60</v>
      </c>
      <c r="AK220" s="4">
        <v>9</v>
      </c>
      <c r="AL220" s="4">
        <v>9</v>
      </c>
      <c r="AM220" s="4">
        <v>0.35</v>
      </c>
      <c r="AN220" s="4">
        <v>588</v>
      </c>
      <c r="AO220" s="4">
        <v>591.19000000000005</v>
      </c>
      <c r="AP220" s="4">
        <v>349331.77</v>
      </c>
      <c r="AQ220" s="4">
        <v>338243.28</v>
      </c>
      <c r="AR220" s="4" t="s">
        <v>983</v>
      </c>
      <c r="AS220" s="5">
        <f t="shared" si="0"/>
        <v>0.63290468036529623</v>
      </c>
    </row>
    <row r="221" spans="1:45" ht="14.25" customHeight="1" x14ac:dyDescent="0.55000000000000004">
      <c r="A221" s="4">
        <v>0</v>
      </c>
      <c r="B221" s="4">
        <v>8.1</v>
      </c>
      <c r="C221" s="4">
        <v>751.05</v>
      </c>
      <c r="D221" s="4">
        <v>7.8</v>
      </c>
      <c r="E221" s="4" t="s">
        <v>3020</v>
      </c>
      <c r="F221" s="4" t="s">
        <v>2950</v>
      </c>
      <c r="G221" s="4" t="s">
        <v>2333</v>
      </c>
      <c r="H221" s="4" t="s">
        <v>3021</v>
      </c>
      <c r="I221" s="4">
        <v>0</v>
      </c>
      <c r="J221" s="4">
        <v>2000</v>
      </c>
      <c r="K221" s="4">
        <f t="shared" si="10"/>
        <v>65.84</v>
      </c>
      <c r="L221" s="4">
        <f t="shared" si="11"/>
        <v>49.589999999999996</v>
      </c>
      <c r="M221" s="4">
        <f t="shared" si="12"/>
        <v>16.250000000000007</v>
      </c>
      <c r="N221" s="4">
        <v>7.25</v>
      </c>
      <c r="O221" s="4">
        <v>0</v>
      </c>
      <c r="P221" s="4">
        <v>58</v>
      </c>
      <c r="Q221" s="4">
        <v>20.399999999999999</v>
      </c>
      <c r="R221" s="4">
        <v>8.1</v>
      </c>
      <c r="S221" s="4">
        <v>15.11</v>
      </c>
      <c r="T221" s="4">
        <v>-15.11</v>
      </c>
      <c r="U221" s="4">
        <v>0.38</v>
      </c>
      <c r="V221" s="4">
        <v>480.67</v>
      </c>
      <c r="W221" s="4">
        <v>125.26</v>
      </c>
      <c r="X221" s="4">
        <v>78.87</v>
      </c>
      <c r="Y221" s="4">
        <v>97.81</v>
      </c>
      <c r="Z221" s="4">
        <v>9.3000000000000007</v>
      </c>
      <c r="AA221" s="4">
        <v>-0.66</v>
      </c>
      <c r="AB221" s="4">
        <v>9.1199999999999992</v>
      </c>
      <c r="AC221" s="4">
        <v>-115.58</v>
      </c>
      <c r="AD221" s="4">
        <v>980</v>
      </c>
      <c r="AE221" s="4">
        <v>8765</v>
      </c>
      <c r="AF221" s="4">
        <v>108.62</v>
      </c>
      <c r="AG221" s="4">
        <v>0.88</v>
      </c>
      <c r="AH221" s="4">
        <v>-173.95</v>
      </c>
      <c r="AI221" s="4">
        <v>95.88</v>
      </c>
      <c r="AJ221" s="4">
        <v>60</v>
      </c>
      <c r="AK221" s="4">
        <v>9</v>
      </c>
      <c r="AL221" s="4">
        <v>9</v>
      </c>
      <c r="AM221" s="4">
        <v>0.47</v>
      </c>
      <c r="AN221" s="4">
        <v>588</v>
      </c>
      <c r="AO221" s="4">
        <v>592.25</v>
      </c>
      <c r="AP221" s="4">
        <v>636506.52</v>
      </c>
      <c r="AQ221" s="4">
        <v>274932.14</v>
      </c>
      <c r="AR221" s="4" t="s">
        <v>988</v>
      </c>
      <c r="AS221" s="5">
        <f t="shared" si="0"/>
        <v>20.63780707762557</v>
      </c>
    </row>
    <row r="222" spans="1:45" ht="14.25" customHeight="1" x14ac:dyDescent="0.55000000000000004">
      <c r="A222" s="4">
        <v>0</v>
      </c>
      <c r="B222" s="4">
        <v>8.1</v>
      </c>
      <c r="C222" s="4">
        <v>1015.47</v>
      </c>
      <c r="D222" s="4">
        <v>7.8</v>
      </c>
      <c r="E222" s="4" t="s">
        <v>3022</v>
      </c>
      <c r="F222" s="4" t="s">
        <v>3023</v>
      </c>
      <c r="G222" s="4" t="s">
        <v>2333</v>
      </c>
      <c r="H222" s="4" t="s">
        <v>3024</v>
      </c>
      <c r="I222" s="4">
        <v>0</v>
      </c>
      <c r="J222" s="4">
        <v>1909.32</v>
      </c>
      <c r="K222" s="4">
        <f t="shared" si="10"/>
        <v>57.71</v>
      </c>
      <c r="L222" s="4">
        <f t="shared" si="11"/>
        <v>46.2</v>
      </c>
      <c r="M222" s="4">
        <f t="shared" si="12"/>
        <v>11.509999999999998</v>
      </c>
      <c r="N222" s="4">
        <v>7.1</v>
      </c>
      <c r="O222" s="4">
        <v>0</v>
      </c>
      <c r="P222" s="4">
        <v>81</v>
      </c>
      <c r="Q222" s="4">
        <v>19.8</v>
      </c>
      <c r="R222" s="4">
        <v>8.1</v>
      </c>
      <c r="S222" s="4">
        <v>17.46</v>
      </c>
      <c r="T222" s="4">
        <v>-17.46</v>
      </c>
      <c r="U222" s="4">
        <v>0.53</v>
      </c>
      <c r="V222" s="4">
        <v>649.9</v>
      </c>
      <c r="W222" s="4">
        <v>166.85</v>
      </c>
      <c r="X222" s="4">
        <v>96.14</v>
      </c>
      <c r="Y222" s="4">
        <v>132.37</v>
      </c>
      <c r="Z222" s="4">
        <v>15.61</v>
      </c>
      <c r="AA222" s="4">
        <v>-0.46</v>
      </c>
      <c r="AB222" s="4">
        <v>8.73</v>
      </c>
      <c r="AC222" s="4">
        <v>-86.53</v>
      </c>
      <c r="AD222" s="4">
        <v>980</v>
      </c>
      <c r="AE222" s="4">
        <v>8765</v>
      </c>
      <c r="AF222" s="4">
        <v>108.62</v>
      </c>
      <c r="AG222" s="4">
        <v>0.88</v>
      </c>
      <c r="AH222" s="4">
        <v>-232.03</v>
      </c>
      <c r="AI222" s="4">
        <v>183.76</v>
      </c>
      <c r="AJ222" s="4">
        <v>60</v>
      </c>
      <c r="AK222" s="4">
        <v>9</v>
      </c>
      <c r="AL222" s="4">
        <v>9</v>
      </c>
      <c r="AM222" s="4">
        <v>0.25</v>
      </c>
      <c r="AN222" s="4">
        <v>588</v>
      </c>
      <c r="AO222" s="4">
        <v>590.22</v>
      </c>
      <c r="AP222" s="4">
        <v>660608.78</v>
      </c>
      <c r="AQ222" s="4">
        <v>396049.11</v>
      </c>
      <c r="AR222" s="4" t="s">
        <v>993</v>
      </c>
      <c r="AS222" s="5">
        <f t="shared" si="0"/>
        <v>15.100437785388131</v>
      </c>
    </row>
    <row r="223" spans="1:45" ht="14.25" customHeight="1" x14ac:dyDescent="0.55000000000000004">
      <c r="A223" s="4">
        <v>0</v>
      </c>
      <c r="B223" s="4">
        <v>8.1</v>
      </c>
      <c r="C223" s="4">
        <v>1082.58</v>
      </c>
      <c r="D223" s="4">
        <v>7.8</v>
      </c>
      <c r="E223" s="4" t="s">
        <v>3025</v>
      </c>
      <c r="F223" s="4" t="s">
        <v>2745</v>
      </c>
      <c r="G223" s="4" t="s">
        <v>2333</v>
      </c>
      <c r="H223" s="4" t="s">
        <v>3026</v>
      </c>
      <c r="I223" s="4">
        <v>0</v>
      </c>
      <c r="J223" s="4">
        <v>1912.97</v>
      </c>
      <c r="K223" s="4">
        <f t="shared" si="10"/>
        <v>56.489999999999995</v>
      </c>
      <c r="L223" s="4">
        <f t="shared" si="11"/>
        <v>51.95</v>
      </c>
      <c r="M223" s="4">
        <f t="shared" si="12"/>
        <v>4.539999999999992</v>
      </c>
      <c r="N223" s="4">
        <v>7.09</v>
      </c>
      <c r="O223" s="4">
        <v>0</v>
      </c>
      <c r="P223" s="4">
        <v>80</v>
      </c>
      <c r="Q223" s="4">
        <v>20</v>
      </c>
      <c r="R223" s="4">
        <v>8.1</v>
      </c>
      <c r="S223" s="4">
        <v>17.53</v>
      </c>
      <c r="T223" s="4">
        <v>-17.53</v>
      </c>
      <c r="U223" s="4">
        <v>0.56999999999999995</v>
      </c>
      <c r="V223" s="4">
        <v>692.85</v>
      </c>
      <c r="W223" s="4">
        <v>177.67</v>
      </c>
      <c r="X223" s="4">
        <v>101.62</v>
      </c>
      <c r="Y223" s="4">
        <v>141.13999999999999</v>
      </c>
      <c r="Z223" s="4">
        <v>5.98</v>
      </c>
      <c r="AA223" s="4">
        <v>-0.42</v>
      </c>
      <c r="AB223" s="4">
        <v>8.6300000000000008</v>
      </c>
      <c r="AC223" s="4">
        <v>-85.9</v>
      </c>
      <c r="AD223" s="4">
        <v>980</v>
      </c>
      <c r="AE223" s="4">
        <v>8765</v>
      </c>
      <c r="AF223" s="4">
        <v>108.62</v>
      </c>
      <c r="AG223" s="4">
        <v>0.88</v>
      </c>
      <c r="AH223" s="4">
        <v>-250.24</v>
      </c>
      <c r="AI223" s="4">
        <v>71.91</v>
      </c>
      <c r="AJ223" s="4">
        <v>60</v>
      </c>
      <c r="AK223" s="4">
        <v>9</v>
      </c>
      <c r="AL223" s="4">
        <v>9</v>
      </c>
      <c r="AM223" s="4">
        <v>0.63</v>
      </c>
      <c r="AN223" s="4">
        <v>588</v>
      </c>
      <c r="AO223" s="4">
        <v>593.66999999999996</v>
      </c>
      <c r="AP223" s="4">
        <v>647120.94999999995</v>
      </c>
      <c r="AQ223" s="4">
        <v>190517.28</v>
      </c>
      <c r="AR223" s="4" t="s">
        <v>997</v>
      </c>
      <c r="AS223" s="5">
        <f t="shared" si="0"/>
        <v>26.061853310502279</v>
      </c>
    </row>
    <row r="224" spans="1:45" ht="14.25" customHeight="1" x14ac:dyDescent="0.55000000000000004">
      <c r="A224" s="4">
        <v>0</v>
      </c>
      <c r="B224" s="4">
        <v>8.1</v>
      </c>
      <c r="C224" s="4">
        <v>3669.94</v>
      </c>
      <c r="D224" s="4">
        <v>7.8</v>
      </c>
      <c r="E224" s="4" t="s">
        <v>3027</v>
      </c>
      <c r="F224" s="4" t="s">
        <v>3028</v>
      </c>
      <c r="G224" s="4" t="s">
        <v>2333</v>
      </c>
      <c r="H224" s="4" t="s">
        <v>3029</v>
      </c>
      <c r="I224" s="4">
        <v>0</v>
      </c>
      <c r="J224" s="4">
        <v>2187.61</v>
      </c>
      <c r="K224" s="4">
        <f t="shared" si="10"/>
        <v>45.95</v>
      </c>
      <c r="L224" s="4">
        <f t="shared" si="11"/>
        <v>49.589999999999996</v>
      </c>
      <c r="M224" s="4">
        <f t="shared" si="12"/>
        <v>-3.6399999999999935</v>
      </c>
      <c r="N224" s="4">
        <v>7.27</v>
      </c>
      <c r="O224" s="4">
        <v>0</v>
      </c>
      <c r="P224" s="4">
        <v>77</v>
      </c>
      <c r="Q224" s="4">
        <v>19.600000000000001</v>
      </c>
      <c r="R224" s="4">
        <v>8.1</v>
      </c>
      <c r="S224" s="4">
        <v>16.78</v>
      </c>
      <c r="T224" s="4">
        <v>-16.78</v>
      </c>
      <c r="U224" s="4">
        <v>1.68</v>
      </c>
      <c r="V224" s="4">
        <v>2348.7600000000002</v>
      </c>
      <c r="W224" s="4">
        <v>606.5</v>
      </c>
      <c r="X224" s="4">
        <v>359.56</v>
      </c>
      <c r="Y224" s="4">
        <v>478.62</v>
      </c>
      <c r="Z224" s="4">
        <v>6.49</v>
      </c>
      <c r="AA224" s="4">
        <v>0.61</v>
      </c>
      <c r="AB224" s="4">
        <v>6.57</v>
      </c>
      <c r="AC224" s="4">
        <v>-93.37</v>
      </c>
      <c r="AD224" s="4">
        <v>980</v>
      </c>
      <c r="AE224" s="4">
        <v>8765</v>
      </c>
      <c r="AF224" s="4">
        <v>108.62</v>
      </c>
      <c r="AG224" s="4">
        <v>0.88</v>
      </c>
      <c r="AH224" s="4">
        <v>160.31</v>
      </c>
      <c r="AI224" s="4">
        <v>95.88</v>
      </c>
      <c r="AJ224" s="4">
        <v>60</v>
      </c>
      <c r="AK224" s="4">
        <v>9</v>
      </c>
      <c r="AL224" s="4">
        <v>9</v>
      </c>
      <c r="AM224" s="4">
        <v>0.47</v>
      </c>
      <c r="AN224" s="4">
        <v>588</v>
      </c>
      <c r="AO224" s="4">
        <v>592.25</v>
      </c>
      <c r="AP224" s="4">
        <v>325839.27</v>
      </c>
      <c r="AQ224" s="4">
        <v>274932.14</v>
      </c>
      <c r="AR224" s="4" t="s">
        <v>1001</v>
      </c>
      <c r="AS224" s="5">
        <f t="shared" si="0"/>
        <v>2.9056581050228312</v>
      </c>
    </row>
    <row r="225" spans="1:45" ht="14.25" customHeight="1" x14ac:dyDescent="0.55000000000000004">
      <c r="A225" s="4">
        <v>0</v>
      </c>
      <c r="B225" s="4">
        <v>8.1</v>
      </c>
      <c r="C225" s="4">
        <v>2913.05</v>
      </c>
      <c r="D225" s="4">
        <v>7.8</v>
      </c>
      <c r="E225" s="4" t="s">
        <v>3030</v>
      </c>
      <c r="F225" s="4" t="s">
        <v>2995</v>
      </c>
      <c r="G225" s="4" t="s">
        <v>2333</v>
      </c>
      <c r="H225" s="4" t="s">
        <v>3031</v>
      </c>
      <c r="I225" s="4">
        <v>0</v>
      </c>
      <c r="J225" s="4">
        <v>2168.87</v>
      </c>
      <c r="K225" s="4">
        <f t="shared" si="10"/>
        <v>46.92</v>
      </c>
      <c r="L225" s="4">
        <f t="shared" si="11"/>
        <v>48.58</v>
      </c>
      <c r="M225" s="4">
        <f t="shared" si="12"/>
        <v>-1.6599999999999966</v>
      </c>
      <c r="N225" s="4">
        <v>7.26</v>
      </c>
      <c r="O225" s="4">
        <v>0</v>
      </c>
      <c r="P225" s="4">
        <v>68</v>
      </c>
      <c r="Q225" s="4">
        <v>20.2</v>
      </c>
      <c r="R225" s="4">
        <v>8.1</v>
      </c>
      <c r="S225" s="4">
        <v>16.21</v>
      </c>
      <c r="T225" s="4">
        <v>-16.21</v>
      </c>
      <c r="U225" s="4">
        <v>1.34</v>
      </c>
      <c r="V225" s="4">
        <v>1864.35</v>
      </c>
      <c r="W225" s="4">
        <v>481.39</v>
      </c>
      <c r="X225" s="4">
        <v>285.45999999999998</v>
      </c>
      <c r="Y225" s="4">
        <v>379.89</v>
      </c>
      <c r="Z225" s="4">
        <v>7.73</v>
      </c>
      <c r="AA225" s="4">
        <v>0.42</v>
      </c>
      <c r="AB225" s="4">
        <v>6.95</v>
      </c>
      <c r="AC225" s="4">
        <v>-99.84</v>
      </c>
      <c r="AD225" s="4">
        <v>980</v>
      </c>
      <c r="AE225" s="4">
        <v>8765</v>
      </c>
      <c r="AF225" s="4">
        <v>108.62</v>
      </c>
      <c r="AG225" s="4">
        <v>0.88</v>
      </c>
      <c r="AH225" s="4">
        <v>316.58</v>
      </c>
      <c r="AI225" s="4">
        <v>111.86</v>
      </c>
      <c r="AJ225" s="4">
        <v>60</v>
      </c>
      <c r="AK225" s="4">
        <v>9</v>
      </c>
      <c r="AL225" s="4">
        <v>9</v>
      </c>
      <c r="AM225" s="4">
        <v>0.4</v>
      </c>
      <c r="AN225" s="4">
        <v>588</v>
      </c>
      <c r="AO225" s="4">
        <v>591.64</v>
      </c>
      <c r="AP225" s="4">
        <v>347951.4</v>
      </c>
      <c r="AQ225" s="4">
        <v>311109.93</v>
      </c>
      <c r="AR225" s="4" t="s">
        <v>1006</v>
      </c>
      <c r="AS225" s="5">
        <f t="shared" si="0"/>
        <v>2.1028236301369878</v>
      </c>
    </row>
    <row r="226" spans="1:45" ht="14.25" customHeight="1" x14ac:dyDescent="0.55000000000000004">
      <c r="A226" s="4">
        <v>0</v>
      </c>
      <c r="B226" s="4">
        <v>8.1</v>
      </c>
      <c r="C226" s="4">
        <v>1801</v>
      </c>
      <c r="D226" s="4">
        <v>7.8</v>
      </c>
      <c r="E226" s="4" t="s">
        <v>3032</v>
      </c>
      <c r="F226" s="4" t="s">
        <v>3033</v>
      </c>
      <c r="G226" s="4" t="s">
        <v>2333</v>
      </c>
      <c r="H226" s="4" t="s">
        <v>3034</v>
      </c>
      <c r="I226" s="4">
        <v>0</v>
      </c>
      <c r="J226" s="4">
        <v>2036.34</v>
      </c>
      <c r="K226" s="4">
        <f t="shared" si="10"/>
        <v>50.05</v>
      </c>
      <c r="L226" s="4">
        <f t="shared" si="11"/>
        <v>47.81</v>
      </c>
      <c r="M226" s="4">
        <f t="shared" si="12"/>
        <v>2.2399999999999949</v>
      </c>
      <c r="N226" s="4">
        <v>7.16</v>
      </c>
      <c r="O226" s="4">
        <v>0</v>
      </c>
      <c r="P226" s="4">
        <v>80</v>
      </c>
      <c r="Q226" s="4">
        <v>19.2</v>
      </c>
      <c r="R226" s="4">
        <v>8.1</v>
      </c>
      <c r="S226" s="4">
        <v>16.760000000000002</v>
      </c>
      <c r="T226" s="4">
        <v>-16.760000000000002</v>
      </c>
      <c r="U226" s="4">
        <v>0.88</v>
      </c>
      <c r="V226" s="4">
        <v>1152.6400000000001</v>
      </c>
      <c r="W226" s="4">
        <v>296.05</v>
      </c>
      <c r="X226" s="4">
        <v>170.38</v>
      </c>
      <c r="Y226" s="4">
        <v>234.87</v>
      </c>
      <c r="Z226" s="4">
        <v>9.42</v>
      </c>
      <c r="AA226" s="4">
        <v>0.01</v>
      </c>
      <c r="AB226" s="4">
        <v>7.78</v>
      </c>
      <c r="AC226" s="4">
        <v>-93.52</v>
      </c>
      <c r="AD226" s="4">
        <v>980</v>
      </c>
      <c r="AE226" s="4">
        <v>8765</v>
      </c>
      <c r="AF226" s="4">
        <v>108.62</v>
      </c>
      <c r="AG226" s="4">
        <v>0.88</v>
      </c>
      <c r="AH226" s="4">
        <v>-939.92</v>
      </c>
      <c r="AI226" s="4">
        <v>127.83</v>
      </c>
      <c r="AJ226" s="4">
        <v>60</v>
      </c>
      <c r="AK226" s="4">
        <v>9</v>
      </c>
      <c r="AL226" s="4">
        <v>9</v>
      </c>
      <c r="AM226" s="4">
        <v>0.35</v>
      </c>
      <c r="AN226" s="4">
        <v>588</v>
      </c>
      <c r="AO226" s="4">
        <v>591.19000000000005</v>
      </c>
      <c r="AP226" s="4">
        <v>484986.46</v>
      </c>
      <c r="AQ226" s="4">
        <v>338243.28</v>
      </c>
      <c r="AR226" s="4" t="s">
        <v>1011</v>
      </c>
      <c r="AS226" s="5">
        <f t="shared" si="0"/>
        <v>8.3757522831050224</v>
      </c>
    </row>
    <row r="227" spans="1:45" ht="14.25" customHeight="1" x14ac:dyDescent="0.55000000000000004">
      <c r="A227" s="4">
        <v>0</v>
      </c>
      <c r="B227" s="4">
        <v>8.1</v>
      </c>
      <c r="C227" s="4">
        <v>1245.92</v>
      </c>
      <c r="D227" s="4">
        <v>7.8</v>
      </c>
      <c r="E227" s="4" t="s">
        <v>3035</v>
      </c>
      <c r="F227" s="4" t="s">
        <v>2777</v>
      </c>
      <c r="G227" s="4" t="s">
        <v>2333</v>
      </c>
      <c r="H227" s="4" t="s">
        <v>3036</v>
      </c>
      <c r="I227" s="4">
        <v>0</v>
      </c>
      <c r="J227" s="4">
        <v>2044.16</v>
      </c>
      <c r="K227" s="4">
        <f t="shared" si="10"/>
        <v>54.21</v>
      </c>
      <c r="L227" s="4">
        <f t="shared" si="11"/>
        <v>51.95</v>
      </c>
      <c r="M227" s="4">
        <f t="shared" si="12"/>
        <v>2.259999999999998</v>
      </c>
      <c r="N227" s="4">
        <v>7.2</v>
      </c>
      <c r="O227" s="4">
        <v>0</v>
      </c>
      <c r="P227" s="4">
        <v>87</v>
      </c>
      <c r="Q227" s="4">
        <v>18.600000000000001</v>
      </c>
      <c r="R227" s="4">
        <v>8.1</v>
      </c>
      <c r="S227" s="4">
        <v>17.03</v>
      </c>
      <c r="T227" s="4">
        <v>-17.03</v>
      </c>
      <c r="U227" s="4">
        <v>0.61</v>
      </c>
      <c r="V227" s="4">
        <v>797.39</v>
      </c>
      <c r="W227" s="4">
        <v>205.92</v>
      </c>
      <c r="X227" s="4">
        <v>122.62</v>
      </c>
      <c r="Y227" s="4">
        <v>162.41</v>
      </c>
      <c r="Z227" s="4">
        <v>5.74</v>
      </c>
      <c r="AA227" s="4">
        <v>-0.28000000000000003</v>
      </c>
      <c r="AB227" s="4">
        <v>8.35</v>
      </c>
      <c r="AC227" s="4">
        <v>-90.72</v>
      </c>
      <c r="AD227" s="4">
        <v>980</v>
      </c>
      <c r="AE227" s="4">
        <v>8765</v>
      </c>
      <c r="AF227" s="4">
        <v>108.62</v>
      </c>
      <c r="AG227" s="4">
        <v>0.88</v>
      </c>
      <c r="AH227" s="4">
        <v>-278.17</v>
      </c>
      <c r="AI227" s="4">
        <v>71.91</v>
      </c>
      <c r="AJ227" s="4">
        <v>60</v>
      </c>
      <c r="AK227" s="4">
        <v>9</v>
      </c>
      <c r="AL227" s="4">
        <v>9</v>
      </c>
      <c r="AM227" s="4">
        <v>0.63</v>
      </c>
      <c r="AN227" s="4">
        <v>588</v>
      </c>
      <c r="AO227" s="4">
        <v>593.66999999999996</v>
      </c>
      <c r="AP227" s="4">
        <v>508078.97</v>
      </c>
      <c r="AQ227" s="4">
        <v>190517.28</v>
      </c>
      <c r="AR227" s="4" t="s">
        <v>1016</v>
      </c>
      <c r="AS227" s="5">
        <f t="shared" si="0"/>
        <v>18.125667237442919</v>
      </c>
    </row>
    <row r="228" spans="1:45" ht="14.25" customHeight="1" x14ac:dyDescent="0.55000000000000004">
      <c r="A228" s="4">
        <v>0</v>
      </c>
      <c r="B228" s="4">
        <v>8.1</v>
      </c>
      <c r="C228" s="4">
        <v>3631.49</v>
      </c>
      <c r="D228" s="4">
        <v>7.8</v>
      </c>
      <c r="E228" s="4" t="s">
        <v>3037</v>
      </c>
      <c r="F228" s="4" t="s">
        <v>2998</v>
      </c>
      <c r="G228" s="4" t="s">
        <v>2333</v>
      </c>
      <c r="H228" s="4" t="s">
        <v>3038</v>
      </c>
      <c r="I228" s="4">
        <v>0</v>
      </c>
      <c r="J228" s="4">
        <v>2187.38</v>
      </c>
      <c r="K228" s="4">
        <f t="shared" si="10"/>
        <v>45.989999999999995</v>
      </c>
      <c r="L228" s="4">
        <f t="shared" si="11"/>
        <v>45.989999999999995</v>
      </c>
      <c r="M228" s="4">
        <f t="shared" si="12"/>
        <v>0</v>
      </c>
      <c r="N228" s="4">
        <v>7.27</v>
      </c>
      <c r="O228" s="4">
        <v>0</v>
      </c>
      <c r="P228" s="4">
        <v>64</v>
      </c>
      <c r="Q228" s="4">
        <v>20.7</v>
      </c>
      <c r="R228" s="4">
        <v>8.1</v>
      </c>
      <c r="S228" s="4">
        <v>16.16</v>
      </c>
      <c r="T228" s="4">
        <v>-16.16</v>
      </c>
      <c r="U228" s="4">
        <v>1.66</v>
      </c>
      <c r="V228" s="4">
        <v>2324.15</v>
      </c>
      <c r="W228" s="4">
        <v>600.16</v>
      </c>
      <c r="X228" s="4">
        <v>355.88</v>
      </c>
      <c r="Y228" s="4">
        <v>473.61</v>
      </c>
      <c r="Z228" s="4">
        <v>13.18</v>
      </c>
      <c r="AA228" s="4">
        <v>0.61</v>
      </c>
      <c r="AB228" s="4">
        <v>6.59</v>
      </c>
      <c r="AC228" s="4">
        <v>-100.49</v>
      </c>
      <c r="AD228" s="4">
        <v>980</v>
      </c>
      <c r="AE228" s="4">
        <v>8765</v>
      </c>
      <c r="AF228" s="4">
        <v>108.62</v>
      </c>
      <c r="AG228" s="4">
        <v>0.88</v>
      </c>
      <c r="AH228" s="4">
        <v>164.53</v>
      </c>
      <c r="AI228" s="4">
        <v>194.69</v>
      </c>
      <c r="AJ228" s="4">
        <v>60</v>
      </c>
      <c r="AK228" s="4">
        <v>9</v>
      </c>
      <c r="AL228" s="4">
        <v>9</v>
      </c>
      <c r="AM228" s="4">
        <v>0.23</v>
      </c>
      <c r="AN228" s="4">
        <v>588</v>
      </c>
      <c r="AO228" s="4">
        <v>590.09</v>
      </c>
      <c r="AP228" s="4">
        <v>326268.96999999997</v>
      </c>
      <c r="AQ228" s="4">
        <v>326268.96999999997</v>
      </c>
      <c r="AR228" s="4" t="s">
        <v>1020</v>
      </c>
      <c r="AS228" s="5">
        <f t="shared" si="0"/>
        <v>0</v>
      </c>
    </row>
    <row r="229" spans="1:45" ht="14.25" customHeight="1" x14ac:dyDescent="0.55000000000000004">
      <c r="A229" s="4">
        <v>0</v>
      </c>
      <c r="B229" s="4">
        <v>8.1</v>
      </c>
      <c r="C229" s="4">
        <v>3687.8</v>
      </c>
      <c r="D229" s="4">
        <v>7.8</v>
      </c>
      <c r="E229" s="4" t="s">
        <v>3039</v>
      </c>
      <c r="F229" s="4" t="s">
        <v>2998</v>
      </c>
      <c r="G229" s="4" t="s">
        <v>2333</v>
      </c>
      <c r="H229" s="4" t="s">
        <v>3040</v>
      </c>
      <c r="I229" s="4">
        <v>0</v>
      </c>
      <c r="J229" s="4">
        <v>2187.71</v>
      </c>
      <c r="K229" s="4">
        <f t="shared" si="10"/>
        <v>45.93</v>
      </c>
      <c r="L229" s="4">
        <f t="shared" si="11"/>
        <v>45.93</v>
      </c>
      <c r="M229" s="4">
        <f t="shared" si="12"/>
        <v>0</v>
      </c>
      <c r="N229" s="4">
        <v>7.26</v>
      </c>
      <c r="O229" s="4">
        <v>0</v>
      </c>
      <c r="P229" s="4">
        <v>64</v>
      </c>
      <c r="Q229" s="4">
        <v>20.100000000000001</v>
      </c>
      <c r="R229" s="4">
        <v>8.1</v>
      </c>
      <c r="S229" s="4">
        <v>15.61</v>
      </c>
      <c r="T229" s="4">
        <v>-15.61</v>
      </c>
      <c r="U229" s="4">
        <v>1.69</v>
      </c>
      <c r="V229" s="4">
        <v>2360.19</v>
      </c>
      <c r="W229" s="4">
        <v>609.44000000000005</v>
      </c>
      <c r="X229" s="4">
        <v>361.27</v>
      </c>
      <c r="Y229" s="4">
        <v>480.95</v>
      </c>
      <c r="Z229" s="4">
        <v>13.39</v>
      </c>
      <c r="AA229" s="4">
        <v>0.62</v>
      </c>
      <c r="AB229" s="4">
        <v>6.56</v>
      </c>
      <c r="AC229" s="4">
        <v>-107.82</v>
      </c>
      <c r="AD229" s="4">
        <v>980</v>
      </c>
      <c r="AE229" s="4">
        <v>8765</v>
      </c>
      <c r="AF229" s="4">
        <v>108.62</v>
      </c>
      <c r="AG229" s="4">
        <v>0.88</v>
      </c>
      <c r="AH229" s="4">
        <v>158.41999999999999</v>
      </c>
      <c r="AI229" s="4">
        <v>197.91</v>
      </c>
      <c r="AJ229" s="4">
        <v>60</v>
      </c>
      <c r="AK229" s="4">
        <v>9</v>
      </c>
      <c r="AL229" s="4">
        <v>9</v>
      </c>
      <c r="AM229" s="4">
        <v>0.23</v>
      </c>
      <c r="AN229" s="4">
        <v>588</v>
      </c>
      <c r="AO229" s="4">
        <v>590.05999999999995</v>
      </c>
      <c r="AP229" s="4">
        <v>325642.90999999997</v>
      </c>
      <c r="AQ229" s="4">
        <v>325642.90999999997</v>
      </c>
      <c r="AR229" s="4" t="s">
        <v>1025</v>
      </c>
      <c r="AS229" s="5">
        <f t="shared" si="0"/>
        <v>0</v>
      </c>
    </row>
    <row r="230" spans="1:45" ht="14.25" customHeight="1" x14ac:dyDescent="0.55000000000000004">
      <c r="A230" s="4">
        <v>0</v>
      </c>
      <c r="B230" s="4">
        <v>8.1</v>
      </c>
      <c r="C230" s="4">
        <v>3669.79</v>
      </c>
      <c r="D230" s="4">
        <v>7.8</v>
      </c>
      <c r="E230" s="4" t="s">
        <v>3041</v>
      </c>
      <c r="F230" s="4" t="s">
        <v>2998</v>
      </c>
      <c r="G230" s="4" t="s">
        <v>2333</v>
      </c>
      <c r="H230" s="4" t="s">
        <v>3042</v>
      </c>
      <c r="I230" s="4">
        <v>0</v>
      </c>
      <c r="J230" s="4">
        <v>2187.61</v>
      </c>
      <c r="K230" s="4">
        <f t="shared" si="10"/>
        <v>45.95</v>
      </c>
      <c r="L230" s="4">
        <f t="shared" si="11"/>
        <v>45.95</v>
      </c>
      <c r="M230" s="4">
        <f t="shared" si="12"/>
        <v>0</v>
      </c>
      <c r="N230" s="4">
        <v>7.27</v>
      </c>
      <c r="O230" s="4">
        <v>0</v>
      </c>
      <c r="P230" s="4">
        <v>63</v>
      </c>
      <c r="Q230" s="4">
        <v>20.6</v>
      </c>
      <c r="R230" s="4">
        <v>8.1</v>
      </c>
      <c r="S230" s="4">
        <v>15.94</v>
      </c>
      <c r="T230" s="4">
        <v>-15.94</v>
      </c>
      <c r="U230" s="4">
        <v>1.68</v>
      </c>
      <c r="V230" s="4">
        <v>2348.66</v>
      </c>
      <c r="W230" s="4">
        <v>606.47</v>
      </c>
      <c r="X230" s="4">
        <v>359.55</v>
      </c>
      <c r="Y230" s="4">
        <v>478.6</v>
      </c>
      <c r="Z230" s="4">
        <v>13.32</v>
      </c>
      <c r="AA230" s="4">
        <v>0.61</v>
      </c>
      <c r="AB230" s="4">
        <v>6.57</v>
      </c>
      <c r="AC230" s="4">
        <v>-103.32</v>
      </c>
      <c r="AD230" s="4">
        <v>980</v>
      </c>
      <c r="AE230" s="4">
        <v>8765</v>
      </c>
      <c r="AF230" s="4">
        <v>108.62</v>
      </c>
      <c r="AG230" s="4">
        <v>0.88</v>
      </c>
      <c r="AH230" s="4">
        <v>160.32</v>
      </c>
      <c r="AI230" s="4">
        <v>196.88</v>
      </c>
      <c r="AJ230" s="4">
        <v>60</v>
      </c>
      <c r="AK230" s="4">
        <v>9</v>
      </c>
      <c r="AL230" s="4">
        <v>9</v>
      </c>
      <c r="AM230" s="4">
        <v>0.23</v>
      </c>
      <c r="AN230" s="4">
        <v>588</v>
      </c>
      <c r="AO230" s="4">
        <v>590.07000000000005</v>
      </c>
      <c r="AP230" s="4">
        <v>325840.93</v>
      </c>
      <c r="AQ230" s="4">
        <v>325840.93</v>
      </c>
      <c r="AR230" s="4" t="s">
        <v>1030</v>
      </c>
      <c r="AS230" s="5">
        <f t="shared" si="0"/>
        <v>0</v>
      </c>
    </row>
    <row r="231" spans="1:45" ht="14.25" customHeight="1" x14ac:dyDescent="0.55000000000000004">
      <c r="A231" s="4">
        <v>0</v>
      </c>
      <c r="B231" s="4">
        <v>8.1</v>
      </c>
      <c r="C231" s="4">
        <v>1814.73</v>
      </c>
      <c r="D231" s="4">
        <v>7.8</v>
      </c>
      <c r="E231" s="4" t="s">
        <v>3043</v>
      </c>
      <c r="F231" s="4" t="s">
        <v>3044</v>
      </c>
      <c r="G231" s="4" t="s">
        <v>2333</v>
      </c>
      <c r="H231" s="4" t="s">
        <v>3045</v>
      </c>
      <c r="I231" s="4">
        <v>0</v>
      </c>
      <c r="J231" s="4">
        <v>2139.54</v>
      </c>
      <c r="K231" s="4">
        <f t="shared" si="10"/>
        <v>49.989999999999995</v>
      </c>
      <c r="L231" s="4">
        <f t="shared" si="11"/>
        <v>51</v>
      </c>
      <c r="M231" s="4">
        <f t="shared" si="12"/>
        <v>-1.0100000000000051</v>
      </c>
      <c r="N231" s="4">
        <v>7.26</v>
      </c>
      <c r="O231" s="4">
        <v>0</v>
      </c>
      <c r="P231" s="4">
        <v>62</v>
      </c>
      <c r="Q231" s="4">
        <v>20.5</v>
      </c>
      <c r="R231" s="4">
        <v>8.1</v>
      </c>
      <c r="S231" s="4">
        <v>15.72</v>
      </c>
      <c r="T231" s="4">
        <v>-15.72</v>
      </c>
      <c r="U231" s="4">
        <v>0.85</v>
      </c>
      <c r="V231" s="4">
        <v>1161.43</v>
      </c>
      <c r="W231" s="4">
        <v>300.39999999999998</v>
      </c>
      <c r="X231" s="4">
        <v>180.16</v>
      </c>
      <c r="Y231" s="4">
        <v>236.6</v>
      </c>
      <c r="Z231" s="4">
        <v>5.88</v>
      </c>
      <c r="AA231" s="4">
        <v>0.04</v>
      </c>
      <c r="AB231" s="4">
        <v>7.72</v>
      </c>
      <c r="AC231" s="4">
        <v>-106.31</v>
      </c>
      <c r="AD231" s="4">
        <v>980</v>
      </c>
      <c r="AE231" s="4">
        <v>8765</v>
      </c>
      <c r="AF231" s="4">
        <v>108.62</v>
      </c>
      <c r="AG231" s="4">
        <v>0.88</v>
      </c>
      <c r="AH231" s="4">
        <v>-715.52</v>
      </c>
      <c r="AI231" s="4">
        <v>79.900000000000006</v>
      </c>
      <c r="AJ231" s="4">
        <v>60</v>
      </c>
      <c r="AK231" s="4">
        <v>9</v>
      </c>
      <c r="AL231" s="4">
        <v>9</v>
      </c>
      <c r="AM231" s="4">
        <v>0.56999999999999995</v>
      </c>
      <c r="AN231" s="4">
        <v>588</v>
      </c>
      <c r="AO231" s="4">
        <v>593.1</v>
      </c>
      <c r="AP231" s="4">
        <v>393159.16</v>
      </c>
      <c r="AQ231" s="4">
        <v>224283.22</v>
      </c>
      <c r="AR231" s="4" t="s">
        <v>1035</v>
      </c>
      <c r="AS231" s="5">
        <f t="shared" si="0"/>
        <v>9.6390376712328756</v>
      </c>
    </row>
    <row r="232" spans="1:45" ht="14.25" customHeight="1" x14ac:dyDescent="0.55000000000000004">
      <c r="A232" s="4">
        <v>0</v>
      </c>
      <c r="B232" s="4">
        <v>8.1</v>
      </c>
      <c r="C232" s="4">
        <v>1261.43</v>
      </c>
      <c r="D232" s="4">
        <v>7.8</v>
      </c>
      <c r="E232" s="4" t="s">
        <v>3014</v>
      </c>
      <c r="F232" s="4" t="s">
        <v>2777</v>
      </c>
      <c r="G232" s="4" t="s">
        <v>2333</v>
      </c>
      <c r="H232" s="4" t="s">
        <v>3046</v>
      </c>
      <c r="I232" s="4">
        <v>0</v>
      </c>
      <c r="J232" s="4">
        <v>2044.9</v>
      </c>
      <c r="K232" s="4">
        <f t="shared" si="10"/>
        <v>54.03</v>
      </c>
      <c r="L232" s="4">
        <f t="shared" si="11"/>
        <v>51.95</v>
      </c>
      <c r="M232" s="4">
        <f t="shared" si="12"/>
        <v>2.0799999999999983</v>
      </c>
      <c r="N232" s="4">
        <v>7.2</v>
      </c>
      <c r="O232" s="4">
        <v>0</v>
      </c>
      <c r="P232" s="4">
        <v>83</v>
      </c>
      <c r="Q232" s="4">
        <v>18.899999999999999</v>
      </c>
      <c r="R232" s="4">
        <v>8.1</v>
      </c>
      <c r="S232" s="4">
        <v>16.84</v>
      </c>
      <c r="T232" s="4">
        <v>-16.84</v>
      </c>
      <c r="U232" s="4">
        <v>0.62</v>
      </c>
      <c r="V232" s="4">
        <v>807.32</v>
      </c>
      <c r="W232" s="4">
        <v>208.45</v>
      </c>
      <c r="X232" s="4">
        <v>124.01</v>
      </c>
      <c r="Y232" s="4">
        <v>164.44</v>
      </c>
      <c r="Z232" s="4">
        <v>5.72</v>
      </c>
      <c r="AA232" s="4">
        <v>-0.27</v>
      </c>
      <c r="AB232" s="4">
        <v>8.33</v>
      </c>
      <c r="AC232" s="4">
        <v>-92.71</v>
      </c>
      <c r="AD232" s="4">
        <v>980</v>
      </c>
      <c r="AE232" s="4">
        <v>8765</v>
      </c>
      <c r="AF232" s="4">
        <v>108.62</v>
      </c>
      <c r="AG232" s="4">
        <v>0.88</v>
      </c>
      <c r="AH232" s="4">
        <v>-283.52</v>
      </c>
      <c r="AI232" s="4">
        <v>71.91</v>
      </c>
      <c r="AJ232" s="4">
        <v>60</v>
      </c>
      <c r="AK232" s="4">
        <v>9</v>
      </c>
      <c r="AL232" s="4">
        <v>9</v>
      </c>
      <c r="AM232" s="4">
        <v>0.63</v>
      </c>
      <c r="AN232" s="4">
        <v>588</v>
      </c>
      <c r="AO232" s="4">
        <v>593.66999999999996</v>
      </c>
      <c r="AP232" s="4">
        <v>506114.61</v>
      </c>
      <c r="AQ232" s="4">
        <v>190517.28</v>
      </c>
      <c r="AR232" s="4" t="s">
        <v>1039</v>
      </c>
      <c r="AS232" s="5">
        <f t="shared" si="0"/>
        <v>18.01354623287671</v>
      </c>
    </row>
    <row r="233" spans="1:45" ht="14.25" customHeight="1" x14ac:dyDescent="0.55000000000000004">
      <c r="A233" s="4">
        <v>0</v>
      </c>
      <c r="B233" s="4">
        <v>8.1</v>
      </c>
      <c r="C233" s="4">
        <v>3685.56</v>
      </c>
      <c r="D233" s="4">
        <v>7.8</v>
      </c>
      <c r="E233" s="4" t="s">
        <v>3039</v>
      </c>
      <c r="F233" s="4" t="s">
        <v>2998</v>
      </c>
      <c r="G233" s="4" t="s">
        <v>2333</v>
      </c>
      <c r="H233" s="4" t="s">
        <v>3040</v>
      </c>
      <c r="I233" s="4">
        <v>0</v>
      </c>
      <c r="J233" s="4">
        <v>2187.6999999999998</v>
      </c>
      <c r="K233" s="4">
        <f t="shared" si="10"/>
        <v>45.93</v>
      </c>
      <c r="L233" s="4">
        <f t="shared" si="11"/>
        <v>45.93</v>
      </c>
      <c r="M233" s="4">
        <f t="shared" si="12"/>
        <v>0</v>
      </c>
      <c r="N233" s="4">
        <v>7.27</v>
      </c>
      <c r="O233" s="4">
        <v>0</v>
      </c>
      <c r="P233" s="4">
        <v>69</v>
      </c>
      <c r="Q233" s="4">
        <v>20.100000000000001</v>
      </c>
      <c r="R233" s="4">
        <v>8.1</v>
      </c>
      <c r="S233" s="4">
        <v>16.25</v>
      </c>
      <c r="T233" s="4">
        <v>-16.25</v>
      </c>
      <c r="U233" s="4">
        <v>1.68</v>
      </c>
      <c r="V233" s="4">
        <v>2358.7600000000002</v>
      </c>
      <c r="W233" s="4">
        <v>609.07000000000005</v>
      </c>
      <c r="X233" s="4">
        <v>361.06</v>
      </c>
      <c r="Y233" s="4">
        <v>480.66</v>
      </c>
      <c r="Z233" s="4">
        <v>13.38</v>
      </c>
      <c r="AA233" s="4">
        <v>0.62</v>
      </c>
      <c r="AB233" s="4">
        <v>6.57</v>
      </c>
      <c r="AC233" s="4">
        <v>-99.42</v>
      </c>
      <c r="AD233" s="4">
        <v>980</v>
      </c>
      <c r="AE233" s="4">
        <v>8765</v>
      </c>
      <c r="AF233" s="4">
        <v>108.62</v>
      </c>
      <c r="AG233" s="4">
        <v>0.88</v>
      </c>
      <c r="AH233" s="4">
        <v>158.65</v>
      </c>
      <c r="AI233" s="4">
        <v>197.78</v>
      </c>
      <c r="AJ233" s="4">
        <v>60</v>
      </c>
      <c r="AK233" s="4">
        <v>9</v>
      </c>
      <c r="AL233" s="4">
        <v>9</v>
      </c>
      <c r="AM233" s="4">
        <v>0.23</v>
      </c>
      <c r="AN233" s="4">
        <v>588</v>
      </c>
      <c r="AO233" s="4">
        <v>590.05999999999995</v>
      </c>
      <c r="AP233" s="4">
        <v>325667.42</v>
      </c>
      <c r="AQ233" s="4">
        <v>325667.42</v>
      </c>
      <c r="AR233" s="4" t="s">
        <v>1044</v>
      </c>
      <c r="AS233" s="5">
        <f t="shared" si="0"/>
        <v>0</v>
      </c>
    </row>
    <row r="234" spans="1:45" ht="14.25" customHeight="1" x14ac:dyDescent="0.55000000000000004">
      <c r="A234" s="4">
        <v>0</v>
      </c>
      <c r="B234" s="4">
        <v>8.1</v>
      </c>
      <c r="C234" s="4">
        <v>3608.89</v>
      </c>
      <c r="D234" s="4">
        <v>7.8</v>
      </c>
      <c r="E234" s="4" t="s">
        <v>3047</v>
      </c>
      <c r="F234" s="4" t="s">
        <v>2656</v>
      </c>
      <c r="G234" s="4" t="s">
        <v>2333</v>
      </c>
      <c r="H234" s="4" t="s">
        <v>3048</v>
      </c>
      <c r="I234" s="4">
        <v>0</v>
      </c>
      <c r="J234" s="4">
        <v>2187.25</v>
      </c>
      <c r="K234" s="4">
        <f t="shared" si="10"/>
        <v>46.010000000000005</v>
      </c>
      <c r="L234" s="4">
        <f t="shared" si="11"/>
        <v>51</v>
      </c>
      <c r="M234" s="4">
        <f t="shared" si="12"/>
        <v>-4.9899999999999949</v>
      </c>
      <c r="N234" s="4">
        <v>7.27</v>
      </c>
      <c r="O234" s="4">
        <v>0</v>
      </c>
      <c r="P234" s="4">
        <v>77</v>
      </c>
      <c r="Q234" s="4">
        <v>19.7</v>
      </c>
      <c r="R234" s="4">
        <v>8.1</v>
      </c>
      <c r="S234" s="4">
        <v>16.87</v>
      </c>
      <c r="T234" s="4">
        <v>-16.87</v>
      </c>
      <c r="U234" s="4">
        <v>1.65</v>
      </c>
      <c r="V234" s="4">
        <v>2309.69</v>
      </c>
      <c r="W234" s="4">
        <v>596.44000000000005</v>
      </c>
      <c r="X234" s="4">
        <v>353.72</v>
      </c>
      <c r="Y234" s="4">
        <v>470.66</v>
      </c>
      <c r="Z234" s="4">
        <v>5.41</v>
      </c>
      <c r="AA234" s="4">
        <v>0.6</v>
      </c>
      <c r="AB234" s="4">
        <v>6.6</v>
      </c>
      <c r="AC234" s="4">
        <v>-92.36</v>
      </c>
      <c r="AD234" s="4">
        <v>980</v>
      </c>
      <c r="AE234" s="4">
        <v>8765</v>
      </c>
      <c r="AF234" s="4">
        <v>108.62</v>
      </c>
      <c r="AG234" s="4">
        <v>0.88</v>
      </c>
      <c r="AH234" s="4">
        <v>167.12</v>
      </c>
      <c r="AI234" s="4">
        <v>79.900000000000006</v>
      </c>
      <c r="AJ234" s="4">
        <v>60</v>
      </c>
      <c r="AK234" s="4">
        <v>9</v>
      </c>
      <c r="AL234" s="4">
        <v>9</v>
      </c>
      <c r="AM234" s="4">
        <v>0.56999999999999995</v>
      </c>
      <c r="AN234" s="4">
        <v>588</v>
      </c>
      <c r="AO234" s="4">
        <v>593.1</v>
      </c>
      <c r="AP234" s="4">
        <v>326526.14</v>
      </c>
      <c r="AQ234" s="4">
        <v>224283.22</v>
      </c>
      <c r="AR234" s="4" t="s">
        <v>1049</v>
      </c>
      <c r="AS234" s="5">
        <f t="shared" si="0"/>
        <v>5.8357831050228315</v>
      </c>
    </row>
    <row r="235" spans="1:45" ht="14.25" customHeight="1" x14ac:dyDescent="0.55000000000000004">
      <c r="A235" s="4">
        <v>0</v>
      </c>
      <c r="B235" s="4">
        <v>8.1</v>
      </c>
      <c r="C235" s="4">
        <v>2854.44</v>
      </c>
      <c r="D235" s="4">
        <v>7.8</v>
      </c>
      <c r="E235" s="4" t="s">
        <v>3049</v>
      </c>
      <c r="F235" s="4" t="s">
        <v>3050</v>
      </c>
      <c r="G235" s="4" t="s">
        <v>2333</v>
      </c>
      <c r="H235" s="4" t="s">
        <v>3051</v>
      </c>
      <c r="I235" s="4">
        <v>0</v>
      </c>
      <c r="J235" s="4">
        <v>2168.33</v>
      </c>
      <c r="K235" s="4">
        <f t="shared" si="10"/>
        <v>47.019999999999996</v>
      </c>
      <c r="L235" s="4">
        <f t="shared" si="11"/>
        <v>51.95</v>
      </c>
      <c r="M235" s="4">
        <f t="shared" si="12"/>
        <v>-4.9300000000000068</v>
      </c>
      <c r="N235" s="4">
        <v>7.26</v>
      </c>
      <c r="O235" s="4">
        <v>0</v>
      </c>
      <c r="P235" s="4">
        <v>76</v>
      </c>
      <c r="Q235" s="4">
        <v>19.7</v>
      </c>
      <c r="R235" s="4">
        <v>8.1</v>
      </c>
      <c r="S235" s="4">
        <v>16.75</v>
      </c>
      <c r="T235" s="4">
        <v>-16.75</v>
      </c>
      <c r="U235" s="4">
        <v>1.32</v>
      </c>
      <c r="V235" s="4">
        <v>1826.84</v>
      </c>
      <c r="W235" s="4">
        <v>471.75</v>
      </c>
      <c r="X235" s="4">
        <v>279.89</v>
      </c>
      <c r="Y235" s="4">
        <v>372.24</v>
      </c>
      <c r="Z235" s="4">
        <v>4.9800000000000004</v>
      </c>
      <c r="AA235" s="4">
        <v>0.41</v>
      </c>
      <c r="AB235" s="4">
        <v>6.99</v>
      </c>
      <c r="AC235" s="4">
        <v>-93.68</v>
      </c>
      <c r="AD235" s="4">
        <v>980</v>
      </c>
      <c r="AE235" s="4">
        <v>8765</v>
      </c>
      <c r="AF235" s="4">
        <v>108.62</v>
      </c>
      <c r="AG235" s="4">
        <v>0.88</v>
      </c>
      <c r="AH235" s="4">
        <v>343.29</v>
      </c>
      <c r="AI235" s="4">
        <v>71.91</v>
      </c>
      <c r="AJ235" s="4">
        <v>60</v>
      </c>
      <c r="AK235" s="4">
        <v>9</v>
      </c>
      <c r="AL235" s="4">
        <v>9</v>
      </c>
      <c r="AM235" s="4">
        <v>0.63</v>
      </c>
      <c r="AN235" s="4">
        <v>588</v>
      </c>
      <c r="AO235" s="4">
        <v>593.66999999999996</v>
      </c>
      <c r="AP235" s="4">
        <v>349040.04</v>
      </c>
      <c r="AQ235" s="4">
        <v>190517.28</v>
      </c>
      <c r="AR235" s="4" t="s">
        <v>1054</v>
      </c>
      <c r="AS235" s="5">
        <f t="shared" si="0"/>
        <v>9.0481027397260263</v>
      </c>
    </row>
    <row r="236" spans="1:45" ht="14.25" customHeight="1" x14ac:dyDescent="0.55000000000000004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f t="shared" si="10"/>
        <v>0</v>
      </c>
      <c r="L236" s="4">
        <f t="shared" si="11"/>
        <v>0</v>
      </c>
      <c r="M236" s="4">
        <f t="shared" si="12"/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5">
        <f t="shared" si="0"/>
        <v>0</v>
      </c>
    </row>
    <row r="237" spans="1:45" ht="14.25" customHeight="1" x14ac:dyDescent="0.55000000000000004">
      <c r="A237" s="4">
        <v>0</v>
      </c>
      <c r="B237" s="4">
        <v>8.1</v>
      </c>
      <c r="C237" s="4">
        <v>1230.6600000000001</v>
      </c>
      <c r="D237" s="4">
        <v>7.8</v>
      </c>
      <c r="E237" s="4" t="s">
        <v>3052</v>
      </c>
      <c r="F237" s="4" t="s">
        <v>3007</v>
      </c>
      <c r="G237" s="4" t="s">
        <v>2333</v>
      </c>
      <c r="H237" s="4" t="s">
        <v>3053</v>
      </c>
      <c r="I237" s="4">
        <v>0</v>
      </c>
      <c r="J237" s="4">
        <v>1919.42</v>
      </c>
      <c r="K237" s="4">
        <f t="shared" si="10"/>
        <v>54.39</v>
      </c>
      <c r="L237" s="4">
        <f t="shared" si="11"/>
        <v>49.589999999999996</v>
      </c>
      <c r="M237" s="4">
        <f t="shared" si="12"/>
        <v>4.8000000000000043</v>
      </c>
      <c r="N237" s="4">
        <v>7.08</v>
      </c>
      <c r="O237" s="4">
        <v>0</v>
      </c>
      <c r="P237" s="4">
        <v>83</v>
      </c>
      <c r="Q237" s="4">
        <v>19.7</v>
      </c>
      <c r="R237" s="4">
        <v>8.1</v>
      </c>
      <c r="S237" s="4">
        <v>17.61</v>
      </c>
      <c r="T237" s="4">
        <v>-17.61</v>
      </c>
      <c r="U237" s="4">
        <v>0.64</v>
      </c>
      <c r="V237" s="4">
        <v>787.62</v>
      </c>
      <c r="W237" s="4">
        <v>201.57</v>
      </c>
      <c r="X237" s="4">
        <v>113.77</v>
      </c>
      <c r="Y237" s="4">
        <v>160.47</v>
      </c>
      <c r="Z237" s="4">
        <v>7.68</v>
      </c>
      <c r="AA237" s="4">
        <v>-0.32</v>
      </c>
      <c r="AB237" s="4">
        <v>8.43</v>
      </c>
      <c r="AC237" s="4">
        <v>-85.16</v>
      </c>
      <c r="AD237" s="4">
        <v>980</v>
      </c>
      <c r="AE237" s="4">
        <v>8765</v>
      </c>
      <c r="AF237" s="4">
        <v>108.62</v>
      </c>
      <c r="AG237" s="4">
        <v>0.88</v>
      </c>
      <c r="AH237" s="4">
        <v>-302.70999999999998</v>
      </c>
      <c r="AI237" s="4">
        <v>95.88</v>
      </c>
      <c r="AJ237" s="4">
        <v>60</v>
      </c>
      <c r="AK237" s="4">
        <v>9</v>
      </c>
      <c r="AL237" s="4">
        <v>9</v>
      </c>
      <c r="AM237" s="4">
        <v>0.47</v>
      </c>
      <c r="AN237" s="4">
        <v>588</v>
      </c>
      <c r="AO237" s="4">
        <v>592.25</v>
      </c>
      <c r="AP237" s="4">
        <v>623952.57999999996</v>
      </c>
      <c r="AQ237" s="4">
        <v>274932.14</v>
      </c>
      <c r="AR237" s="4" t="s">
        <v>1063</v>
      </c>
      <c r="AS237" s="5">
        <f t="shared" si="0"/>
        <v>19.921257990867577</v>
      </c>
    </row>
    <row r="238" spans="1:45" ht="14.25" customHeight="1" x14ac:dyDescent="0.55000000000000004">
      <c r="A238" s="4">
        <v>0</v>
      </c>
      <c r="B238" s="4">
        <v>8.1</v>
      </c>
      <c r="C238" s="4">
        <v>460.58</v>
      </c>
      <c r="D238" s="4">
        <v>7.8</v>
      </c>
      <c r="E238" s="4" t="s">
        <v>3054</v>
      </c>
      <c r="F238" s="4" t="s">
        <v>3055</v>
      </c>
      <c r="G238" s="4" t="s">
        <v>2333</v>
      </c>
      <c r="H238" s="4" t="s">
        <v>3056</v>
      </c>
      <c r="I238" s="4">
        <v>0</v>
      </c>
      <c r="J238" s="4">
        <v>1426.6</v>
      </c>
      <c r="K238" s="4">
        <f t="shared" si="10"/>
        <v>110.8</v>
      </c>
      <c r="L238" s="4">
        <f t="shared" si="11"/>
        <v>50.23</v>
      </c>
      <c r="M238" s="4">
        <f t="shared" si="12"/>
        <v>60.57</v>
      </c>
      <c r="N238" s="4">
        <v>6.94</v>
      </c>
      <c r="O238" s="4">
        <v>0</v>
      </c>
      <c r="P238" s="4">
        <v>79</v>
      </c>
      <c r="Q238" s="4">
        <v>20.9</v>
      </c>
      <c r="R238" s="4">
        <v>8.1</v>
      </c>
      <c r="S238" s="4">
        <v>18.27</v>
      </c>
      <c r="T238" s="4">
        <v>-18.27</v>
      </c>
      <c r="U238" s="4">
        <v>0.32</v>
      </c>
      <c r="V238" s="4">
        <v>294.77</v>
      </c>
      <c r="W238" s="4">
        <v>76.22</v>
      </c>
      <c r="X238" s="4">
        <v>46.9</v>
      </c>
      <c r="Y238" s="4">
        <v>59.85</v>
      </c>
      <c r="Z238" s="4">
        <v>14.34</v>
      </c>
      <c r="AA238" s="4">
        <v>-1.08</v>
      </c>
      <c r="AB238" s="4">
        <v>9.9600000000000009</v>
      </c>
      <c r="AC238" s="4">
        <v>-79.67</v>
      </c>
      <c r="AD238" s="4">
        <v>980</v>
      </c>
      <c r="AE238" s="4">
        <v>8765</v>
      </c>
      <c r="AF238" s="4">
        <v>108.62</v>
      </c>
      <c r="AG238" s="4">
        <v>0.88</v>
      </c>
      <c r="AH238" s="4">
        <v>-160.41</v>
      </c>
      <c r="AI238" s="4">
        <v>87.89</v>
      </c>
      <c r="AJ238" s="4">
        <v>60</v>
      </c>
      <c r="AK238" s="4">
        <v>9</v>
      </c>
      <c r="AL238" s="4">
        <v>9</v>
      </c>
      <c r="AM238" s="4">
        <v>0.52</v>
      </c>
      <c r="AN238" s="4">
        <v>588</v>
      </c>
      <c r="AO238" s="4">
        <v>592.64</v>
      </c>
      <c r="AP238" s="4">
        <v>1747684.07</v>
      </c>
      <c r="AQ238" s="4">
        <v>251909.9</v>
      </c>
      <c r="AR238" s="4" t="s">
        <v>1068</v>
      </c>
      <c r="AS238" s="5">
        <f t="shared" si="0"/>
        <v>85.375238013698635</v>
      </c>
    </row>
    <row r="239" spans="1:45" ht="14.25" customHeight="1" x14ac:dyDescent="0.55000000000000004">
      <c r="A239" s="4">
        <v>0</v>
      </c>
      <c r="B239" s="4">
        <v>8.1</v>
      </c>
      <c r="C239" s="4">
        <v>1547.4</v>
      </c>
      <c r="D239" s="4">
        <v>7.8</v>
      </c>
      <c r="E239" s="4" t="s">
        <v>3057</v>
      </c>
      <c r="F239" s="4" t="s">
        <v>3058</v>
      </c>
      <c r="G239" s="4" t="s">
        <v>2333</v>
      </c>
      <c r="H239" s="4" t="s">
        <v>3059</v>
      </c>
      <c r="I239" s="4">
        <v>0</v>
      </c>
      <c r="J239" s="4">
        <v>1966.73</v>
      </c>
      <c r="K239" s="4">
        <f t="shared" si="10"/>
        <v>51.51</v>
      </c>
      <c r="L239" s="4">
        <f t="shared" si="11"/>
        <v>51.95</v>
      </c>
      <c r="M239" s="4">
        <f t="shared" si="12"/>
        <v>-0.44000000000000483</v>
      </c>
      <c r="N239" s="4">
        <v>7.1</v>
      </c>
      <c r="O239" s="4">
        <v>0</v>
      </c>
      <c r="P239" s="4">
        <v>84</v>
      </c>
      <c r="Q239" s="4">
        <v>19.8</v>
      </c>
      <c r="R239" s="4">
        <v>8.1</v>
      </c>
      <c r="S239" s="4">
        <v>17.829999999999998</v>
      </c>
      <c r="T239" s="4">
        <v>-17.829999999999998</v>
      </c>
      <c r="U239" s="4">
        <v>0.79</v>
      </c>
      <c r="V239" s="4">
        <v>990.33</v>
      </c>
      <c r="W239" s="4">
        <v>253.49</v>
      </c>
      <c r="X239" s="4">
        <v>143</v>
      </c>
      <c r="Y239" s="4">
        <v>201.81</v>
      </c>
      <c r="Z239" s="4">
        <v>5.45</v>
      </c>
      <c r="AA239" s="4">
        <v>-0.13</v>
      </c>
      <c r="AB239" s="4">
        <v>8.06</v>
      </c>
      <c r="AC239" s="4">
        <v>-83.23</v>
      </c>
      <c r="AD239" s="4">
        <v>980</v>
      </c>
      <c r="AE239" s="4">
        <v>8765</v>
      </c>
      <c r="AF239" s="4">
        <v>108.62</v>
      </c>
      <c r="AG239" s="4">
        <v>0.88</v>
      </c>
      <c r="AH239" s="4">
        <v>-509.46</v>
      </c>
      <c r="AI239" s="4">
        <v>71.91</v>
      </c>
      <c r="AJ239" s="4">
        <v>60</v>
      </c>
      <c r="AK239" s="4">
        <v>9</v>
      </c>
      <c r="AL239" s="4">
        <v>9</v>
      </c>
      <c r="AM239" s="4">
        <v>0.63</v>
      </c>
      <c r="AN239" s="4">
        <v>588</v>
      </c>
      <c r="AO239" s="4">
        <v>593.66999999999996</v>
      </c>
      <c r="AP239" s="4">
        <v>558027.11</v>
      </c>
      <c r="AQ239" s="4">
        <v>190517.28</v>
      </c>
      <c r="AR239" s="4" t="s">
        <v>1072</v>
      </c>
      <c r="AS239" s="5">
        <f t="shared" si="0"/>
        <v>20.976588470319633</v>
      </c>
    </row>
    <row r="240" spans="1:45" ht="14.25" customHeight="1" x14ac:dyDescent="0.55000000000000004">
      <c r="A240" s="4">
        <v>0</v>
      </c>
      <c r="B240" s="4">
        <v>8.1</v>
      </c>
      <c r="C240" s="4">
        <v>484.47</v>
      </c>
      <c r="D240" s="4">
        <v>7.8</v>
      </c>
      <c r="E240" s="4" t="s">
        <v>3060</v>
      </c>
      <c r="F240" s="4" t="s">
        <v>3061</v>
      </c>
      <c r="G240" s="4" t="s">
        <v>2333</v>
      </c>
      <c r="H240" s="4" t="s">
        <v>3062</v>
      </c>
      <c r="I240" s="4">
        <v>0</v>
      </c>
      <c r="J240" s="4">
        <v>1527.35</v>
      </c>
      <c r="K240" s="4">
        <f t="shared" si="10"/>
        <v>99.25</v>
      </c>
      <c r="L240" s="4">
        <f t="shared" si="11"/>
        <v>49.589999999999996</v>
      </c>
      <c r="M240" s="4">
        <f t="shared" si="12"/>
        <v>49.660000000000004</v>
      </c>
      <c r="N240" s="4">
        <v>6.99</v>
      </c>
      <c r="O240" s="4">
        <v>0</v>
      </c>
      <c r="P240" s="4">
        <v>86</v>
      </c>
      <c r="Q240" s="4">
        <v>19.600000000000001</v>
      </c>
      <c r="R240" s="4">
        <v>8.1</v>
      </c>
      <c r="S240" s="4">
        <v>17.88</v>
      </c>
      <c r="T240" s="4">
        <v>-17.88</v>
      </c>
      <c r="U240" s="4">
        <v>0.32</v>
      </c>
      <c r="V240" s="4">
        <v>310.06</v>
      </c>
      <c r="W240" s="4">
        <v>80.22</v>
      </c>
      <c r="X240" s="4">
        <v>49.26</v>
      </c>
      <c r="Y240" s="4">
        <v>63</v>
      </c>
      <c r="Z240" s="4">
        <v>14.01</v>
      </c>
      <c r="AA240" s="4">
        <v>-1.04</v>
      </c>
      <c r="AB240" s="4">
        <v>9.8800000000000008</v>
      </c>
      <c r="AC240" s="4">
        <v>-82.79</v>
      </c>
      <c r="AD240" s="4">
        <v>980</v>
      </c>
      <c r="AE240" s="4">
        <v>8765</v>
      </c>
      <c r="AF240" s="4">
        <v>108.62</v>
      </c>
      <c r="AG240" s="4">
        <v>0.88</v>
      </c>
      <c r="AH240" s="4">
        <v>-159.09</v>
      </c>
      <c r="AI240" s="4">
        <v>95.88</v>
      </c>
      <c r="AJ240" s="4">
        <v>60</v>
      </c>
      <c r="AK240" s="4">
        <v>9</v>
      </c>
      <c r="AL240" s="4">
        <v>9</v>
      </c>
      <c r="AM240" s="4">
        <v>0.47</v>
      </c>
      <c r="AN240" s="4">
        <v>588</v>
      </c>
      <c r="AO240" s="4">
        <v>592.25</v>
      </c>
      <c r="AP240" s="4">
        <v>1483540.48</v>
      </c>
      <c r="AQ240" s="4">
        <v>274932.14</v>
      </c>
      <c r="AR240" s="4" t="s">
        <v>1077</v>
      </c>
      <c r="AS240" s="5">
        <f t="shared" si="0"/>
        <v>68.984494292237429</v>
      </c>
    </row>
    <row r="241" spans="1:45" ht="14.25" customHeight="1" x14ac:dyDescent="0.55000000000000004">
      <c r="A241" s="4">
        <v>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f t="shared" si="10"/>
        <v>0</v>
      </c>
      <c r="L241" s="4">
        <f t="shared" si="11"/>
        <v>0</v>
      </c>
      <c r="M241" s="4">
        <f t="shared" si="12"/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5">
        <f t="shared" si="0"/>
        <v>0</v>
      </c>
    </row>
    <row r="242" spans="1:45" ht="14.25" customHeight="1" x14ac:dyDescent="0.55000000000000004">
      <c r="A242" s="4">
        <v>0</v>
      </c>
      <c r="B242" s="4">
        <v>8.1</v>
      </c>
      <c r="C242" s="4">
        <v>449.8</v>
      </c>
      <c r="D242" s="4">
        <v>7.8</v>
      </c>
      <c r="E242" s="4" t="s">
        <v>3063</v>
      </c>
      <c r="F242" s="4" t="s">
        <v>3064</v>
      </c>
      <c r="G242" s="4" t="s">
        <v>2333</v>
      </c>
      <c r="H242" s="4" t="s">
        <v>3065</v>
      </c>
      <c r="I242" s="4">
        <v>0</v>
      </c>
      <c r="J242" s="4">
        <v>1383.31</v>
      </c>
      <c r="K242" s="4">
        <f t="shared" si="10"/>
        <v>119.31</v>
      </c>
      <c r="L242" s="4">
        <f t="shared" si="11"/>
        <v>50.23</v>
      </c>
      <c r="M242" s="4">
        <f t="shared" si="12"/>
        <v>69.080000000000013</v>
      </c>
      <c r="N242" s="4">
        <v>6.93</v>
      </c>
      <c r="O242" s="4">
        <v>0</v>
      </c>
      <c r="P242" s="4">
        <v>83</v>
      </c>
      <c r="Q242" s="4">
        <v>19.399999999999999</v>
      </c>
      <c r="R242" s="4">
        <v>8.1</v>
      </c>
      <c r="S242" s="4">
        <v>17.32</v>
      </c>
      <c r="T242" s="4">
        <v>-17.32</v>
      </c>
      <c r="U242" s="4">
        <v>0.33</v>
      </c>
      <c r="V242" s="4">
        <v>287.87</v>
      </c>
      <c r="W242" s="4">
        <v>74.569999999999993</v>
      </c>
      <c r="X242" s="4">
        <v>46.52</v>
      </c>
      <c r="Y242" s="4">
        <v>58.42</v>
      </c>
      <c r="Z242" s="4">
        <v>15.44</v>
      </c>
      <c r="AA242" s="4">
        <v>-1.0900000000000001</v>
      </c>
      <c r="AB242" s="4">
        <v>9.99</v>
      </c>
      <c r="AC242" s="4">
        <v>-87.84</v>
      </c>
      <c r="AD242" s="4">
        <v>980</v>
      </c>
      <c r="AE242" s="4">
        <v>8765</v>
      </c>
      <c r="AF242" s="4">
        <v>108.62</v>
      </c>
      <c r="AG242" s="4">
        <v>0.88</v>
      </c>
      <c r="AH242" s="4">
        <v>-160.96</v>
      </c>
      <c r="AI242" s="4">
        <v>87.89</v>
      </c>
      <c r="AJ242" s="4">
        <v>60</v>
      </c>
      <c r="AK242" s="4">
        <v>9</v>
      </c>
      <c r="AL242" s="4">
        <v>9</v>
      </c>
      <c r="AM242" s="4">
        <v>0.52</v>
      </c>
      <c r="AN242" s="4">
        <v>588</v>
      </c>
      <c r="AO242" s="4">
        <v>592.64</v>
      </c>
      <c r="AP242" s="4">
        <v>1909905.96</v>
      </c>
      <c r="AQ242" s="4">
        <v>251909.9</v>
      </c>
      <c r="AR242" s="4" t="s">
        <v>1085</v>
      </c>
      <c r="AS242" s="5">
        <f t="shared" si="0"/>
        <v>94.634478310502288</v>
      </c>
    </row>
    <row r="243" spans="1:45" ht="14.25" customHeight="1" x14ac:dyDescent="0.55000000000000004">
      <c r="A243" s="4">
        <v>0</v>
      </c>
      <c r="B243" s="4">
        <v>8.1</v>
      </c>
      <c r="C243" s="4">
        <v>461.61</v>
      </c>
      <c r="D243" s="4">
        <v>7.8</v>
      </c>
      <c r="E243" s="4" t="s">
        <v>3066</v>
      </c>
      <c r="F243" s="4" t="s">
        <v>3067</v>
      </c>
      <c r="G243" s="4" t="s">
        <v>2333</v>
      </c>
      <c r="H243" s="4" t="s">
        <v>3068</v>
      </c>
      <c r="I243" s="4">
        <v>0</v>
      </c>
      <c r="J243" s="4">
        <v>1434.67</v>
      </c>
      <c r="K243" s="4">
        <f t="shared" si="10"/>
        <v>110.14</v>
      </c>
      <c r="L243" s="4">
        <f t="shared" si="11"/>
        <v>48.58</v>
      </c>
      <c r="M243" s="4">
        <f t="shared" si="12"/>
        <v>61.56</v>
      </c>
      <c r="N243" s="4">
        <v>6.94</v>
      </c>
      <c r="O243" s="4">
        <v>0</v>
      </c>
      <c r="P243" s="4">
        <v>70</v>
      </c>
      <c r="Q243" s="4">
        <v>21.9</v>
      </c>
      <c r="R243" s="4">
        <v>8.1</v>
      </c>
      <c r="S243" s="4">
        <v>18.05</v>
      </c>
      <c r="T243" s="4">
        <v>-18.05</v>
      </c>
      <c r="U243" s="4">
        <v>0.32</v>
      </c>
      <c r="V243" s="4">
        <v>295.43</v>
      </c>
      <c r="W243" s="4">
        <v>76.41</v>
      </c>
      <c r="X243" s="4">
        <v>47.08</v>
      </c>
      <c r="Y243" s="4">
        <v>59.99</v>
      </c>
      <c r="Z243" s="4">
        <v>18.14</v>
      </c>
      <c r="AA243" s="4">
        <v>-1.08</v>
      </c>
      <c r="AB243" s="4">
        <v>9.9600000000000009</v>
      </c>
      <c r="AC243" s="4">
        <v>-81.41</v>
      </c>
      <c r="AD243" s="4">
        <v>980</v>
      </c>
      <c r="AE243" s="4">
        <v>8765</v>
      </c>
      <c r="AF243" s="4">
        <v>108.62</v>
      </c>
      <c r="AG243" s="4">
        <v>0.88</v>
      </c>
      <c r="AH243" s="4">
        <v>-160.16</v>
      </c>
      <c r="AI243" s="4">
        <v>111.86</v>
      </c>
      <c r="AJ243" s="4">
        <v>60</v>
      </c>
      <c r="AK243" s="4">
        <v>9</v>
      </c>
      <c r="AL243" s="4">
        <v>9</v>
      </c>
      <c r="AM243" s="4">
        <v>0.4</v>
      </c>
      <c r="AN243" s="4">
        <v>588</v>
      </c>
      <c r="AO243" s="4">
        <v>591.64</v>
      </c>
      <c r="AP243" s="4">
        <v>1729034</v>
      </c>
      <c r="AQ243" s="4">
        <v>311109.93</v>
      </c>
      <c r="AR243" s="4" t="s">
        <v>1089</v>
      </c>
      <c r="AS243" s="5">
        <f t="shared" si="0"/>
        <v>80.931739155251151</v>
      </c>
    </row>
    <row r="244" spans="1:45" ht="14.25" customHeight="1" x14ac:dyDescent="0.55000000000000004">
      <c r="A244" s="4">
        <v>0</v>
      </c>
      <c r="B244" s="4">
        <v>8.1</v>
      </c>
      <c r="C244" s="4">
        <v>494.15</v>
      </c>
      <c r="D244" s="4">
        <v>7.8</v>
      </c>
      <c r="E244" s="4" t="s">
        <v>3069</v>
      </c>
      <c r="F244" s="4" t="s">
        <v>3070</v>
      </c>
      <c r="G244" s="4" t="s">
        <v>2333</v>
      </c>
      <c r="H244" s="4" t="s">
        <v>3071</v>
      </c>
      <c r="I244" s="4">
        <v>0</v>
      </c>
      <c r="J244" s="4">
        <v>1582.52</v>
      </c>
      <c r="K244" s="4">
        <f t="shared" si="10"/>
        <v>95.94</v>
      </c>
      <c r="L244" s="4">
        <f t="shared" si="11"/>
        <v>51.95</v>
      </c>
      <c r="M244" s="4">
        <f t="shared" si="12"/>
        <v>43.989999999999995</v>
      </c>
      <c r="N244" s="4">
        <v>7.02</v>
      </c>
      <c r="O244" s="4">
        <v>0</v>
      </c>
      <c r="P244" s="4">
        <v>85</v>
      </c>
      <c r="Q244" s="4">
        <v>19.8</v>
      </c>
      <c r="R244" s="4">
        <v>8.1</v>
      </c>
      <c r="S244" s="4">
        <v>17.96</v>
      </c>
      <c r="T244" s="4">
        <v>-17.96</v>
      </c>
      <c r="U244" s="4">
        <v>0.31</v>
      </c>
      <c r="V244" s="4">
        <v>316.26</v>
      </c>
      <c r="W244" s="4">
        <v>82</v>
      </c>
      <c r="X244" s="4">
        <v>50.89</v>
      </c>
      <c r="Y244" s="4">
        <v>64.260000000000005</v>
      </c>
      <c r="Z244" s="4">
        <v>10.16</v>
      </c>
      <c r="AA244" s="4">
        <v>-1.02</v>
      </c>
      <c r="AB244" s="4">
        <v>9.83</v>
      </c>
      <c r="AC244" s="4">
        <v>-82.19</v>
      </c>
      <c r="AD244" s="4">
        <v>980</v>
      </c>
      <c r="AE244" s="4">
        <v>8765</v>
      </c>
      <c r="AF244" s="4">
        <v>108.62</v>
      </c>
      <c r="AG244" s="4">
        <v>0.88</v>
      </c>
      <c r="AH244" s="4">
        <v>-157.94</v>
      </c>
      <c r="AI244" s="4">
        <v>71.91</v>
      </c>
      <c r="AJ244" s="4">
        <v>60</v>
      </c>
      <c r="AK244" s="4">
        <v>9</v>
      </c>
      <c r="AL244" s="4">
        <v>9</v>
      </c>
      <c r="AM244" s="4">
        <v>0.63</v>
      </c>
      <c r="AN244" s="4">
        <v>588</v>
      </c>
      <c r="AO244" s="4">
        <v>593.66999999999996</v>
      </c>
      <c r="AP244" s="4">
        <v>1378651.54</v>
      </c>
      <c r="AQ244" s="4">
        <v>190517.28</v>
      </c>
      <c r="AR244" s="4" t="s">
        <v>1093</v>
      </c>
      <c r="AS244" s="5">
        <f t="shared" si="0"/>
        <v>67.815882420091327</v>
      </c>
    </row>
    <row r="245" spans="1:45" ht="14.25" customHeight="1" x14ac:dyDescent="0.55000000000000004">
      <c r="A245" s="4">
        <v>0</v>
      </c>
      <c r="B245" s="4">
        <v>8.1</v>
      </c>
      <c r="C245" s="4">
        <v>740.19</v>
      </c>
      <c r="D245" s="4">
        <v>7.8</v>
      </c>
      <c r="E245" s="4" t="s">
        <v>3072</v>
      </c>
      <c r="F245" s="4" t="s">
        <v>3073</v>
      </c>
      <c r="G245" s="4" t="s">
        <v>2333</v>
      </c>
      <c r="H245" s="4" t="s">
        <v>3074</v>
      </c>
      <c r="I245" s="4">
        <v>0</v>
      </c>
      <c r="J245" s="4">
        <v>1840.18</v>
      </c>
      <c r="K245" s="4">
        <f t="shared" si="10"/>
        <v>66.38</v>
      </c>
      <c r="L245" s="4">
        <f t="shared" si="11"/>
        <v>51</v>
      </c>
      <c r="M245" s="4">
        <f t="shared" si="12"/>
        <v>15.379999999999995</v>
      </c>
      <c r="N245" s="4">
        <v>7.1</v>
      </c>
      <c r="O245" s="4">
        <v>0</v>
      </c>
      <c r="P245" s="4">
        <v>85</v>
      </c>
      <c r="Q245" s="4">
        <v>19.5</v>
      </c>
      <c r="R245" s="4">
        <v>8.1</v>
      </c>
      <c r="S245" s="4">
        <v>17.66</v>
      </c>
      <c r="T245" s="4">
        <v>-17.66</v>
      </c>
      <c r="U245" s="4">
        <v>0.4</v>
      </c>
      <c r="V245" s="4">
        <v>473.72</v>
      </c>
      <c r="W245" s="4">
        <v>122.11</v>
      </c>
      <c r="X245" s="4">
        <v>72.38</v>
      </c>
      <c r="Y245" s="4">
        <v>96.43</v>
      </c>
      <c r="Z245" s="4">
        <v>7.81</v>
      </c>
      <c r="AA245" s="4">
        <v>-0.71</v>
      </c>
      <c r="AB245" s="4">
        <v>9.2200000000000006</v>
      </c>
      <c r="AC245" s="4">
        <v>-84.7</v>
      </c>
      <c r="AD245" s="4">
        <v>980</v>
      </c>
      <c r="AE245" s="4">
        <v>8765</v>
      </c>
      <c r="AF245" s="4">
        <v>108.62</v>
      </c>
      <c r="AG245" s="4">
        <v>0.88</v>
      </c>
      <c r="AH245" s="4">
        <v>-181.72</v>
      </c>
      <c r="AI245" s="4">
        <v>79.900000000000006</v>
      </c>
      <c r="AJ245" s="4">
        <v>60</v>
      </c>
      <c r="AK245" s="4">
        <v>9</v>
      </c>
      <c r="AL245" s="4">
        <v>9</v>
      </c>
      <c r="AM245" s="4">
        <v>0.56999999999999995</v>
      </c>
      <c r="AN245" s="4">
        <v>588</v>
      </c>
      <c r="AO245" s="4">
        <v>593.1</v>
      </c>
      <c r="AP245" s="4">
        <v>801832.6</v>
      </c>
      <c r="AQ245" s="4">
        <v>224283.22</v>
      </c>
      <c r="AR245" s="4" t="s">
        <v>1098</v>
      </c>
      <c r="AS245" s="5">
        <f t="shared" si="0"/>
        <v>32.965147260273973</v>
      </c>
    </row>
    <row r="246" spans="1:45" ht="14.25" customHeight="1" x14ac:dyDescent="0.55000000000000004">
      <c r="A246" s="4">
        <v>0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f t="shared" si="10"/>
        <v>0</v>
      </c>
      <c r="L246" s="4">
        <f t="shared" si="11"/>
        <v>0</v>
      </c>
      <c r="M246" s="4">
        <f t="shared" si="12"/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5">
        <f t="shared" si="0"/>
        <v>0</v>
      </c>
    </row>
    <row r="247" spans="1:45" ht="14.25" customHeight="1" x14ac:dyDescent="0.55000000000000004">
      <c r="A247" s="4">
        <v>0</v>
      </c>
      <c r="B247" s="4">
        <v>8.1</v>
      </c>
      <c r="C247" s="4">
        <v>455.33</v>
      </c>
      <c r="D247" s="4">
        <v>7.8</v>
      </c>
      <c r="E247" s="4" t="s">
        <v>3075</v>
      </c>
      <c r="F247" s="4" t="s">
        <v>3076</v>
      </c>
      <c r="G247" s="4" t="s">
        <v>2333</v>
      </c>
      <c r="H247" s="4" t="s">
        <v>3077</v>
      </c>
      <c r="I247" s="4">
        <v>0</v>
      </c>
      <c r="J247" s="4">
        <v>1412.33</v>
      </c>
      <c r="K247" s="4">
        <f t="shared" si="10"/>
        <v>114.5</v>
      </c>
      <c r="L247" s="4">
        <f t="shared" si="11"/>
        <v>50.23</v>
      </c>
      <c r="M247" s="4">
        <f t="shared" si="12"/>
        <v>64.27000000000001</v>
      </c>
      <c r="N247" s="4">
        <v>6.94</v>
      </c>
      <c r="O247" s="4">
        <v>0</v>
      </c>
      <c r="P247" s="4">
        <v>73</v>
      </c>
      <c r="Q247" s="4">
        <v>21.1</v>
      </c>
      <c r="R247" s="4">
        <v>8.1</v>
      </c>
      <c r="S247" s="4">
        <v>17.690000000000001</v>
      </c>
      <c r="T247" s="4">
        <v>-17.690000000000001</v>
      </c>
      <c r="U247" s="4">
        <v>0.32</v>
      </c>
      <c r="V247" s="4">
        <v>291.41000000000003</v>
      </c>
      <c r="W247" s="4">
        <v>75.45</v>
      </c>
      <c r="X247" s="4">
        <v>46.83</v>
      </c>
      <c r="Y247" s="4">
        <v>59.16</v>
      </c>
      <c r="Z247" s="4">
        <v>14.82</v>
      </c>
      <c r="AA247" s="4">
        <v>-1.0900000000000001</v>
      </c>
      <c r="AB247" s="4">
        <v>9.9700000000000006</v>
      </c>
      <c r="AC247" s="4">
        <v>-84.45</v>
      </c>
      <c r="AD247" s="4">
        <v>980</v>
      </c>
      <c r="AE247" s="4">
        <v>8765</v>
      </c>
      <c r="AF247" s="4">
        <v>108.62</v>
      </c>
      <c r="AG247" s="4">
        <v>0.88</v>
      </c>
      <c r="AH247" s="4">
        <v>-160.31</v>
      </c>
      <c r="AI247" s="4">
        <v>87.89</v>
      </c>
      <c r="AJ247" s="4">
        <v>60</v>
      </c>
      <c r="AK247" s="4">
        <v>9</v>
      </c>
      <c r="AL247" s="4">
        <v>9</v>
      </c>
      <c r="AM247" s="4">
        <v>0.52</v>
      </c>
      <c r="AN247" s="4">
        <v>588</v>
      </c>
      <c r="AO247" s="4">
        <v>592.64</v>
      </c>
      <c r="AP247" s="4">
        <v>1811268.4</v>
      </c>
      <c r="AQ247" s="4">
        <v>251909.9</v>
      </c>
      <c r="AR247" s="4" t="s">
        <v>1106</v>
      </c>
      <c r="AS247" s="5">
        <f t="shared" si="0"/>
        <v>89.004480593607312</v>
      </c>
    </row>
    <row r="248" spans="1:45" ht="14.25" customHeight="1" x14ac:dyDescent="0.55000000000000004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f t="shared" si="10"/>
        <v>0</v>
      </c>
      <c r="L248" s="4">
        <f t="shared" si="11"/>
        <v>0</v>
      </c>
      <c r="M248" s="4">
        <f t="shared" si="12"/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5">
        <f t="shared" si="0"/>
        <v>0</v>
      </c>
    </row>
    <row r="249" spans="1:45" ht="14.25" customHeight="1" x14ac:dyDescent="0.55000000000000004">
      <c r="A249" s="4">
        <v>0</v>
      </c>
      <c r="B249" s="4">
        <v>8.1</v>
      </c>
      <c r="C249" s="4">
        <v>589.99</v>
      </c>
      <c r="D249" s="4">
        <v>7.8</v>
      </c>
      <c r="E249" s="4" t="s">
        <v>3078</v>
      </c>
      <c r="F249" s="4" t="s">
        <v>2834</v>
      </c>
      <c r="G249" s="4" t="s">
        <v>2333</v>
      </c>
      <c r="H249" s="4" t="s">
        <v>3079</v>
      </c>
      <c r="I249" s="4">
        <v>0</v>
      </c>
      <c r="J249" s="4">
        <v>1754.07</v>
      </c>
      <c r="K249" s="4">
        <f t="shared" si="10"/>
        <v>77.849999999999994</v>
      </c>
      <c r="L249" s="4">
        <f t="shared" si="11"/>
        <v>51</v>
      </c>
      <c r="M249" s="4">
        <f t="shared" si="12"/>
        <v>26.849999999999994</v>
      </c>
      <c r="N249" s="4">
        <v>7.09</v>
      </c>
      <c r="O249" s="4">
        <v>0</v>
      </c>
      <c r="P249" s="4">
        <v>81</v>
      </c>
      <c r="Q249" s="4">
        <v>20.100000000000001</v>
      </c>
      <c r="R249" s="4">
        <v>8.1</v>
      </c>
      <c r="S249" s="4">
        <v>17.75</v>
      </c>
      <c r="T249" s="4">
        <v>-17.75</v>
      </c>
      <c r="U249" s="4">
        <v>0.34</v>
      </c>
      <c r="V249" s="4">
        <v>377.6</v>
      </c>
      <c r="W249" s="4">
        <v>97.77</v>
      </c>
      <c r="X249" s="4">
        <v>59.74</v>
      </c>
      <c r="Y249" s="4">
        <v>76.8</v>
      </c>
      <c r="Z249" s="4">
        <v>9.16</v>
      </c>
      <c r="AA249" s="4">
        <v>-0.88</v>
      </c>
      <c r="AB249" s="4">
        <v>9.56</v>
      </c>
      <c r="AC249" s="4">
        <v>-83.94</v>
      </c>
      <c r="AD249" s="4">
        <v>980</v>
      </c>
      <c r="AE249" s="4">
        <v>8765</v>
      </c>
      <c r="AF249" s="4">
        <v>108.62</v>
      </c>
      <c r="AG249" s="4">
        <v>0.88</v>
      </c>
      <c r="AH249" s="4">
        <v>-163.68</v>
      </c>
      <c r="AI249" s="4">
        <v>79.900000000000006</v>
      </c>
      <c r="AJ249" s="4">
        <v>60</v>
      </c>
      <c r="AK249" s="4">
        <v>9</v>
      </c>
      <c r="AL249" s="4">
        <v>9</v>
      </c>
      <c r="AM249" s="4">
        <v>0.56999999999999995</v>
      </c>
      <c r="AN249" s="4">
        <v>588</v>
      </c>
      <c r="AO249" s="4">
        <v>593.1</v>
      </c>
      <c r="AP249" s="4">
        <v>996761.21</v>
      </c>
      <c r="AQ249" s="4">
        <v>224283.22</v>
      </c>
      <c r="AR249" s="4" t="s">
        <v>1116</v>
      </c>
      <c r="AS249" s="5">
        <f t="shared" si="0"/>
        <v>44.091209474885844</v>
      </c>
    </row>
    <row r="250" spans="1:45" ht="14.25" customHeight="1" x14ac:dyDescent="0.55000000000000004">
      <c r="A250" s="4">
        <v>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f t="shared" si="10"/>
        <v>0</v>
      </c>
      <c r="L250" s="4">
        <f t="shared" si="11"/>
        <v>0</v>
      </c>
      <c r="M250" s="4">
        <f t="shared" si="12"/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5">
        <f t="shared" si="0"/>
        <v>0</v>
      </c>
    </row>
    <row r="251" spans="1:45" ht="14.25" customHeight="1" x14ac:dyDescent="0.55000000000000004">
      <c r="A251" s="4">
        <v>0</v>
      </c>
      <c r="B251" s="4">
        <v>8.1</v>
      </c>
      <c r="C251" s="4">
        <v>449.26</v>
      </c>
      <c r="D251" s="4">
        <v>7.8</v>
      </c>
      <c r="E251" s="4" t="s">
        <v>3080</v>
      </c>
      <c r="F251" s="4" t="s">
        <v>3081</v>
      </c>
      <c r="G251" s="4" t="s">
        <v>2333</v>
      </c>
      <c r="H251" s="4" t="s">
        <v>3082</v>
      </c>
      <c r="I251" s="4">
        <v>0</v>
      </c>
      <c r="J251" s="4">
        <v>1383.76</v>
      </c>
      <c r="K251" s="4">
        <f t="shared" si="10"/>
        <v>119.85</v>
      </c>
      <c r="L251" s="4">
        <f t="shared" si="11"/>
        <v>51.95</v>
      </c>
      <c r="M251" s="4">
        <f t="shared" si="12"/>
        <v>67.899999999999991</v>
      </c>
      <c r="N251" s="4">
        <v>6.93</v>
      </c>
      <c r="O251" s="4">
        <v>0</v>
      </c>
      <c r="P251" s="4">
        <v>86</v>
      </c>
      <c r="Q251" s="4">
        <v>19.7</v>
      </c>
      <c r="R251" s="4">
        <v>8.1</v>
      </c>
      <c r="S251" s="4">
        <v>17.98</v>
      </c>
      <c r="T251" s="4">
        <v>-17.98</v>
      </c>
      <c r="U251" s="4">
        <v>0.32</v>
      </c>
      <c r="V251" s="4">
        <v>287.52</v>
      </c>
      <c r="W251" s="4">
        <v>74.52</v>
      </c>
      <c r="X251" s="4">
        <v>46.6</v>
      </c>
      <c r="Y251" s="4">
        <v>58.35</v>
      </c>
      <c r="Z251" s="4">
        <v>12.69</v>
      </c>
      <c r="AA251" s="4">
        <v>-1.0900000000000001</v>
      </c>
      <c r="AB251" s="4">
        <v>9.99</v>
      </c>
      <c r="AC251" s="4">
        <v>-81.97</v>
      </c>
      <c r="AD251" s="4">
        <v>980</v>
      </c>
      <c r="AE251" s="4">
        <v>8765</v>
      </c>
      <c r="AF251" s="4">
        <v>108.62</v>
      </c>
      <c r="AG251" s="4">
        <v>0.88</v>
      </c>
      <c r="AH251" s="4">
        <v>-160.85</v>
      </c>
      <c r="AI251" s="4">
        <v>71.91</v>
      </c>
      <c r="AJ251" s="4">
        <v>60</v>
      </c>
      <c r="AK251" s="4">
        <v>9</v>
      </c>
      <c r="AL251" s="4">
        <v>9</v>
      </c>
      <c r="AM251" s="4">
        <v>0.63</v>
      </c>
      <c r="AN251" s="4">
        <v>588</v>
      </c>
      <c r="AO251" s="4">
        <v>593.66999999999996</v>
      </c>
      <c r="AP251" s="4">
        <v>1915855.78</v>
      </c>
      <c r="AQ251" s="4">
        <v>190517.28</v>
      </c>
      <c r="AR251" s="4" t="s">
        <v>1126</v>
      </c>
      <c r="AS251" s="5">
        <f t="shared" si="0"/>
        <v>98.478224885844753</v>
      </c>
    </row>
    <row r="252" spans="1:45" ht="14.25" customHeight="1" x14ac:dyDescent="0.55000000000000004"/>
    <row r="253" spans="1:45" ht="14.25" customHeight="1" x14ac:dyDescent="0.55000000000000004"/>
    <row r="254" spans="1:45" ht="14.25" customHeight="1" x14ac:dyDescent="0.55000000000000004"/>
    <row r="255" spans="1:45" ht="14.25" customHeight="1" x14ac:dyDescent="0.55000000000000004"/>
    <row r="256" spans="1:45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workbookViewId="0">
      <selection activeCell="G16" sqref="G16"/>
    </sheetView>
  </sheetViews>
  <sheetFormatPr defaultColWidth="14.41796875" defaultRowHeight="15" customHeight="1" x14ac:dyDescent="0.55000000000000004"/>
  <cols>
    <col min="1" max="1" width="11.3125" bestFit="1" customWidth="1"/>
    <col min="2" max="2" width="11.1015625" bestFit="1" customWidth="1"/>
    <col min="3" max="3" width="13.15625" bestFit="1" customWidth="1"/>
    <col min="4" max="6" width="8.68359375" customWidth="1"/>
    <col min="7" max="7" width="15.3671875" bestFit="1" customWidth="1"/>
    <col min="8" max="42" width="8.68359375" customWidth="1"/>
  </cols>
  <sheetData>
    <row r="1" spans="1:42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6" t="s">
        <v>3083</v>
      </c>
      <c r="F1" s="6" t="s">
        <v>3084</v>
      </c>
      <c r="G1" s="6" t="s">
        <v>3085</v>
      </c>
      <c r="H1" s="6" t="s">
        <v>3086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</row>
    <row r="2" spans="1:42" ht="14.25" customHeight="1" x14ac:dyDescent="0.55000000000000004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</row>
    <row r="3" spans="1:42" ht="14.25" customHeight="1" x14ac:dyDescent="0.55000000000000004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</row>
    <row r="4" spans="1:42" ht="14.25" customHeight="1" x14ac:dyDescent="0.55000000000000004">
      <c r="A4" s="4">
        <v>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</row>
    <row r="5" spans="1:42" ht="14.25" customHeight="1" x14ac:dyDescent="0.55000000000000004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</row>
    <row r="6" spans="1:42" ht="14.25" customHeight="1" x14ac:dyDescent="0.55000000000000004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</row>
    <row r="7" spans="1:42" ht="14.25" customHeight="1" x14ac:dyDescent="0.55000000000000004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</row>
    <row r="8" spans="1:42" ht="14.25" customHeight="1" x14ac:dyDescent="0.55000000000000004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</row>
    <row r="9" spans="1:42" ht="14.25" customHeight="1" x14ac:dyDescent="0.55000000000000004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</row>
    <row r="10" spans="1:42" ht="14.25" customHeight="1" x14ac:dyDescent="0.55000000000000004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</row>
    <row r="11" spans="1:42" ht="14.25" customHeight="1" x14ac:dyDescent="0.55000000000000004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</row>
    <row r="12" spans="1:42" ht="14.25" customHeight="1" x14ac:dyDescent="0.55000000000000004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</row>
    <row r="13" spans="1:42" ht="14.25" customHeight="1" x14ac:dyDescent="0.55000000000000004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</row>
    <row r="14" spans="1:42" ht="14.25" customHeight="1" x14ac:dyDescent="0.55000000000000004">
      <c r="A14" s="4">
        <v>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</row>
    <row r="15" spans="1:42" ht="14.25" customHeight="1" x14ac:dyDescent="0.55000000000000004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</row>
    <row r="16" spans="1:42" ht="14.25" customHeight="1" x14ac:dyDescent="0.55000000000000004">
      <c r="A16" s="4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</row>
    <row r="17" spans="1:42" ht="14.25" customHeight="1" x14ac:dyDescent="0.55000000000000004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</row>
    <row r="18" spans="1:42" ht="14.25" customHeight="1" x14ac:dyDescent="0.55000000000000004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</row>
    <row r="19" spans="1:42" ht="14.25" customHeight="1" x14ac:dyDescent="0.55000000000000004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</row>
    <row r="20" spans="1:42" ht="14.25" customHeight="1" x14ac:dyDescent="0.55000000000000004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</row>
    <row r="21" spans="1:42" ht="14.25" customHeight="1" x14ac:dyDescent="0.55000000000000004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</row>
    <row r="22" spans="1:42" ht="14.25" customHeight="1" x14ac:dyDescent="0.55000000000000004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</row>
    <row r="23" spans="1:42" ht="14.25" customHeight="1" x14ac:dyDescent="0.55000000000000004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</row>
    <row r="24" spans="1:42" ht="14.25" customHeight="1" x14ac:dyDescent="0.55000000000000004">
      <c r="A24" s="4">
        <v>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</row>
    <row r="25" spans="1:42" ht="14.25" customHeight="1" x14ac:dyDescent="0.55000000000000004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</row>
    <row r="26" spans="1:42" ht="14.25" customHeight="1" x14ac:dyDescent="0.55000000000000004">
      <c r="A26" s="4">
        <v>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</row>
    <row r="27" spans="1:42" ht="14.25" customHeight="1" x14ac:dyDescent="0.55000000000000004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</row>
    <row r="28" spans="1:42" ht="14.25" customHeight="1" x14ac:dyDescent="0.55000000000000004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</row>
    <row r="29" spans="1:42" ht="14.25" customHeight="1" x14ac:dyDescent="0.55000000000000004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</row>
    <row r="30" spans="1:42" ht="14.25" customHeight="1" x14ac:dyDescent="0.55000000000000004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</row>
    <row r="31" spans="1:42" ht="14.25" customHeight="1" x14ac:dyDescent="0.55000000000000004">
      <c r="A31" s="4">
        <v>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</row>
    <row r="32" spans="1:42" ht="14.25" customHeight="1" x14ac:dyDescent="0.55000000000000004">
      <c r="A32" s="4">
        <v>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</row>
    <row r="33" spans="1:42" ht="14.25" customHeight="1" x14ac:dyDescent="0.55000000000000004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</row>
    <row r="34" spans="1:42" ht="14.25" customHeight="1" x14ac:dyDescent="0.55000000000000004">
      <c r="A34" s="4">
        <v>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</row>
    <row r="35" spans="1:42" ht="14.25" customHeight="1" x14ac:dyDescent="0.55000000000000004">
      <c r="A35" s="4">
        <v>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</row>
    <row r="36" spans="1:42" ht="14.25" customHeight="1" x14ac:dyDescent="0.55000000000000004">
      <c r="A36" s="4">
        <v>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</row>
    <row r="37" spans="1:42" ht="14.25" customHeight="1" x14ac:dyDescent="0.55000000000000004">
      <c r="A37" s="4">
        <v>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</row>
    <row r="38" spans="1:42" ht="14.25" customHeight="1" x14ac:dyDescent="0.55000000000000004">
      <c r="A38" s="4">
        <v>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</row>
    <row r="39" spans="1:42" ht="14.25" customHeight="1" x14ac:dyDescent="0.55000000000000004">
      <c r="A39" s="4">
        <v>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</row>
    <row r="40" spans="1:42" ht="14.25" customHeight="1" x14ac:dyDescent="0.55000000000000004">
      <c r="A40" s="4">
        <v>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</row>
    <row r="41" spans="1:42" ht="14.25" customHeight="1" x14ac:dyDescent="0.55000000000000004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</row>
    <row r="42" spans="1:42" ht="14.25" customHeight="1" x14ac:dyDescent="0.55000000000000004">
      <c r="A42" s="4">
        <v>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</row>
    <row r="43" spans="1:42" ht="14.25" customHeight="1" x14ac:dyDescent="0.55000000000000004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</row>
    <row r="44" spans="1:42" ht="14.25" customHeight="1" x14ac:dyDescent="0.55000000000000004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</row>
    <row r="45" spans="1:42" ht="14.25" customHeight="1" x14ac:dyDescent="0.55000000000000004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</row>
    <row r="46" spans="1:42" ht="14.25" customHeight="1" x14ac:dyDescent="0.55000000000000004">
      <c r="A46" s="4">
        <v>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</row>
    <row r="47" spans="1:42" ht="14.25" customHeight="1" x14ac:dyDescent="0.55000000000000004">
      <c r="A47" s="4">
        <v>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</row>
    <row r="48" spans="1:42" ht="14.25" customHeight="1" x14ac:dyDescent="0.55000000000000004">
      <c r="A48" s="4">
        <v>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ht="14.25" customHeight="1" x14ac:dyDescent="0.55000000000000004">
      <c r="A49" s="4">
        <v>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</row>
    <row r="50" spans="1:42" ht="14.25" customHeight="1" x14ac:dyDescent="0.55000000000000004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ht="14.25" customHeight="1" x14ac:dyDescent="0.55000000000000004">
      <c r="A51" s="4">
        <v>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</row>
    <row r="52" spans="1:42" ht="14.25" customHeight="1" x14ac:dyDescent="0.55000000000000004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</row>
    <row r="53" spans="1:42" ht="14.25" customHeight="1" x14ac:dyDescent="0.55000000000000004">
      <c r="A53" s="4">
        <v>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</row>
    <row r="54" spans="1:42" ht="14.25" customHeight="1" x14ac:dyDescent="0.55000000000000004">
      <c r="A54" s="4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</row>
    <row r="55" spans="1:42" ht="14.25" customHeight="1" x14ac:dyDescent="0.55000000000000004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</row>
    <row r="56" spans="1:42" ht="14.25" customHeight="1" x14ac:dyDescent="0.55000000000000004">
      <c r="A56" s="4">
        <v>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</row>
    <row r="57" spans="1:42" ht="14.25" customHeight="1" x14ac:dyDescent="0.55000000000000004">
      <c r="A57" s="4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</row>
    <row r="58" spans="1:42" ht="14.25" customHeight="1" x14ac:dyDescent="0.55000000000000004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</row>
    <row r="59" spans="1:42" ht="14.25" customHeight="1" x14ac:dyDescent="0.55000000000000004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</row>
    <row r="60" spans="1:42" ht="14.25" customHeight="1" x14ac:dyDescent="0.55000000000000004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</row>
    <row r="61" spans="1:42" ht="14.25" customHeight="1" x14ac:dyDescent="0.55000000000000004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</row>
    <row r="62" spans="1:42" ht="14.25" customHeight="1" x14ac:dyDescent="0.55000000000000004">
      <c r="A62" s="4">
        <v>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</row>
    <row r="63" spans="1:42" ht="14.25" customHeight="1" x14ac:dyDescent="0.55000000000000004">
      <c r="A63" s="4">
        <v>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</row>
    <row r="64" spans="1:42" ht="14.25" customHeight="1" x14ac:dyDescent="0.55000000000000004">
      <c r="A64" s="4">
        <v>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</row>
    <row r="65" spans="1:42" ht="14.25" customHeight="1" x14ac:dyDescent="0.55000000000000004">
      <c r="A65" s="4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</row>
    <row r="66" spans="1:42" ht="14.25" customHeight="1" x14ac:dyDescent="0.55000000000000004">
      <c r="A66" s="4">
        <v>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</row>
    <row r="67" spans="1:42" ht="14.25" customHeight="1" x14ac:dyDescent="0.55000000000000004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</row>
    <row r="68" spans="1:42" ht="14.25" customHeight="1" x14ac:dyDescent="0.55000000000000004">
      <c r="A68" s="4">
        <v>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</row>
    <row r="69" spans="1:42" ht="14.25" customHeight="1" x14ac:dyDescent="0.55000000000000004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</row>
    <row r="70" spans="1:42" ht="14.25" customHeight="1" x14ac:dyDescent="0.55000000000000004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</row>
    <row r="71" spans="1:42" ht="14.25" customHeight="1" x14ac:dyDescent="0.55000000000000004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</row>
    <row r="72" spans="1:42" ht="14.25" customHeight="1" x14ac:dyDescent="0.55000000000000004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</row>
    <row r="73" spans="1:42" ht="14.25" customHeight="1" x14ac:dyDescent="0.55000000000000004">
      <c r="A73" s="4">
        <v>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</row>
    <row r="74" spans="1:42" ht="14.25" customHeight="1" x14ac:dyDescent="0.55000000000000004">
      <c r="A74" s="4">
        <v>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</row>
    <row r="75" spans="1:42" ht="14.25" customHeight="1" x14ac:dyDescent="0.55000000000000004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</row>
    <row r="76" spans="1:42" ht="14.25" customHeight="1" x14ac:dyDescent="0.55000000000000004">
      <c r="A76" s="4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</row>
    <row r="77" spans="1:42" ht="14.25" customHeight="1" x14ac:dyDescent="0.55000000000000004">
      <c r="A77" s="4">
        <v>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</row>
    <row r="78" spans="1:42" ht="14.25" customHeight="1" x14ac:dyDescent="0.55000000000000004">
      <c r="A78" s="4">
        <v>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</row>
    <row r="79" spans="1:42" ht="14.25" customHeight="1" x14ac:dyDescent="0.55000000000000004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</row>
    <row r="80" spans="1:42" ht="14.25" customHeight="1" x14ac:dyDescent="0.55000000000000004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</row>
    <row r="81" spans="1:42" ht="14.25" customHeight="1" x14ac:dyDescent="0.55000000000000004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</row>
    <row r="82" spans="1:42" ht="14.25" customHeight="1" x14ac:dyDescent="0.55000000000000004">
      <c r="A82" s="4">
        <v>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</row>
    <row r="83" spans="1:42" ht="14.25" customHeight="1" x14ac:dyDescent="0.55000000000000004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</row>
    <row r="84" spans="1:42" ht="14.25" customHeight="1" x14ac:dyDescent="0.55000000000000004">
      <c r="A84" s="4">
        <v>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</row>
    <row r="85" spans="1:42" ht="14.25" customHeight="1" x14ac:dyDescent="0.55000000000000004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</row>
    <row r="86" spans="1:42" ht="14.25" customHeight="1" x14ac:dyDescent="0.55000000000000004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</row>
    <row r="87" spans="1:42" ht="14.25" customHeight="1" x14ac:dyDescent="0.55000000000000004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</row>
    <row r="88" spans="1:42" ht="14.25" customHeight="1" x14ac:dyDescent="0.55000000000000004">
      <c r="A88" s="4">
        <v>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</row>
    <row r="89" spans="1:42" ht="14.25" customHeight="1" x14ac:dyDescent="0.55000000000000004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</row>
    <row r="90" spans="1:42" ht="14.25" customHeight="1" x14ac:dyDescent="0.55000000000000004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</row>
    <row r="91" spans="1:42" ht="14.25" customHeight="1" x14ac:dyDescent="0.55000000000000004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</row>
    <row r="92" spans="1:42" ht="14.25" customHeight="1" x14ac:dyDescent="0.55000000000000004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</row>
    <row r="93" spans="1:42" ht="14.25" customHeight="1" x14ac:dyDescent="0.55000000000000004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</row>
    <row r="94" spans="1:42" ht="14.25" customHeight="1" x14ac:dyDescent="0.55000000000000004">
      <c r="A94" s="4">
        <v>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</row>
    <row r="95" spans="1:42" ht="14.25" customHeight="1" x14ac:dyDescent="0.55000000000000004">
      <c r="A95" s="4">
        <v>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</row>
    <row r="96" spans="1:42" ht="14.25" customHeight="1" x14ac:dyDescent="0.55000000000000004">
      <c r="A96" s="4">
        <v>0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</row>
    <row r="97" spans="1:42" ht="14.25" customHeight="1" x14ac:dyDescent="0.55000000000000004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</row>
    <row r="98" spans="1:42" ht="14.25" customHeight="1" x14ac:dyDescent="0.55000000000000004">
      <c r="A98" s="4">
        <v>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</row>
    <row r="99" spans="1:42" ht="14.25" customHeight="1" x14ac:dyDescent="0.55000000000000004">
      <c r="A99" s="4">
        <v>0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</row>
    <row r="100" spans="1:42" ht="14.25" customHeight="1" x14ac:dyDescent="0.55000000000000004">
      <c r="A100" s="4">
        <v>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</row>
    <row r="101" spans="1:42" ht="14.25" customHeight="1" x14ac:dyDescent="0.55000000000000004">
      <c r="A101" s="4">
        <v>0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</row>
    <row r="102" spans="1:42" ht="14.25" customHeight="1" x14ac:dyDescent="0.55000000000000004">
      <c r="A102" s="4">
        <v>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</row>
    <row r="103" spans="1:42" ht="14.25" customHeight="1" x14ac:dyDescent="0.55000000000000004">
      <c r="A103" s="4">
        <v>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</row>
    <row r="104" spans="1:42" ht="14.25" customHeight="1" x14ac:dyDescent="0.55000000000000004">
      <c r="A104" s="4">
        <v>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</row>
    <row r="105" spans="1:42" ht="14.25" customHeight="1" x14ac:dyDescent="0.55000000000000004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</row>
    <row r="106" spans="1:42" ht="14.25" customHeight="1" x14ac:dyDescent="0.55000000000000004">
      <c r="A106" s="4">
        <v>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</row>
    <row r="107" spans="1:42" ht="14.25" customHeight="1" x14ac:dyDescent="0.55000000000000004">
      <c r="A107" s="4">
        <v>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</row>
    <row r="108" spans="1:42" ht="14.25" customHeight="1" x14ac:dyDescent="0.55000000000000004">
      <c r="A108" s="4">
        <v>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</row>
    <row r="109" spans="1:42" ht="14.25" customHeight="1" x14ac:dyDescent="0.55000000000000004">
      <c r="A109" s="4">
        <v>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</row>
    <row r="110" spans="1:42" ht="14.25" customHeight="1" x14ac:dyDescent="0.55000000000000004">
      <c r="A110" s="4">
        <v>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</row>
    <row r="111" spans="1:42" ht="14.25" customHeight="1" x14ac:dyDescent="0.55000000000000004">
      <c r="A111" s="4">
        <v>0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</row>
    <row r="112" spans="1:42" ht="14.25" customHeight="1" x14ac:dyDescent="0.55000000000000004">
      <c r="A112" s="4">
        <v>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</row>
    <row r="113" spans="1:42" ht="14.25" customHeight="1" x14ac:dyDescent="0.55000000000000004">
      <c r="A113" s="4">
        <v>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</row>
    <row r="114" spans="1:42" ht="14.25" customHeight="1" x14ac:dyDescent="0.55000000000000004">
      <c r="A114" s="4">
        <v>0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</row>
    <row r="115" spans="1:42" ht="14.25" customHeight="1" x14ac:dyDescent="0.55000000000000004">
      <c r="A115" s="4">
        <v>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</row>
    <row r="116" spans="1:42" ht="14.25" customHeight="1" x14ac:dyDescent="0.55000000000000004">
      <c r="A116" s="4">
        <v>0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</row>
    <row r="117" spans="1:42" ht="14.25" customHeight="1" x14ac:dyDescent="0.55000000000000004">
      <c r="A117" s="4">
        <v>0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</row>
    <row r="118" spans="1:42" ht="14.25" customHeight="1" x14ac:dyDescent="0.55000000000000004">
      <c r="A118" s="4">
        <v>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</row>
    <row r="119" spans="1:42" ht="14.25" customHeight="1" x14ac:dyDescent="0.55000000000000004">
      <c r="A119" s="4">
        <v>0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</row>
    <row r="120" spans="1:42" ht="14.25" customHeight="1" x14ac:dyDescent="0.55000000000000004">
      <c r="A120" s="4">
        <v>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</row>
    <row r="121" spans="1:42" ht="14.25" customHeight="1" x14ac:dyDescent="0.55000000000000004">
      <c r="A121" s="4">
        <v>0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</row>
    <row r="122" spans="1:42" ht="14.25" customHeight="1" x14ac:dyDescent="0.55000000000000004">
      <c r="A122" s="4">
        <v>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</row>
    <row r="123" spans="1:42" ht="14.25" customHeight="1" x14ac:dyDescent="0.55000000000000004">
      <c r="A123" s="4">
        <v>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</row>
    <row r="124" spans="1:42" ht="14.25" customHeight="1" x14ac:dyDescent="0.55000000000000004">
      <c r="A124" s="4">
        <v>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</row>
    <row r="125" spans="1:42" ht="14.25" customHeight="1" x14ac:dyDescent="0.55000000000000004">
      <c r="A125" s="4">
        <v>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</row>
    <row r="126" spans="1:42" ht="14.25" customHeight="1" x14ac:dyDescent="0.55000000000000004">
      <c r="A126" s="4">
        <v>0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</row>
    <row r="127" spans="1:42" ht="14.25" customHeight="1" x14ac:dyDescent="0.55000000000000004">
      <c r="A127" s="4">
        <v>0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</row>
    <row r="128" spans="1:42" ht="14.25" customHeight="1" x14ac:dyDescent="0.55000000000000004">
      <c r="A128" s="4">
        <v>0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</row>
    <row r="129" spans="1:42" ht="14.25" customHeight="1" x14ac:dyDescent="0.55000000000000004">
      <c r="A129" s="4">
        <v>0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</row>
    <row r="130" spans="1:42" ht="14.25" customHeight="1" x14ac:dyDescent="0.55000000000000004">
      <c r="A130" s="4">
        <v>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</row>
    <row r="131" spans="1:42" ht="14.25" customHeight="1" x14ac:dyDescent="0.55000000000000004">
      <c r="A131" s="4">
        <v>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</row>
    <row r="132" spans="1:42" ht="14.25" customHeight="1" x14ac:dyDescent="0.55000000000000004">
      <c r="A132" s="4">
        <v>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</row>
    <row r="133" spans="1:42" ht="14.25" customHeight="1" x14ac:dyDescent="0.55000000000000004">
      <c r="A133" s="4">
        <v>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</row>
    <row r="134" spans="1:42" ht="14.25" customHeight="1" x14ac:dyDescent="0.55000000000000004">
      <c r="A134" s="4">
        <v>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</row>
    <row r="135" spans="1:42" ht="14.25" customHeight="1" x14ac:dyDescent="0.55000000000000004">
      <c r="A135" s="4">
        <v>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</row>
    <row r="136" spans="1:42" ht="14.25" customHeight="1" x14ac:dyDescent="0.55000000000000004">
      <c r="A136" s="4">
        <v>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</row>
    <row r="137" spans="1:42" ht="14.25" customHeight="1" x14ac:dyDescent="0.55000000000000004">
      <c r="A137" s="4">
        <v>0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</row>
    <row r="138" spans="1:42" ht="14.25" customHeight="1" x14ac:dyDescent="0.55000000000000004">
      <c r="A138" s="4">
        <v>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</row>
    <row r="139" spans="1:42" ht="14.25" customHeight="1" x14ac:dyDescent="0.55000000000000004">
      <c r="A139" s="4">
        <v>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</row>
    <row r="140" spans="1:42" ht="14.25" customHeight="1" x14ac:dyDescent="0.55000000000000004">
      <c r="A140" s="4">
        <v>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</row>
    <row r="141" spans="1:42" ht="14.25" customHeight="1" x14ac:dyDescent="0.55000000000000004">
      <c r="A141" s="4">
        <v>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</row>
    <row r="142" spans="1:42" ht="14.25" customHeight="1" x14ac:dyDescent="0.55000000000000004">
      <c r="A142" s="4">
        <v>0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</row>
    <row r="143" spans="1:42" ht="14.25" customHeight="1" x14ac:dyDescent="0.55000000000000004">
      <c r="A143" s="4">
        <v>0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</row>
    <row r="144" spans="1:42" ht="14.25" customHeight="1" x14ac:dyDescent="0.55000000000000004">
      <c r="A144" s="4">
        <v>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</row>
    <row r="145" spans="1:42" ht="14.25" customHeight="1" x14ac:dyDescent="0.55000000000000004">
      <c r="A145" s="4">
        <v>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</row>
    <row r="146" spans="1:42" ht="14.25" customHeight="1" x14ac:dyDescent="0.55000000000000004">
      <c r="A146" s="4">
        <v>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</row>
    <row r="147" spans="1:42" ht="14.25" customHeight="1" x14ac:dyDescent="0.55000000000000004">
      <c r="A147" s="4">
        <v>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</row>
    <row r="148" spans="1:42" ht="14.25" customHeight="1" x14ac:dyDescent="0.55000000000000004">
      <c r="A148" s="4">
        <v>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</row>
    <row r="149" spans="1:42" ht="14.25" customHeight="1" x14ac:dyDescent="0.55000000000000004">
      <c r="A149" s="4">
        <v>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</row>
    <row r="150" spans="1:42" ht="14.25" customHeight="1" x14ac:dyDescent="0.55000000000000004">
      <c r="A150" s="4">
        <v>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</row>
    <row r="151" spans="1:42" ht="14.25" customHeight="1" x14ac:dyDescent="0.55000000000000004">
      <c r="A151" s="4">
        <v>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</row>
    <row r="152" spans="1:42" ht="14.25" customHeight="1" x14ac:dyDescent="0.55000000000000004">
      <c r="A152" s="4">
        <v>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</row>
    <row r="153" spans="1:42" ht="14.25" customHeight="1" x14ac:dyDescent="0.55000000000000004">
      <c r="A153" s="4">
        <v>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</row>
    <row r="154" spans="1:42" ht="14.25" customHeight="1" x14ac:dyDescent="0.55000000000000004">
      <c r="A154" s="4">
        <v>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</row>
    <row r="155" spans="1:42" ht="14.25" customHeight="1" x14ac:dyDescent="0.55000000000000004">
      <c r="A155" s="4">
        <v>0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</row>
    <row r="156" spans="1:42" ht="14.25" customHeight="1" x14ac:dyDescent="0.55000000000000004">
      <c r="A156" s="4">
        <v>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</row>
    <row r="157" spans="1:42" ht="14.25" customHeight="1" x14ac:dyDescent="0.55000000000000004">
      <c r="A157" s="4">
        <v>0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</row>
    <row r="158" spans="1:42" ht="14.25" customHeight="1" x14ac:dyDescent="0.55000000000000004">
      <c r="A158" s="4">
        <v>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</row>
    <row r="159" spans="1:42" ht="14.25" customHeight="1" x14ac:dyDescent="0.55000000000000004">
      <c r="A159" s="4">
        <v>0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</row>
    <row r="160" spans="1:42" ht="14.25" customHeight="1" x14ac:dyDescent="0.55000000000000004">
      <c r="A160" s="4">
        <v>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</row>
    <row r="161" spans="1:42" ht="14.25" customHeight="1" x14ac:dyDescent="0.55000000000000004">
      <c r="A161" s="4">
        <v>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</row>
    <row r="162" spans="1:42" ht="14.25" customHeight="1" x14ac:dyDescent="0.55000000000000004">
      <c r="A162" s="4">
        <v>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</row>
    <row r="163" spans="1:42" ht="14.25" customHeight="1" x14ac:dyDescent="0.55000000000000004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</row>
    <row r="164" spans="1:42" ht="14.25" customHeight="1" x14ac:dyDescent="0.55000000000000004">
      <c r="A164" s="4">
        <v>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</row>
    <row r="165" spans="1:42" ht="14.25" customHeight="1" x14ac:dyDescent="0.55000000000000004">
      <c r="A165" s="4">
        <v>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</row>
    <row r="166" spans="1:42" ht="14.25" customHeight="1" x14ac:dyDescent="0.55000000000000004">
      <c r="A166" s="4">
        <v>0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</row>
    <row r="167" spans="1:42" ht="14.25" customHeight="1" x14ac:dyDescent="0.55000000000000004">
      <c r="A167" s="4">
        <v>0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</row>
    <row r="168" spans="1:42" ht="14.25" customHeight="1" x14ac:dyDescent="0.55000000000000004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</row>
    <row r="169" spans="1:42" ht="14.25" customHeight="1" x14ac:dyDescent="0.55000000000000004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</row>
    <row r="170" spans="1:42" ht="14.25" customHeight="1" x14ac:dyDescent="0.55000000000000004">
      <c r="A170" s="4">
        <v>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</row>
    <row r="171" spans="1:42" ht="14.25" customHeight="1" x14ac:dyDescent="0.55000000000000004">
      <c r="A171" s="4">
        <v>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</row>
    <row r="172" spans="1:42" ht="14.25" customHeight="1" x14ac:dyDescent="0.55000000000000004">
      <c r="A172" s="4">
        <v>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</row>
    <row r="173" spans="1:42" ht="14.25" customHeight="1" x14ac:dyDescent="0.55000000000000004">
      <c r="A173" s="4">
        <v>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</row>
    <row r="174" spans="1:42" ht="14.25" customHeight="1" x14ac:dyDescent="0.55000000000000004">
      <c r="A174" s="4">
        <v>0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</row>
    <row r="175" spans="1:42" ht="14.25" customHeight="1" x14ac:dyDescent="0.55000000000000004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</row>
    <row r="176" spans="1:42" ht="14.25" customHeight="1" x14ac:dyDescent="0.55000000000000004">
      <c r="A176" s="4">
        <v>0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</row>
    <row r="177" spans="1:42" ht="14.25" customHeight="1" x14ac:dyDescent="0.55000000000000004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</row>
    <row r="178" spans="1:42" ht="14.25" customHeight="1" x14ac:dyDescent="0.55000000000000004">
      <c r="A178" s="4">
        <v>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</row>
    <row r="179" spans="1:42" ht="14.25" customHeight="1" x14ac:dyDescent="0.55000000000000004">
      <c r="A179" s="4">
        <v>0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</row>
    <row r="180" spans="1:42" ht="14.25" customHeight="1" x14ac:dyDescent="0.55000000000000004">
      <c r="A180" s="4">
        <v>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</row>
    <row r="181" spans="1:42" ht="14.25" customHeight="1" x14ac:dyDescent="0.55000000000000004">
      <c r="A181" s="4">
        <v>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</row>
    <row r="182" spans="1:42" ht="14.25" customHeight="1" x14ac:dyDescent="0.55000000000000004">
      <c r="A182" s="4">
        <v>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</row>
    <row r="183" spans="1:42" ht="14.25" customHeight="1" x14ac:dyDescent="0.55000000000000004">
      <c r="A183" s="4">
        <v>0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</row>
    <row r="184" spans="1:42" ht="14.25" customHeight="1" x14ac:dyDescent="0.55000000000000004">
      <c r="A184" s="4">
        <v>0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</row>
    <row r="185" spans="1:42" ht="14.25" customHeight="1" x14ac:dyDescent="0.55000000000000004">
      <c r="A185" s="4">
        <v>0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</row>
    <row r="186" spans="1:42" ht="14.25" customHeight="1" x14ac:dyDescent="0.55000000000000004">
      <c r="A186" s="4">
        <v>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</row>
    <row r="187" spans="1:42" ht="14.25" customHeight="1" x14ac:dyDescent="0.55000000000000004">
      <c r="A187" s="4">
        <v>0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</row>
    <row r="188" spans="1:42" ht="14.25" customHeight="1" x14ac:dyDescent="0.55000000000000004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</row>
    <row r="189" spans="1:42" ht="14.25" customHeight="1" x14ac:dyDescent="0.55000000000000004">
      <c r="A189" s="4">
        <v>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</row>
    <row r="190" spans="1:42" ht="14.25" customHeight="1" x14ac:dyDescent="0.55000000000000004">
      <c r="A190" s="4">
        <v>0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</row>
    <row r="191" spans="1:42" ht="14.25" customHeight="1" x14ac:dyDescent="0.55000000000000004">
      <c r="A191" s="4">
        <v>0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</row>
    <row r="192" spans="1:42" ht="14.25" customHeight="1" x14ac:dyDescent="0.55000000000000004">
      <c r="A192" s="4">
        <v>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</row>
    <row r="193" spans="1:42" ht="14.25" customHeight="1" x14ac:dyDescent="0.55000000000000004">
      <c r="A193" s="4">
        <v>0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</row>
    <row r="194" spans="1:42" ht="14.25" customHeight="1" x14ac:dyDescent="0.55000000000000004">
      <c r="A194" s="4">
        <v>0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</row>
    <row r="195" spans="1:42" ht="14.25" customHeight="1" x14ac:dyDescent="0.55000000000000004">
      <c r="A195" s="4">
        <v>0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</row>
    <row r="196" spans="1:42" ht="14.25" customHeight="1" x14ac:dyDescent="0.55000000000000004">
      <c r="A196" s="4">
        <v>0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</row>
    <row r="197" spans="1:42" ht="14.25" customHeight="1" x14ac:dyDescent="0.55000000000000004">
      <c r="A197" s="4">
        <v>0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</row>
    <row r="198" spans="1:42" ht="14.25" customHeight="1" x14ac:dyDescent="0.55000000000000004">
      <c r="A198" s="4">
        <v>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</row>
    <row r="199" spans="1:42" ht="14.25" customHeight="1" x14ac:dyDescent="0.55000000000000004">
      <c r="A199" s="4">
        <v>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</row>
    <row r="200" spans="1:42" ht="14.25" customHeight="1" x14ac:dyDescent="0.55000000000000004">
      <c r="A200" s="4">
        <v>0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</row>
    <row r="201" spans="1:42" ht="14.25" customHeight="1" x14ac:dyDescent="0.55000000000000004">
      <c r="A201" s="4">
        <v>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</row>
    <row r="202" spans="1:42" ht="14.25" customHeight="1" x14ac:dyDescent="0.55000000000000004">
      <c r="A202" s="4">
        <v>0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</row>
    <row r="203" spans="1:42" ht="14.25" customHeight="1" x14ac:dyDescent="0.55000000000000004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</row>
    <row r="204" spans="1:42" ht="14.25" customHeight="1" x14ac:dyDescent="0.55000000000000004">
      <c r="A204" s="4">
        <v>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</row>
    <row r="205" spans="1:42" ht="14.25" customHeight="1" x14ac:dyDescent="0.55000000000000004">
      <c r="A205" s="4">
        <v>0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</row>
    <row r="206" spans="1:42" ht="14.25" customHeight="1" x14ac:dyDescent="0.55000000000000004">
      <c r="A206" s="4">
        <v>0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</row>
    <row r="207" spans="1:42" ht="14.25" customHeight="1" x14ac:dyDescent="0.55000000000000004">
      <c r="A207" s="4">
        <v>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</row>
    <row r="208" spans="1:42" ht="14.25" customHeight="1" x14ac:dyDescent="0.55000000000000004">
      <c r="A208" s="4">
        <v>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</row>
    <row r="209" spans="1:42" ht="14.25" customHeight="1" x14ac:dyDescent="0.55000000000000004">
      <c r="A209" s="4">
        <v>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</row>
    <row r="210" spans="1:42" ht="14.25" customHeight="1" x14ac:dyDescent="0.55000000000000004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</row>
    <row r="211" spans="1:42" ht="14.25" customHeight="1" x14ac:dyDescent="0.55000000000000004">
      <c r="A211" s="4">
        <v>0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</row>
    <row r="212" spans="1:42" ht="14.25" customHeight="1" x14ac:dyDescent="0.55000000000000004">
      <c r="A212" s="4">
        <v>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</row>
    <row r="213" spans="1:42" ht="14.25" customHeight="1" x14ac:dyDescent="0.55000000000000004">
      <c r="A213" s="4">
        <v>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</row>
    <row r="214" spans="1:42" ht="14.25" customHeight="1" x14ac:dyDescent="0.55000000000000004">
      <c r="A214" s="4">
        <v>0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</row>
    <row r="215" spans="1:42" ht="14.25" customHeight="1" x14ac:dyDescent="0.55000000000000004">
      <c r="A215" s="4">
        <v>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</row>
    <row r="216" spans="1:42" ht="14.25" customHeight="1" x14ac:dyDescent="0.55000000000000004">
      <c r="A216" s="4">
        <v>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</row>
    <row r="217" spans="1:42" ht="14.25" customHeight="1" x14ac:dyDescent="0.55000000000000004">
      <c r="A217" s="4">
        <v>0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</row>
    <row r="218" spans="1:42" ht="14.25" customHeight="1" x14ac:dyDescent="0.55000000000000004">
      <c r="A218" s="4">
        <v>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</row>
    <row r="219" spans="1:42" ht="14.25" customHeight="1" x14ac:dyDescent="0.55000000000000004">
      <c r="A219" s="4">
        <v>0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</row>
    <row r="220" spans="1:42" ht="14.25" customHeight="1" x14ac:dyDescent="0.55000000000000004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</row>
    <row r="221" spans="1:42" ht="14.25" customHeight="1" x14ac:dyDescent="0.55000000000000004">
      <c r="A221" s="4">
        <v>0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</row>
    <row r="222" spans="1:42" ht="14.25" customHeight="1" x14ac:dyDescent="0.55000000000000004">
      <c r="A222" s="4">
        <v>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</row>
    <row r="223" spans="1:42" ht="14.25" customHeight="1" x14ac:dyDescent="0.55000000000000004">
      <c r="A223" s="4">
        <v>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</row>
    <row r="224" spans="1:42" ht="14.25" customHeight="1" x14ac:dyDescent="0.55000000000000004">
      <c r="A224" s="4">
        <v>0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</row>
    <row r="225" spans="1:42" ht="14.25" customHeight="1" x14ac:dyDescent="0.55000000000000004">
      <c r="A225" s="4">
        <v>0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</row>
    <row r="226" spans="1:42" ht="14.25" customHeight="1" x14ac:dyDescent="0.55000000000000004">
      <c r="A226" s="4">
        <v>0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</row>
    <row r="227" spans="1:42" ht="14.25" customHeight="1" x14ac:dyDescent="0.55000000000000004">
      <c r="A227" s="4">
        <v>0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</row>
    <row r="228" spans="1:42" ht="14.25" customHeight="1" x14ac:dyDescent="0.55000000000000004">
      <c r="A228" s="4">
        <v>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</row>
    <row r="229" spans="1:42" ht="14.25" customHeight="1" x14ac:dyDescent="0.55000000000000004">
      <c r="A229" s="4">
        <v>0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</row>
    <row r="230" spans="1:42" ht="14.25" customHeight="1" x14ac:dyDescent="0.55000000000000004">
      <c r="A230" s="4">
        <v>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</row>
    <row r="231" spans="1:42" ht="14.25" customHeight="1" x14ac:dyDescent="0.55000000000000004">
      <c r="A231" s="4">
        <v>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</row>
    <row r="232" spans="1:42" ht="14.25" customHeight="1" x14ac:dyDescent="0.55000000000000004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</row>
    <row r="233" spans="1:42" ht="14.25" customHeight="1" x14ac:dyDescent="0.55000000000000004">
      <c r="A233" s="4">
        <v>0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</row>
    <row r="234" spans="1:42" ht="14.25" customHeight="1" x14ac:dyDescent="0.55000000000000004">
      <c r="A234" s="4">
        <v>0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</row>
    <row r="235" spans="1:42" ht="14.25" customHeight="1" x14ac:dyDescent="0.55000000000000004">
      <c r="A235" s="4">
        <v>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</row>
    <row r="236" spans="1:42" ht="14.25" customHeight="1" x14ac:dyDescent="0.55000000000000004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</row>
    <row r="237" spans="1:42" ht="14.25" customHeight="1" x14ac:dyDescent="0.55000000000000004">
      <c r="A237" s="4">
        <v>0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</row>
    <row r="238" spans="1:42" ht="14.25" customHeight="1" x14ac:dyDescent="0.55000000000000004">
      <c r="A238" s="4">
        <v>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</row>
    <row r="239" spans="1:42" ht="14.25" customHeight="1" x14ac:dyDescent="0.55000000000000004">
      <c r="A239" s="4">
        <v>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</row>
    <row r="240" spans="1:42" ht="14.25" customHeight="1" x14ac:dyDescent="0.55000000000000004">
      <c r="A240" s="4">
        <v>0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</row>
    <row r="241" spans="1:42" ht="14.25" customHeight="1" x14ac:dyDescent="0.55000000000000004">
      <c r="A241" s="4">
        <v>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</row>
    <row r="242" spans="1:42" ht="14.25" customHeight="1" x14ac:dyDescent="0.55000000000000004">
      <c r="A242" s="4">
        <v>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</row>
    <row r="243" spans="1:42" ht="14.25" customHeight="1" x14ac:dyDescent="0.55000000000000004">
      <c r="A243" s="4">
        <v>0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</row>
    <row r="244" spans="1:42" ht="14.25" customHeight="1" x14ac:dyDescent="0.55000000000000004">
      <c r="A244" s="4">
        <v>0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</row>
    <row r="245" spans="1:42" ht="14.25" customHeight="1" x14ac:dyDescent="0.55000000000000004">
      <c r="A245" s="4">
        <v>0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</row>
    <row r="246" spans="1:42" ht="14.25" customHeight="1" x14ac:dyDescent="0.55000000000000004">
      <c r="A246" s="4">
        <v>0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</row>
    <row r="247" spans="1:42" ht="14.25" customHeight="1" x14ac:dyDescent="0.55000000000000004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</row>
    <row r="248" spans="1:42" ht="14.25" customHeight="1" x14ac:dyDescent="0.55000000000000004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</row>
    <row r="249" spans="1:42" ht="14.25" customHeight="1" x14ac:dyDescent="0.55000000000000004">
      <c r="A249" s="4">
        <v>0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</row>
    <row r="250" spans="1:42" ht="14.25" customHeight="1" x14ac:dyDescent="0.55000000000000004">
      <c r="A250" s="4">
        <v>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</row>
    <row r="251" spans="1:42" ht="14.25" customHeight="1" x14ac:dyDescent="0.55000000000000004">
      <c r="A251" s="4">
        <v>0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</row>
    <row r="252" spans="1:42" ht="14.25" customHeight="1" x14ac:dyDescent="0.55000000000000004"/>
    <row r="253" spans="1:42" ht="14.25" customHeight="1" x14ac:dyDescent="0.55000000000000004"/>
    <row r="254" spans="1:42" ht="14.25" customHeight="1" x14ac:dyDescent="0.55000000000000004"/>
    <row r="255" spans="1:42" ht="14.25" customHeight="1" x14ac:dyDescent="0.55000000000000004"/>
    <row r="256" spans="1:42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N1</vt:lpstr>
      <vt:lpstr>N2</vt:lpstr>
      <vt:lpstr>N3</vt:lpstr>
      <vt:lpstr>P2</vt:lpstr>
      <vt:lpstr>A2</vt:lpstr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ariceo</cp:lastModifiedBy>
  <dcterms:created xsi:type="dcterms:W3CDTF">2023-02-04T11:38:56Z</dcterms:created>
  <dcterms:modified xsi:type="dcterms:W3CDTF">2026-05-13T19:29:36Z</dcterms:modified>
</cp:coreProperties>
</file>