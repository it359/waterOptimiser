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achi\N1_Dashboard_v2\dashboard\backend\"/>
    </mc:Choice>
  </mc:AlternateContent>
  <xr:revisionPtr revIDLastSave="0" documentId="13_ncr:1_{1698ACE7-8295-46D2-9821-61DCF6E35431}" xr6:coauthVersionLast="47" xr6:coauthVersionMax="47" xr10:uidLastSave="{00000000-0000-0000-0000-000000000000}"/>
  <bookViews>
    <workbookView xWindow="-96" yWindow="-96" windowWidth="17472" windowHeight="10272" activeTab="1" xr2:uid="{00000000-000D-0000-FFFF-FFFF00000000}"/>
  </bookViews>
  <sheets>
    <sheet name="Site Wide" sheetId="7" r:id="rId1"/>
    <sheet name="N1" sheetId="1" r:id="rId2"/>
    <sheet name="N2" sheetId="2" r:id="rId3"/>
    <sheet name="N3" sheetId="3" r:id="rId4"/>
    <sheet name="P2" sheetId="4" r:id="rId5"/>
    <sheet name="A2" sheetId="5" r:id="rId6"/>
    <sheet name="A3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" i="5"/>
  <c r="K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AT3" i="5"/>
  <c r="AT4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65" i="5"/>
  <c r="AT66" i="5"/>
  <c r="AT67" i="5"/>
  <c r="AT68" i="5"/>
  <c r="AT69" i="5"/>
  <c r="AT70" i="5"/>
  <c r="AT71" i="5"/>
  <c r="AT72" i="5"/>
  <c r="AT73" i="5"/>
  <c r="AT74" i="5"/>
  <c r="AT75" i="5"/>
  <c r="AT76" i="5"/>
  <c r="AT77" i="5"/>
  <c r="AT78" i="5"/>
  <c r="AT79" i="5"/>
  <c r="AT80" i="5"/>
  <c r="AT81" i="5"/>
  <c r="AT82" i="5"/>
  <c r="AT83" i="5"/>
  <c r="AT84" i="5"/>
  <c r="AT85" i="5"/>
  <c r="AT86" i="5"/>
  <c r="AT87" i="5"/>
  <c r="AT88" i="5"/>
  <c r="AT89" i="5"/>
  <c r="AT90" i="5"/>
  <c r="AT91" i="5"/>
  <c r="AT92" i="5"/>
  <c r="AT93" i="5"/>
  <c r="AT94" i="5"/>
  <c r="AT95" i="5"/>
  <c r="AT96" i="5"/>
  <c r="AT97" i="5"/>
  <c r="AT98" i="5"/>
  <c r="AT99" i="5"/>
  <c r="AT100" i="5"/>
  <c r="AT101" i="5"/>
  <c r="AT102" i="5"/>
  <c r="AT103" i="5"/>
  <c r="AT104" i="5"/>
  <c r="AT105" i="5"/>
  <c r="AT106" i="5"/>
  <c r="AT107" i="5"/>
  <c r="AT108" i="5"/>
  <c r="AT109" i="5"/>
  <c r="AT110" i="5"/>
  <c r="AT111" i="5"/>
  <c r="AT112" i="5"/>
  <c r="AT113" i="5"/>
  <c r="AT114" i="5"/>
  <c r="AT115" i="5"/>
  <c r="AT116" i="5"/>
  <c r="AT117" i="5"/>
  <c r="AT118" i="5"/>
  <c r="AT119" i="5"/>
  <c r="AT120" i="5"/>
  <c r="AT121" i="5"/>
  <c r="AT122" i="5"/>
  <c r="AT123" i="5"/>
  <c r="AT124" i="5"/>
  <c r="AT125" i="5"/>
  <c r="AT126" i="5"/>
  <c r="AT127" i="5"/>
  <c r="AT128" i="5"/>
  <c r="AT129" i="5"/>
  <c r="AT130" i="5"/>
  <c r="AT131" i="5"/>
  <c r="AT132" i="5"/>
  <c r="AT133" i="5"/>
  <c r="AT134" i="5"/>
  <c r="AT135" i="5"/>
  <c r="AT136" i="5"/>
  <c r="AT137" i="5"/>
  <c r="AT138" i="5"/>
  <c r="AT139" i="5"/>
  <c r="AT140" i="5"/>
  <c r="AT141" i="5"/>
  <c r="AT142" i="5"/>
  <c r="AT143" i="5"/>
  <c r="AT144" i="5"/>
  <c r="AT145" i="5"/>
  <c r="AT146" i="5"/>
  <c r="AT147" i="5"/>
  <c r="AT148" i="5"/>
  <c r="AT149" i="5"/>
  <c r="AT150" i="5"/>
  <c r="AT151" i="5"/>
  <c r="AT152" i="5"/>
  <c r="AT153" i="5"/>
  <c r="AT154" i="5"/>
  <c r="AT155" i="5"/>
  <c r="AT156" i="5"/>
  <c r="AT157" i="5"/>
  <c r="AT158" i="5"/>
  <c r="AT159" i="5"/>
  <c r="AT160" i="5"/>
  <c r="AT161" i="5"/>
  <c r="AT162" i="5"/>
  <c r="AT163" i="5"/>
  <c r="AT164" i="5"/>
  <c r="AT165" i="5"/>
  <c r="AT166" i="5"/>
  <c r="AT167" i="5"/>
  <c r="AT168" i="5"/>
  <c r="AT169" i="5"/>
  <c r="AT170" i="5"/>
  <c r="AT171" i="5"/>
  <c r="AT172" i="5"/>
  <c r="AT173" i="5"/>
  <c r="AT174" i="5"/>
  <c r="AT175" i="5"/>
  <c r="AT176" i="5"/>
  <c r="AT177" i="5"/>
  <c r="AT178" i="5"/>
  <c r="AT179" i="5"/>
  <c r="AT180" i="5"/>
  <c r="AT181" i="5"/>
  <c r="AT182" i="5"/>
  <c r="AT183" i="5"/>
  <c r="AT184" i="5"/>
  <c r="AT185" i="5"/>
  <c r="AT186" i="5"/>
  <c r="AT187" i="5"/>
  <c r="AT188" i="5"/>
  <c r="AT189" i="5"/>
  <c r="AT190" i="5"/>
  <c r="AT191" i="5"/>
  <c r="AT192" i="5"/>
  <c r="AT193" i="5"/>
  <c r="AT194" i="5"/>
  <c r="AT195" i="5"/>
  <c r="AT196" i="5"/>
  <c r="AT197" i="5"/>
  <c r="AT198" i="5"/>
  <c r="AT199" i="5"/>
  <c r="AT200" i="5"/>
  <c r="AT201" i="5"/>
  <c r="AT202" i="5"/>
  <c r="AT203" i="5"/>
  <c r="AT204" i="5"/>
  <c r="AT205" i="5"/>
  <c r="AT206" i="5"/>
  <c r="AT207" i="5"/>
  <c r="AT208" i="5"/>
  <c r="AT209" i="5"/>
  <c r="AT210" i="5"/>
  <c r="AT211" i="5"/>
  <c r="AT212" i="5"/>
  <c r="AT213" i="5"/>
  <c r="AT214" i="5"/>
  <c r="AT215" i="5"/>
  <c r="AT216" i="5"/>
  <c r="AT217" i="5"/>
  <c r="AT218" i="5"/>
  <c r="AT219" i="5"/>
  <c r="AT220" i="5"/>
  <c r="AT221" i="5"/>
  <c r="AT222" i="5"/>
  <c r="AT223" i="5"/>
  <c r="AT224" i="5"/>
  <c r="AT225" i="5"/>
  <c r="AT226" i="5"/>
  <c r="AT227" i="5"/>
  <c r="AT228" i="5"/>
  <c r="AT229" i="5"/>
  <c r="AT230" i="5"/>
  <c r="AT231" i="5"/>
  <c r="AT232" i="5"/>
  <c r="AT233" i="5"/>
  <c r="AT234" i="5"/>
  <c r="AT235" i="5"/>
  <c r="AT236" i="5"/>
  <c r="AT237" i="5"/>
  <c r="AT238" i="5"/>
  <c r="AT239" i="5"/>
  <c r="AT240" i="5"/>
  <c r="AT241" i="5"/>
  <c r="AT242" i="5"/>
  <c r="AT243" i="5"/>
  <c r="AT244" i="5"/>
  <c r="AT245" i="5"/>
  <c r="AT246" i="5"/>
  <c r="AT247" i="5"/>
  <c r="AT248" i="5"/>
  <c r="AT249" i="5"/>
  <c r="AT250" i="5"/>
  <c r="AT251" i="5"/>
  <c r="AT2" i="5"/>
  <c r="AT1" i="5" s="1"/>
  <c r="AU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" i="4"/>
  <c r="AT245" i="4"/>
  <c r="AT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T135" i="4"/>
  <c r="AT136" i="4"/>
  <c r="AT137" i="4"/>
  <c r="AT138" i="4"/>
  <c r="AT139" i="4"/>
  <c r="AT140" i="4"/>
  <c r="AT141" i="4"/>
  <c r="AT142" i="4"/>
  <c r="AT143" i="4"/>
  <c r="AT144" i="4"/>
  <c r="AT145" i="4"/>
  <c r="AT146" i="4"/>
  <c r="AT147" i="4"/>
  <c r="AT148" i="4"/>
  <c r="AT149" i="4"/>
  <c r="AT150" i="4"/>
  <c r="AT151" i="4"/>
  <c r="AT152" i="4"/>
  <c r="AT153" i="4"/>
  <c r="AT154" i="4"/>
  <c r="AT155" i="4"/>
  <c r="AT156" i="4"/>
  <c r="AT157" i="4"/>
  <c r="AT158" i="4"/>
  <c r="AT159" i="4"/>
  <c r="AT160" i="4"/>
  <c r="AT161" i="4"/>
  <c r="AT162" i="4"/>
  <c r="AT163" i="4"/>
  <c r="AT164" i="4"/>
  <c r="AT165" i="4"/>
  <c r="AT166" i="4"/>
  <c r="AT167" i="4"/>
  <c r="AT168" i="4"/>
  <c r="AT169" i="4"/>
  <c r="AT170" i="4"/>
  <c r="AT171" i="4"/>
  <c r="AT172" i="4"/>
  <c r="AT173" i="4"/>
  <c r="AT174" i="4"/>
  <c r="AT175" i="4"/>
  <c r="AT176" i="4"/>
  <c r="AT177" i="4"/>
  <c r="AT178" i="4"/>
  <c r="AT179" i="4"/>
  <c r="AT180" i="4"/>
  <c r="AT181" i="4"/>
  <c r="AT182" i="4"/>
  <c r="AT183" i="4"/>
  <c r="AT184" i="4"/>
  <c r="AT185" i="4"/>
  <c r="AT186" i="4"/>
  <c r="AT187" i="4"/>
  <c r="AT188" i="4"/>
  <c r="AT189" i="4"/>
  <c r="AT190" i="4"/>
  <c r="AT191" i="4"/>
  <c r="AT192" i="4"/>
  <c r="AT193" i="4"/>
  <c r="AT194" i="4"/>
  <c r="AT195" i="4"/>
  <c r="AT196" i="4"/>
  <c r="AT197" i="4"/>
  <c r="AT198" i="4"/>
  <c r="AT199" i="4"/>
  <c r="AT200" i="4"/>
  <c r="AT201" i="4"/>
  <c r="AT202" i="4"/>
  <c r="AT203" i="4"/>
  <c r="AT204" i="4"/>
  <c r="AT205" i="4"/>
  <c r="AT206" i="4"/>
  <c r="AT207" i="4"/>
  <c r="AT208" i="4"/>
  <c r="AT209" i="4"/>
  <c r="AT210" i="4"/>
  <c r="AT211" i="4"/>
  <c r="AT212" i="4"/>
  <c r="AT213" i="4"/>
  <c r="AT214" i="4"/>
  <c r="AT215" i="4"/>
  <c r="AT216" i="4"/>
  <c r="AT217" i="4"/>
  <c r="AT218" i="4"/>
  <c r="AT219" i="4"/>
  <c r="AT220" i="4"/>
  <c r="AT221" i="4"/>
  <c r="AT222" i="4"/>
  <c r="AT223" i="4"/>
  <c r="AT224" i="4"/>
  <c r="AT225" i="4"/>
  <c r="AT226" i="4"/>
  <c r="AT227" i="4"/>
  <c r="AT228" i="4"/>
  <c r="AT229" i="4"/>
  <c r="AT230" i="4"/>
  <c r="AT231" i="4"/>
  <c r="AT232" i="4"/>
  <c r="AT233" i="4"/>
  <c r="AT234" i="4"/>
  <c r="AT235" i="4"/>
  <c r="AT236" i="4"/>
  <c r="AT237" i="4"/>
  <c r="AT238" i="4"/>
  <c r="AT239" i="4"/>
  <c r="AT240" i="4"/>
  <c r="AT241" i="4"/>
  <c r="AT242" i="4"/>
  <c r="AT243" i="4"/>
  <c r="AT244" i="4"/>
  <c r="AT246" i="4"/>
  <c r="AT247" i="4"/>
  <c r="AT248" i="4"/>
  <c r="AT249" i="4"/>
  <c r="AT250" i="4"/>
  <c r="AT251" i="4"/>
  <c r="AT2" i="4"/>
  <c r="AT1" i="4" s="1"/>
  <c r="AT1" i="3"/>
  <c r="AT3" i="2"/>
  <c r="B3" i="7" s="1"/>
  <c r="AT4" i="2"/>
  <c r="B4" i="7" s="1"/>
  <c r="AT5" i="2"/>
  <c r="B5" i="7" s="1"/>
  <c r="AT6" i="2"/>
  <c r="B6" i="7" s="1"/>
  <c r="AT7" i="2"/>
  <c r="B7" i="7" s="1"/>
  <c r="AT8" i="2"/>
  <c r="B8" i="7" s="1"/>
  <c r="AT9" i="2"/>
  <c r="B9" i="7" s="1"/>
  <c r="AT10" i="2"/>
  <c r="B10" i="7" s="1"/>
  <c r="AT11" i="2"/>
  <c r="B11" i="7" s="1"/>
  <c r="AT12" i="2"/>
  <c r="B12" i="7" s="1"/>
  <c r="AT13" i="2"/>
  <c r="B13" i="7" s="1"/>
  <c r="AT14" i="2"/>
  <c r="B14" i="7" s="1"/>
  <c r="AT15" i="2"/>
  <c r="B15" i="7" s="1"/>
  <c r="AT16" i="2"/>
  <c r="B16" i="7" s="1"/>
  <c r="AT17" i="2"/>
  <c r="B17" i="7" s="1"/>
  <c r="AT18" i="2"/>
  <c r="B18" i="7" s="1"/>
  <c r="AT19" i="2"/>
  <c r="B19" i="7" s="1"/>
  <c r="AT20" i="2"/>
  <c r="B20" i="7" s="1"/>
  <c r="AT21" i="2"/>
  <c r="B21" i="7" s="1"/>
  <c r="AT22" i="2"/>
  <c r="B22" i="7" s="1"/>
  <c r="AT23" i="2"/>
  <c r="B23" i="7" s="1"/>
  <c r="AT24" i="2"/>
  <c r="B24" i="7" s="1"/>
  <c r="AT25" i="2"/>
  <c r="B25" i="7" s="1"/>
  <c r="AT26" i="2"/>
  <c r="B26" i="7" s="1"/>
  <c r="AT27" i="2"/>
  <c r="B27" i="7" s="1"/>
  <c r="AT28" i="2"/>
  <c r="B28" i="7" s="1"/>
  <c r="AT29" i="2"/>
  <c r="B29" i="7" s="1"/>
  <c r="AT30" i="2"/>
  <c r="B30" i="7" s="1"/>
  <c r="AT31" i="2"/>
  <c r="B31" i="7" s="1"/>
  <c r="AT32" i="2"/>
  <c r="B32" i="7" s="1"/>
  <c r="AT33" i="2"/>
  <c r="B33" i="7" s="1"/>
  <c r="AT34" i="2"/>
  <c r="B34" i="7" s="1"/>
  <c r="AT35" i="2"/>
  <c r="AT36" i="2"/>
  <c r="B36" i="7" s="1"/>
  <c r="AT37" i="2"/>
  <c r="B37" i="7" s="1"/>
  <c r="AT38" i="2"/>
  <c r="AT39" i="2"/>
  <c r="AT40" i="2"/>
  <c r="AT41" i="2"/>
  <c r="AT42" i="2"/>
  <c r="AT43" i="2"/>
  <c r="AT44" i="2"/>
  <c r="AT45" i="2"/>
  <c r="B45" i="7" s="1"/>
  <c r="AT46" i="2"/>
  <c r="B46" i="7" s="1"/>
  <c r="AT47" i="2"/>
  <c r="B47" i="7" s="1"/>
  <c r="AT48" i="2"/>
  <c r="B48" i="7" s="1"/>
  <c r="AT49" i="2"/>
  <c r="B49" i="7" s="1"/>
  <c r="AT50" i="2"/>
  <c r="B50" i="7" s="1"/>
  <c r="AT51" i="2"/>
  <c r="AT52" i="2"/>
  <c r="B52" i="7" s="1"/>
  <c r="AT53" i="2"/>
  <c r="B53" i="7" s="1"/>
  <c r="AT54" i="2"/>
  <c r="B54" i="7" s="1"/>
  <c r="AT55" i="2"/>
  <c r="B55" i="7" s="1"/>
  <c r="AT56" i="2"/>
  <c r="B56" i="7" s="1"/>
  <c r="AT57" i="2"/>
  <c r="B57" i="7" s="1"/>
  <c r="AT58" i="2"/>
  <c r="B58" i="7" s="1"/>
  <c r="AT59" i="2"/>
  <c r="B59" i="7" s="1"/>
  <c r="AT60" i="2"/>
  <c r="AT61" i="2"/>
  <c r="AT62" i="2"/>
  <c r="B62" i="7" s="1"/>
  <c r="AT63" i="2"/>
  <c r="B63" i="7" s="1"/>
  <c r="AT64" i="2"/>
  <c r="B64" i="7" s="1"/>
  <c r="AT65" i="2"/>
  <c r="B65" i="7" s="1"/>
  <c r="AT66" i="2"/>
  <c r="B66" i="7" s="1"/>
  <c r="AT67" i="2"/>
  <c r="AT68" i="2"/>
  <c r="B68" i="7" s="1"/>
  <c r="AT69" i="2"/>
  <c r="B69" i="7" s="1"/>
  <c r="AT70" i="2"/>
  <c r="AT71" i="2"/>
  <c r="AT72" i="2"/>
  <c r="AT73" i="2"/>
  <c r="AT74" i="2"/>
  <c r="AT75" i="2"/>
  <c r="AT76" i="2"/>
  <c r="AT77" i="2"/>
  <c r="B77" i="7" s="1"/>
  <c r="AT78" i="2"/>
  <c r="B78" i="7" s="1"/>
  <c r="AT79" i="2"/>
  <c r="B79" i="7" s="1"/>
  <c r="AT80" i="2"/>
  <c r="B80" i="7" s="1"/>
  <c r="AT81" i="2"/>
  <c r="B81" i="7" s="1"/>
  <c r="AT82" i="2"/>
  <c r="B82" i="7" s="1"/>
  <c r="AT83" i="2"/>
  <c r="AT84" i="2"/>
  <c r="B84" i="7" s="1"/>
  <c r="AT85" i="2"/>
  <c r="B85" i="7" s="1"/>
  <c r="AT86" i="2"/>
  <c r="B86" i="7" s="1"/>
  <c r="AT87" i="2"/>
  <c r="B87" i="7" s="1"/>
  <c r="AT88" i="2"/>
  <c r="B88" i="7" s="1"/>
  <c r="AT89" i="2"/>
  <c r="B89" i="7" s="1"/>
  <c r="AT90" i="2"/>
  <c r="B90" i="7" s="1"/>
  <c r="AT91" i="2"/>
  <c r="B91" i="7" s="1"/>
  <c r="AT92" i="2"/>
  <c r="AT93" i="2"/>
  <c r="B93" i="7" s="1"/>
  <c r="AT94" i="2"/>
  <c r="B94" i="7" s="1"/>
  <c r="AT95" i="2"/>
  <c r="B95" i="7" s="1"/>
  <c r="AT96" i="2"/>
  <c r="B96" i="7" s="1"/>
  <c r="AT97" i="2"/>
  <c r="B97" i="7" s="1"/>
  <c r="AT98" i="2"/>
  <c r="B98" i="7" s="1"/>
  <c r="AT99" i="2"/>
  <c r="AT100" i="2"/>
  <c r="B100" i="7" s="1"/>
  <c r="AT101" i="2"/>
  <c r="B101" i="7" s="1"/>
  <c r="AT102" i="2"/>
  <c r="AT103" i="2"/>
  <c r="AT104" i="2"/>
  <c r="AT105" i="2"/>
  <c r="AT106" i="2"/>
  <c r="AT107" i="2"/>
  <c r="AT108" i="2"/>
  <c r="AT109" i="2"/>
  <c r="B109" i="7" s="1"/>
  <c r="AT110" i="2"/>
  <c r="B110" i="7" s="1"/>
  <c r="AT111" i="2"/>
  <c r="B111" i="7" s="1"/>
  <c r="AT112" i="2"/>
  <c r="B112" i="7" s="1"/>
  <c r="AT113" i="2"/>
  <c r="B113" i="7" s="1"/>
  <c r="AT114" i="2"/>
  <c r="B114" i="7" s="1"/>
  <c r="AT115" i="2"/>
  <c r="AT116" i="2"/>
  <c r="B116" i="7" s="1"/>
  <c r="AT117" i="2"/>
  <c r="B117" i="7" s="1"/>
  <c r="AT118" i="2"/>
  <c r="B118" i="7" s="1"/>
  <c r="AT119" i="2"/>
  <c r="B119" i="7" s="1"/>
  <c r="AT120" i="2"/>
  <c r="B120" i="7" s="1"/>
  <c r="AT121" i="2"/>
  <c r="B121" i="7" s="1"/>
  <c r="AT122" i="2"/>
  <c r="B122" i="7" s="1"/>
  <c r="AT123" i="2"/>
  <c r="B123" i="7" s="1"/>
  <c r="AT124" i="2"/>
  <c r="AT125" i="2"/>
  <c r="B125" i="7" s="1"/>
  <c r="AT126" i="2"/>
  <c r="B126" i="7" s="1"/>
  <c r="AT127" i="2"/>
  <c r="B127" i="7" s="1"/>
  <c r="AT128" i="2"/>
  <c r="B128" i="7" s="1"/>
  <c r="AT129" i="2"/>
  <c r="B129" i="7" s="1"/>
  <c r="AT130" i="2"/>
  <c r="B130" i="7" s="1"/>
  <c r="AT131" i="2"/>
  <c r="AT132" i="2"/>
  <c r="B132" i="7" s="1"/>
  <c r="AT133" i="2"/>
  <c r="B133" i="7" s="1"/>
  <c r="AT134" i="2"/>
  <c r="AT135" i="2"/>
  <c r="AT136" i="2"/>
  <c r="AT137" i="2"/>
  <c r="AT138" i="2"/>
  <c r="AT139" i="2"/>
  <c r="AT140" i="2"/>
  <c r="AT141" i="2"/>
  <c r="B141" i="7" s="1"/>
  <c r="AT142" i="2"/>
  <c r="B142" i="7" s="1"/>
  <c r="AT143" i="2"/>
  <c r="B143" i="7" s="1"/>
  <c r="AT144" i="2"/>
  <c r="B144" i="7" s="1"/>
  <c r="AT145" i="2"/>
  <c r="B145" i="7" s="1"/>
  <c r="AT146" i="2"/>
  <c r="B146" i="7" s="1"/>
  <c r="AT147" i="2"/>
  <c r="AT148" i="2"/>
  <c r="B148" i="7" s="1"/>
  <c r="AT149" i="2"/>
  <c r="B149" i="7" s="1"/>
  <c r="AT150" i="2"/>
  <c r="B150" i="7" s="1"/>
  <c r="AT151" i="2"/>
  <c r="B151" i="7" s="1"/>
  <c r="AT152" i="2"/>
  <c r="B152" i="7" s="1"/>
  <c r="AT153" i="2"/>
  <c r="B153" i="7" s="1"/>
  <c r="AT154" i="2"/>
  <c r="B154" i="7" s="1"/>
  <c r="AT155" i="2"/>
  <c r="B155" i="7" s="1"/>
  <c r="AT156" i="2"/>
  <c r="AT157" i="2"/>
  <c r="B157" i="7" s="1"/>
  <c r="AT158" i="2"/>
  <c r="B158" i="7" s="1"/>
  <c r="AT159" i="2"/>
  <c r="B159" i="7" s="1"/>
  <c r="AT160" i="2"/>
  <c r="B160" i="7" s="1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41" i="2"/>
  <c r="AT242" i="2"/>
  <c r="AT243" i="2"/>
  <c r="AT244" i="2"/>
  <c r="AT245" i="2"/>
  <c r="AT246" i="2"/>
  <c r="AT247" i="2"/>
  <c r="AT248" i="2"/>
  <c r="AT249" i="2"/>
  <c r="AT250" i="2"/>
  <c r="AT251" i="2"/>
  <c r="AT2" i="2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B35" i="7" s="1"/>
  <c r="AT36" i="3"/>
  <c r="AT37" i="3"/>
  <c r="AT38" i="3"/>
  <c r="B38" i="7" s="1"/>
  <c r="AT39" i="3"/>
  <c r="B39" i="7" s="1"/>
  <c r="AT40" i="3"/>
  <c r="B40" i="7" s="1"/>
  <c r="AT41" i="3"/>
  <c r="B41" i="7" s="1"/>
  <c r="AT42" i="3"/>
  <c r="B42" i="7" s="1"/>
  <c r="AT43" i="3"/>
  <c r="B43" i="7" s="1"/>
  <c r="AT44" i="3"/>
  <c r="B44" i="7" s="1"/>
  <c r="AT45" i="3"/>
  <c r="AT46" i="3"/>
  <c r="AT47" i="3"/>
  <c r="AT48" i="3"/>
  <c r="AT49" i="3"/>
  <c r="AT50" i="3"/>
  <c r="AT51" i="3"/>
  <c r="B51" i="7" s="1"/>
  <c r="AT52" i="3"/>
  <c r="AT53" i="3"/>
  <c r="AT54" i="3"/>
  <c r="AT55" i="3"/>
  <c r="AT56" i="3"/>
  <c r="AT57" i="3"/>
  <c r="AT58" i="3"/>
  <c r="AT59" i="3"/>
  <c r="AT60" i="3"/>
  <c r="B60" i="7" s="1"/>
  <c r="AT61" i="3"/>
  <c r="B61" i="7" s="1"/>
  <c r="AT62" i="3"/>
  <c r="AT63" i="3"/>
  <c r="AT64" i="3"/>
  <c r="AT65" i="3"/>
  <c r="AT66" i="3"/>
  <c r="AT67" i="3"/>
  <c r="B67" i="7" s="1"/>
  <c r="AT68" i="3"/>
  <c r="AT69" i="3"/>
  <c r="AT70" i="3"/>
  <c r="B70" i="7" s="1"/>
  <c r="AT71" i="3"/>
  <c r="B71" i="7" s="1"/>
  <c r="AT72" i="3"/>
  <c r="B72" i="7" s="1"/>
  <c r="AT73" i="3"/>
  <c r="B73" i="7" s="1"/>
  <c r="AT74" i="3"/>
  <c r="B74" i="7" s="1"/>
  <c r="AT75" i="3"/>
  <c r="B75" i="7" s="1"/>
  <c r="AT76" i="3"/>
  <c r="B76" i="7" s="1"/>
  <c r="AT77" i="3"/>
  <c r="AT78" i="3"/>
  <c r="AT79" i="3"/>
  <c r="AT80" i="3"/>
  <c r="AT81" i="3"/>
  <c r="AT82" i="3"/>
  <c r="AT83" i="3"/>
  <c r="B83" i="7" s="1"/>
  <c r="AT84" i="3"/>
  <c r="AT85" i="3"/>
  <c r="AT86" i="3"/>
  <c r="AT87" i="3"/>
  <c r="AT88" i="3"/>
  <c r="AT89" i="3"/>
  <c r="AT90" i="3"/>
  <c r="AT91" i="3"/>
  <c r="AT92" i="3"/>
  <c r="B92" i="7" s="1"/>
  <c r="AT93" i="3"/>
  <c r="AT94" i="3"/>
  <c r="AT95" i="3"/>
  <c r="AT96" i="3"/>
  <c r="AT97" i="3"/>
  <c r="AT98" i="3"/>
  <c r="AT99" i="3"/>
  <c r="B99" i="7" s="1"/>
  <c r="AT100" i="3"/>
  <c r="AT101" i="3"/>
  <c r="AT102" i="3"/>
  <c r="B102" i="7" s="1"/>
  <c r="AT103" i="3"/>
  <c r="B103" i="7" s="1"/>
  <c r="AT104" i="3"/>
  <c r="B104" i="7" s="1"/>
  <c r="AT105" i="3"/>
  <c r="B105" i="7" s="1"/>
  <c r="AT106" i="3"/>
  <c r="B106" i="7" s="1"/>
  <c r="AT107" i="3"/>
  <c r="B107" i="7" s="1"/>
  <c r="AT108" i="3"/>
  <c r="B108" i="7" s="1"/>
  <c r="AT109" i="3"/>
  <c r="AT110" i="3"/>
  <c r="AT111" i="3"/>
  <c r="AT112" i="3"/>
  <c r="AT113" i="3"/>
  <c r="AT114" i="3"/>
  <c r="AT115" i="3"/>
  <c r="B115" i="7" s="1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T211" i="3"/>
  <c r="AT212" i="3"/>
  <c r="AT213" i="3"/>
  <c r="AT214" i="3"/>
  <c r="AT215" i="3"/>
  <c r="AT216" i="3"/>
  <c r="AT217" i="3"/>
  <c r="AT218" i="3"/>
  <c r="AT219" i="3"/>
  <c r="AT220" i="3"/>
  <c r="AT221" i="3"/>
  <c r="AT222" i="3"/>
  <c r="AT223" i="3"/>
  <c r="AT224" i="3"/>
  <c r="AT225" i="3"/>
  <c r="AT226" i="3"/>
  <c r="AT227" i="3"/>
  <c r="AT228" i="3"/>
  <c r="AT229" i="3"/>
  <c r="AT230" i="3"/>
  <c r="AT231" i="3"/>
  <c r="AT232" i="3"/>
  <c r="AT233" i="3"/>
  <c r="AT234" i="3"/>
  <c r="AT235" i="3"/>
  <c r="AT236" i="3"/>
  <c r="AT237" i="3"/>
  <c r="AT238" i="3"/>
  <c r="AT239" i="3"/>
  <c r="AT240" i="3"/>
  <c r="AT241" i="3"/>
  <c r="AT242" i="3"/>
  <c r="AT243" i="3"/>
  <c r="AT244" i="3"/>
  <c r="AT245" i="3"/>
  <c r="AT246" i="3"/>
  <c r="AT247" i="3"/>
  <c r="AT248" i="3"/>
  <c r="AT249" i="3"/>
  <c r="AT250" i="3"/>
  <c r="AT251" i="3"/>
  <c r="AT2" i="3"/>
  <c r="AU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" i="2"/>
  <c r="K2" i="2"/>
  <c r="K2" i="1"/>
  <c r="M2" i="1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" i="1"/>
  <c r="AV2" i="1"/>
  <c r="AR251" i="6"/>
  <c r="AR250" i="6"/>
  <c r="AR249" i="6"/>
  <c r="AR248" i="6"/>
  <c r="AR247" i="6"/>
  <c r="AR246" i="6"/>
  <c r="AR245" i="6"/>
  <c r="AR244" i="6"/>
  <c r="AR243" i="6"/>
  <c r="AR242" i="6"/>
  <c r="AR241" i="6"/>
  <c r="AR240" i="6"/>
  <c r="AR239" i="6"/>
  <c r="AR238" i="6"/>
  <c r="AR237" i="6"/>
  <c r="AR236" i="6"/>
  <c r="AR235" i="6"/>
  <c r="AR234" i="6"/>
  <c r="AR233" i="6"/>
  <c r="AR232" i="6"/>
  <c r="AR231" i="6"/>
  <c r="AR230" i="6"/>
  <c r="AR229" i="6"/>
  <c r="AR228" i="6"/>
  <c r="AR227" i="6"/>
  <c r="AR226" i="6"/>
  <c r="AR225" i="6"/>
  <c r="AR224" i="6"/>
  <c r="AR223" i="6"/>
  <c r="AR222" i="6"/>
  <c r="AR221" i="6"/>
  <c r="AR220" i="6"/>
  <c r="AR219" i="6"/>
  <c r="AR218" i="6"/>
  <c r="AR217" i="6"/>
  <c r="AR216" i="6"/>
  <c r="AR215" i="6"/>
  <c r="AR214" i="6"/>
  <c r="AR213" i="6"/>
  <c r="AR212" i="6"/>
  <c r="AR211" i="6"/>
  <c r="AR210" i="6"/>
  <c r="AR209" i="6"/>
  <c r="AR208" i="6"/>
  <c r="AR207" i="6"/>
  <c r="AR206" i="6"/>
  <c r="AR205" i="6"/>
  <c r="AR204" i="6"/>
  <c r="AR203" i="6"/>
  <c r="AR202" i="6"/>
  <c r="AR201" i="6"/>
  <c r="AR200" i="6"/>
  <c r="AR199" i="6"/>
  <c r="AR198" i="6"/>
  <c r="AR197" i="6"/>
  <c r="AR196" i="6"/>
  <c r="AR195" i="6"/>
  <c r="AR194" i="6"/>
  <c r="AR193" i="6"/>
  <c r="AR192" i="6"/>
  <c r="AR191" i="6"/>
  <c r="AR190" i="6"/>
  <c r="AR189" i="6"/>
  <c r="AR188" i="6"/>
  <c r="AR187" i="6"/>
  <c r="AR186" i="6"/>
  <c r="AR185" i="6"/>
  <c r="AR184" i="6"/>
  <c r="AR183" i="6"/>
  <c r="AR182" i="6"/>
  <c r="AR181" i="6"/>
  <c r="AR180" i="6"/>
  <c r="AR179" i="6"/>
  <c r="AR178" i="6"/>
  <c r="AR177" i="6"/>
  <c r="AR176" i="6"/>
  <c r="AR175" i="6"/>
  <c r="AR174" i="6"/>
  <c r="AR173" i="6"/>
  <c r="AR172" i="6"/>
  <c r="AR171" i="6"/>
  <c r="AR170" i="6"/>
  <c r="AR169" i="6"/>
  <c r="AR168" i="6"/>
  <c r="AR167" i="6"/>
  <c r="AR166" i="6"/>
  <c r="AR165" i="6"/>
  <c r="AR164" i="6"/>
  <c r="AR163" i="6"/>
  <c r="AR162" i="6"/>
  <c r="AR161" i="6"/>
  <c r="AR160" i="6"/>
  <c r="AR159" i="6"/>
  <c r="AR158" i="6"/>
  <c r="AR157" i="6"/>
  <c r="AR156" i="6"/>
  <c r="AR155" i="6"/>
  <c r="AR154" i="6"/>
  <c r="AR153" i="6"/>
  <c r="AR152" i="6"/>
  <c r="AR151" i="6"/>
  <c r="AR150" i="6"/>
  <c r="AR149" i="6"/>
  <c r="AR148" i="6"/>
  <c r="AR147" i="6"/>
  <c r="AR146" i="6"/>
  <c r="AR145" i="6"/>
  <c r="AR144" i="6"/>
  <c r="AR143" i="6"/>
  <c r="AR142" i="6"/>
  <c r="AR141" i="6"/>
  <c r="AR140" i="6"/>
  <c r="AR139" i="6"/>
  <c r="AR138" i="6"/>
  <c r="AR137" i="6"/>
  <c r="AR136" i="6"/>
  <c r="AR135" i="6"/>
  <c r="AR134" i="6"/>
  <c r="AR133" i="6"/>
  <c r="AR132" i="6"/>
  <c r="AR131" i="6"/>
  <c r="AR130" i="6"/>
  <c r="AR129" i="6"/>
  <c r="AR128" i="6"/>
  <c r="AR127" i="6"/>
  <c r="AR126" i="6"/>
  <c r="AR125" i="6"/>
  <c r="AR124" i="6"/>
  <c r="AR123" i="6"/>
  <c r="AR122" i="6"/>
  <c r="AR121" i="6"/>
  <c r="AR120" i="6"/>
  <c r="AR119" i="6"/>
  <c r="AR118" i="6"/>
  <c r="AR117" i="6"/>
  <c r="AR116" i="6"/>
  <c r="AR115" i="6"/>
  <c r="AR114" i="6"/>
  <c r="AR113" i="6"/>
  <c r="AR112" i="6"/>
  <c r="AR111" i="6"/>
  <c r="AR110" i="6"/>
  <c r="AR109" i="6"/>
  <c r="AR108" i="6"/>
  <c r="AR107" i="6"/>
  <c r="AR106" i="6"/>
  <c r="AR105" i="6"/>
  <c r="AR104" i="6"/>
  <c r="AR103" i="6"/>
  <c r="AR102" i="6"/>
  <c r="AR101" i="6"/>
  <c r="AR100" i="6"/>
  <c r="AR99" i="6"/>
  <c r="AR98" i="6"/>
  <c r="AR97" i="6"/>
  <c r="AR96" i="6"/>
  <c r="AR95" i="6"/>
  <c r="AR94" i="6"/>
  <c r="AR93" i="6"/>
  <c r="AR92" i="6"/>
  <c r="AR91" i="6"/>
  <c r="AR90" i="6"/>
  <c r="AR89" i="6"/>
  <c r="AR88" i="6"/>
  <c r="AR87" i="6"/>
  <c r="AR86" i="6"/>
  <c r="AR85" i="6"/>
  <c r="AR84" i="6"/>
  <c r="AR83" i="6"/>
  <c r="AR82" i="6"/>
  <c r="AR81" i="6"/>
  <c r="AR80" i="6"/>
  <c r="AR79" i="6"/>
  <c r="AR78" i="6"/>
  <c r="AR77" i="6"/>
  <c r="AR76" i="6"/>
  <c r="AR75" i="6"/>
  <c r="AR74" i="6"/>
  <c r="AR73" i="6"/>
  <c r="AR72" i="6"/>
  <c r="AR71" i="6"/>
  <c r="AR70" i="6"/>
  <c r="AR69" i="6"/>
  <c r="AR68" i="6"/>
  <c r="AR67" i="6"/>
  <c r="AR66" i="6"/>
  <c r="AR65" i="6"/>
  <c r="AR64" i="6"/>
  <c r="AR63" i="6"/>
  <c r="AR62" i="6"/>
  <c r="AR61" i="6"/>
  <c r="AR60" i="6"/>
  <c r="AR59" i="6"/>
  <c r="AR58" i="6"/>
  <c r="AR57" i="6"/>
  <c r="AR56" i="6"/>
  <c r="AR55" i="6"/>
  <c r="AR54" i="6"/>
  <c r="AR53" i="6"/>
  <c r="AR52" i="6"/>
  <c r="AR51" i="6"/>
  <c r="AR50" i="6"/>
  <c r="AR49" i="6"/>
  <c r="AR48" i="6"/>
  <c r="AR47" i="6"/>
  <c r="AR46" i="6"/>
  <c r="AR45" i="6"/>
  <c r="AR44" i="6"/>
  <c r="AR43" i="6"/>
  <c r="AR42" i="6"/>
  <c r="AR41" i="6"/>
  <c r="AR40" i="6"/>
  <c r="AR39" i="6"/>
  <c r="AR38" i="6"/>
  <c r="AS2" i="6" s="1"/>
  <c r="AR37" i="6"/>
  <c r="AR36" i="6"/>
  <c r="AR35" i="6"/>
  <c r="AR34" i="6"/>
  <c r="AR33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U2" i="4" l="1"/>
  <c r="AT1" i="2"/>
  <c r="AU2" i="2"/>
  <c r="B124" i="7"/>
  <c r="B131" i="7"/>
  <c r="B134" i="7"/>
  <c r="B135" i="7"/>
  <c r="B136" i="7"/>
  <c r="B137" i="7"/>
  <c r="B138" i="7"/>
  <c r="B139" i="7"/>
  <c r="B140" i="7"/>
  <c r="B147" i="7"/>
  <c r="B156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" i="7"/>
  <c r="AT1" i="1"/>
  <c r="AU2" i="1"/>
</calcChain>
</file>

<file path=xl/sharedStrings.xml><?xml version="1.0" encoding="utf-8"?>
<sst xmlns="http://schemas.openxmlformats.org/spreadsheetml/2006/main" count="4308" uniqueCount="2758">
  <si>
    <t>supply_temp</t>
  </si>
  <si>
    <t>return_temp</t>
  </si>
  <si>
    <t>ct_conductivity</t>
  </si>
  <si>
    <t>ct_ph</t>
  </si>
  <si>
    <t>tamala</t>
  </si>
  <si>
    <t>kwrp</t>
  </si>
  <si>
    <t>clean_condensate</t>
  </si>
  <si>
    <t>blowdown</t>
  </si>
  <si>
    <t>scheme</t>
  </si>
  <si>
    <t>mu_conductivity</t>
  </si>
  <si>
    <t>mu_flow</t>
  </si>
  <si>
    <t>mu_ph</t>
  </si>
  <si>
    <t>cooling_tower_level</t>
  </si>
  <si>
    <t>relative_humidity</t>
  </si>
  <si>
    <t>ambient_temp</t>
  </si>
  <si>
    <t>delta_temp</t>
  </si>
  <si>
    <t>wetBulb_temp</t>
  </si>
  <si>
    <t>approach_temp</t>
  </si>
  <si>
    <t>cond_coc</t>
  </si>
  <si>
    <t>ct_tds</t>
  </si>
  <si>
    <t>ct_ca</t>
  </si>
  <si>
    <t>ct_alk</t>
  </si>
  <si>
    <t>ct_chloride</t>
  </si>
  <si>
    <t>flow_cycle</t>
  </si>
  <si>
    <t>sat_index</t>
  </si>
  <si>
    <t>sta_index</t>
  </si>
  <si>
    <t>perf_index</t>
  </si>
  <si>
    <t>system_vol</t>
  </si>
  <si>
    <t>rec_rate</t>
  </si>
  <si>
    <t>evap_loss</t>
  </si>
  <si>
    <t>drift_loss</t>
  </si>
  <si>
    <t>blowdown_coc</t>
  </si>
  <si>
    <t>hold_time_index</t>
  </si>
  <si>
    <t>dosing_residual</t>
  </si>
  <si>
    <t>dosing_contact_time</t>
  </si>
  <si>
    <t>dosing_density</t>
  </si>
  <si>
    <t>dosing_continuous</t>
  </si>
  <si>
    <t>dosing_initial</t>
  </si>
  <si>
    <t>dosing_slug</t>
  </si>
  <si>
    <t>currentOperatingCost</t>
  </si>
  <si>
    <t>newOperatingCost</t>
  </si>
  <si>
    <t>updatedDateTime</t>
  </si>
  <si>
    <t>[40.49, 62.44]</t>
  </si>
  <si>
    <t>[52.3, 61.55]</t>
  </si>
  <si>
    <t>[33.83, 55.48]</t>
  </si>
  <si>
    <t>[40.9, 41.44]</t>
  </si>
  <si>
    <t>[13.37, 34.98]</t>
  </si>
  <si>
    <t>[52.92, 52.92]</t>
  </si>
  <si>
    <t>[38.39, 60.08]</t>
  </si>
  <si>
    <t>[36.96, 53.36]</t>
  </si>
  <si>
    <t>[45.76, 75.11]</t>
  </si>
  <si>
    <t>[28.69, 50.25]</t>
  </si>
  <si>
    <t>[59.11, 90.12]</t>
  </si>
  <si>
    <t>[39.93, 68.53]</t>
  </si>
  <si>
    <t>[53.1, 53.1]</t>
  </si>
  <si>
    <t>[21.97, 43.75]</t>
  </si>
  <si>
    <t>[28.96, 50.7]</t>
  </si>
  <si>
    <t>[38.44, 60.13]</t>
  </si>
  <si>
    <t>[50.12, 79.82]</t>
  </si>
  <si>
    <t>[34.24, 42.8]</t>
  </si>
  <si>
    <t>[37.71, 59.6]</t>
  </si>
  <si>
    <t>[32.39, 54.23]</t>
  </si>
  <si>
    <t>[34.59, 56.36]</t>
  </si>
  <si>
    <t>[10.3, 28.95]</t>
  </si>
  <si>
    <t>[24.31, 46.01]</t>
  </si>
  <si>
    <t>[54.07, 84.63]</t>
  </si>
  <si>
    <t>[46.68, 68.9]</t>
  </si>
  <si>
    <t>[7.35, 26.02]</t>
  </si>
  <si>
    <t>[41.81, 70.87]</t>
  </si>
  <si>
    <t>[44.76, 74.24]</t>
  </si>
  <si>
    <t>[10.16, 28.82]</t>
  </si>
  <si>
    <t>[44.93, 74.19]</t>
  </si>
  <si>
    <t>[47.69, 77.88]</t>
  </si>
  <si>
    <t>[46.26, 75.91]</t>
  </si>
  <si>
    <t>[10.18, 28.82]</t>
  </si>
  <si>
    <t>[38.64, 60.33]</t>
  </si>
  <si>
    <t>[22.86, 44.62]</t>
  </si>
  <si>
    <t>[40.96, 62.9]</t>
  </si>
  <si>
    <t>[4.67, 24.04]</t>
  </si>
  <si>
    <t>[81.0, 115.55]</t>
  </si>
  <si>
    <t>[54.29, 84.72]</t>
  </si>
  <si>
    <t>[52.04, 86.25]</t>
  </si>
  <si>
    <t>[46.32, 81.57]</t>
  </si>
  <si>
    <t>[52.03, 87.21]</t>
  </si>
  <si>
    <t>[17.4, 48.18]</t>
  </si>
  <si>
    <t>[5.58, 33.96]</t>
  </si>
  <si>
    <t>[29.02, 55.44]</t>
  </si>
  <si>
    <t>[44.55, 68.25]</t>
  </si>
  <si>
    <t>[12.28, 42.29]</t>
  </si>
  <si>
    <t>[38.23, 69.49]</t>
  </si>
  <si>
    <t>[26.98, 52.75]</t>
  </si>
  <si>
    <t>[41.11, 78.36]</t>
  </si>
  <si>
    <t>[23.7, 53.95]</t>
  </si>
  <si>
    <t>[30.52, 53.11]</t>
  </si>
  <si>
    <t>[16.76, 45.66]</t>
  </si>
  <si>
    <t>[40.38, 65.3]</t>
  </si>
  <si>
    <t>[28.08, 58.11]</t>
  </si>
  <si>
    <t>[39.05, 62.65]</t>
  </si>
  <si>
    <t>[34.06, 58.05]</t>
  </si>
  <si>
    <t>[23.74, 51.79]</t>
  </si>
  <si>
    <t>[3.63, 29.62]</t>
  </si>
  <si>
    <t>[39.95, 69.27]</t>
  </si>
  <si>
    <t>[22.85, 47.28]</t>
  </si>
  <si>
    <t>[2.21, 23.35]</t>
  </si>
  <si>
    <t>[12.29, 38.65]</t>
  </si>
  <si>
    <t>[26.92, 55.57]</t>
  </si>
  <si>
    <t>[13.46, 40.67]</t>
  </si>
  <si>
    <t>[6.73, 30.76]</t>
  </si>
  <si>
    <t>[4.52, 32.76]</t>
  </si>
  <si>
    <t>[13.44, 42.75]</t>
  </si>
  <si>
    <t>[15.55, 43.68]</t>
  </si>
  <si>
    <t>[11.04, 33.26]</t>
  </si>
  <si>
    <t>[30.71, 58.29]</t>
  </si>
  <si>
    <t>[29.85, 60.79]</t>
  </si>
  <si>
    <t>[20.09, 46.44]</t>
  </si>
  <si>
    <t>[6.12, 30.19]</t>
  </si>
  <si>
    <t>[6.5, 30.78]</t>
  </si>
  <si>
    <t>[2.55, 24.93]</t>
  </si>
  <si>
    <t>[17.18, 41.2]</t>
  </si>
  <si>
    <t>[14.0, 40.06]</t>
  </si>
  <si>
    <t>[10.45, 33.04]</t>
  </si>
  <si>
    <t>[28.64, 62.75]</t>
  </si>
  <si>
    <t>[2.4, 30.57]</t>
  </si>
  <si>
    <t>[25.83, 59.75]</t>
  </si>
  <si>
    <t>[15.55, 45.83]</t>
  </si>
  <si>
    <t>[13.43, 43.47]</t>
  </si>
  <si>
    <t>[19.77, 49.12]</t>
  </si>
  <si>
    <t>[24.06, 58.48]</t>
  </si>
  <si>
    <t>[24.56, 58.55]</t>
  </si>
  <si>
    <t>[25.2, 59.68]</t>
  </si>
  <si>
    <t>[9.2, 39.37]</t>
  </si>
  <si>
    <t>[23.92, 58.22]</t>
  </si>
  <si>
    <t>[5.27, 32.85]</t>
  </si>
  <si>
    <t>[11.29, 41.33]</t>
  </si>
  <si>
    <t>[28.41, 62.56]</t>
  </si>
  <si>
    <t>[13.47, 42.99]</t>
  </si>
  <si>
    <t>[25.5, 60.0]</t>
  </si>
  <si>
    <t>[34.29, 68.92]</t>
  </si>
  <si>
    <t>[17.99, 47.08]</t>
  </si>
  <si>
    <t>[35.46, 70.05]</t>
  </si>
  <si>
    <t>[18.72, 47.87]</t>
  </si>
  <si>
    <t>[5.89, 32.69]</t>
  </si>
  <si>
    <t>[21.6, 50.82]</t>
  </si>
  <si>
    <t>[15.44, 45.28]</t>
  </si>
  <si>
    <t>[15.76, 45.07]</t>
  </si>
  <si>
    <t>[9.81, 40.01]</t>
  </si>
  <si>
    <t>[12.5, 42.35]</t>
  </si>
  <si>
    <t>[14.64, 44.39]</t>
  </si>
  <si>
    <t>[30.97, 65.16]</t>
  </si>
  <si>
    <t>[19.99, 49.44]</t>
  </si>
  <si>
    <t>[19.98, 48.78]</t>
  </si>
  <si>
    <t>[3.47, 31.06]</t>
  </si>
  <si>
    <t>[8.34, 38.84]</t>
  </si>
  <si>
    <t>[14.71, 44.13]</t>
  </si>
  <si>
    <t>[15.89, 44.95]</t>
  </si>
  <si>
    <t>[22.4, 50.46]</t>
  </si>
  <si>
    <t>[25.53, 54.11]</t>
  </si>
  <si>
    <t>[13.8, 43.33]</t>
  </si>
  <si>
    <t>[3.68, 31.71]</t>
  </si>
  <si>
    <t>[18.47, 48.08]</t>
  </si>
  <si>
    <t>[19.46, 47.61]</t>
  </si>
  <si>
    <t>[29.6, 61.67]</t>
  </si>
  <si>
    <t>[31.73, 62.94]</t>
  </si>
  <si>
    <t>[33.87, 69.01]</t>
  </si>
  <si>
    <t>[26.74, 60.99]</t>
  </si>
  <si>
    <t>[25.03, 58.95]</t>
  </si>
  <si>
    <t>[3.67, 30.19]</t>
  </si>
  <si>
    <t>[17.11, 46.55]</t>
  </si>
  <si>
    <t>[28.25, 62.58]</t>
  </si>
  <si>
    <t>[33.55, 67.42]</t>
  </si>
  <si>
    <t>[2.59, 31.13]</t>
  </si>
  <si>
    <t>[24.32, 53.84]</t>
  </si>
  <si>
    <t>[5.49, 32.65]</t>
  </si>
  <si>
    <t>[34.51, 68.14]</t>
  </si>
  <si>
    <t>[27.91, 61.62]</t>
  </si>
  <si>
    <t>[28.75, 62.49]</t>
  </si>
  <si>
    <t>[9.87, 40.0]</t>
  </si>
  <si>
    <t>[30.57, 62.09]</t>
  </si>
  <si>
    <t>[23.3, 45.36]</t>
  </si>
  <si>
    <t>[19.52, 48.13]</t>
  </si>
  <si>
    <t>[13.48, 42.74]</t>
  </si>
  <si>
    <t>[26.82, 60.66]</t>
  </si>
  <si>
    <t>[19.07, 44.29]</t>
  </si>
  <si>
    <t>[39.46, 73.39]</t>
  </si>
  <si>
    <t>[31.72, 60.25]</t>
  </si>
  <si>
    <t>[29.93, 61.67]</t>
  </si>
  <si>
    <t>[24.1, 58.05]</t>
  </si>
  <si>
    <t>[35.04, 65.26]</t>
  </si>
  <si>
    <t>[33.96, 68.02]</t>
  </si>
  <si>
    <t>[26.28, 49.06]</t>
  </si>
  <si>
    <t>[31.88, 60.24]</t>
  </si>
  <si>
    <t>[23.89, 47.05]</t>
  </si>
  <si>
    <t>[33.33, 64.07]</t>
  </si>
  <si>
    <t>[27.18, 60.85]</t>
  </si>
  <si>
    <t>[38.71, 66.06]</t>
  </si>
  <si>
    <t>[24.53, 58.48]</t>
  </si>
  <si>
    <t>[11.83, 40.81]</t>
  </si>
  <si>
    <t>[34.9, 69.04]</t>
  </si>
  <si>
    <t>[25.14, 59.24]</t>
  </si>
  <si>
    <t>[19.07, 48.19]</t>
  </si>
  <si>
    <t>[40.69, 73.48]</t>
  </si>
  <si>
    <t>[15.04, 44.76]</t>
  </si>
  <si>
    <t>[34.45, 69.02]</t>
  </si>
  <si>
    <t>[10.06, 40.15]</t>
  </si>
  <si>
    <t>[3.6, 30.72]</t>
  </si>
  <si>
    <t>[14.35, 43.46]</t>
  </si>
  <si>
    <t>[8.54, 39.24]</t>
  </si>
  <si>
    <t>[30.11, 64.78]</t>
  </si>
  <si>
    <t>[13.75, 43.05]</t>
  </si>
  <si>
    <t>[27.78, 61.41]</t>
  </si>
  <si>
    <t>[21.7, 50.98]</t>
  </si>
  <si>
    <t>[23.52, 57.12]</t>
  </si>
  <si>
    <t>[31.32, 65.64]</t>
  </si>
  <si>
    <t>[19.44, 48.52]</t>
  </si>
  <si>
    <t>[23.42, 56.24]</t>
  </si>
  <si>
    <t>[15.11, 44.14]</t>
  </si>
  <si>
    <t>[31.56, 64.82]</t>
  </si>
  <si>
    <t>[38.69, 72.92]</t>
  </si>
  <si>
    <t>[35.92, 61.79]</t>
  </si>
  <si>
    <t>[29.12, 59.65]</t>
  </si>
  <si>
    <t>[35.51, 63.12]</t>
  </si>
  <si>
    <t>[44.29, 76.0]</t>
  </si>
  <si>
    <t>[21.13, 49.99]</t>
  </si>
  <si>
    <t>[27.47, 61.29]</t>
  </si>
  <si>
    <t>[32.9, 61.16]</t>
  </si>
  <si>
    <t>[46.72, 73.36]</t>
  </si>
  <si>
    <t>[38.24, 65.6]</t>
  </si>
  <si>
    <t>[29.21, 63.32]</t>
  </si>
  <si>
    <t>[29.89, 55.78]</t>
  </si>
  <si>
    <t>[34.84, 69.01]</t>
  </si>
  <si>
    <t>[28.11, 61.66]</t>
  </si>
  <si>
    <t>[39.92, 66.7]</t>
  </si>
  <si>
    <t>[34.57, 68.39]</t>
  </si>
  <si>
    <t>[39.06, 72.6]</t>
  </si>
  <si>
    <t>[42.89, 57.74]</t>
  </si>
  <si>
    <t>[28.05, 62.23]</t>
  </si>
  <si>
    <t>[42.31, 68.43]</t>
  </si>
  <si>
    <t>[29.12, 63.24]</t>
  </si>
  <si>
    <t>[24.75, 58.91]</t>
  </si>
  <si>
    <t>[33.86, 63.56]</t>
  </si>
  <si>
    <t>[34.89, 68.34]</t>
  </si>
  <si>
    <t>[31.86, 65.73]</t>
  </si>
  <si>
    <t>[35.92, 67.05]</t>
  </si>
  <si>
    <t>[35.92, 62.45]</t>
  </si>
  <si>
    <t>[36.16, 69.45]</t>
  </si>
  <si>
    <t>[30.63, 58.52]</t>
  </si>
  <si>
    <t>[19.35, 49.09]</t>
  </si>
  <si>
    <t>[46.65, 73.13]</t>
  </si>
  <si>
    <t>[27.45, 59.44]</t>
  </si>
  <si>
    <t>[24.05, 58.01]</t>
  </si>
  <si>
    <t>[37.21, 62.81]</t>
  </si>
  <si>
    <t>[33.94, 68.92]</t>
  </si>
  <si>
    <t>[29.85, 58.45]</t>
  </si>
  <si>
    <t>[20.53, 49.47]</t>
  </si>
  <si>
    <t>[44.16, 78.11]</t>
  </si>
  <si>
    <t>[23.79, 57.28]</t>
  </si>
  <si>
    <t>[30.01, 57.26]</t>
  </si>
  <si>
    <t>[53.71, 81.9]</t>
  </si>
  <si>
    <t>[36.28, 69.33]</t>
  </si>
  <si>
    <t>[31.86, 62.7]</t>
  </si>
  <si>
    <t>[26.4, 49.96]</t>
  </si>
  <si>
    <t>[27.0, 61.26]</t>
  </si>
  <si>
    <t>[44.99, 70.46]</t>
  </si>
  <si>
    <t>[34.39, 62.01]</t>
  </si>
  <si>
    <t>[29.88, 58.28]</t>
  </si>
  <si>
    <t>[36.19, 66.05]</t>
  </si>
  <si>
    <t>[30.87, 63.89]</t>
  </si>
  <si>
    <t>[19.65, 44.64]</t>
  </si>
  <si>
    <t>[41.51, 67.95]</t>
  </si>
  <si>
    <t>[39.49, 39.49]</t>
  </si>
  <si>
    <t>[25.2, 51.67]</t>
  </si>
  <si>
    <t>[37.48, 37.48]</t>
  </si>
  <si>
    <t>[33.87, 66.77]</t>
  </si>
  <si>
    <t>[32.07, 62.22]</t>
  </si>
  <si>
    <t>[45.86, 75.67]</t>
  </si>
  <si>
    <t>[40.88, 40.88]</t>
  </si>
  <si>
    <t>[26.53, 57.79]</t>
  </si>
  <si>
    <t>[36.97, 64.24]</t>
  </si>
  <si>
    <t>[45.96, 72.76]</t>
  </si>
  <si>
    <t>[29.57, 58.49]</t>
  </si>
  <si>
    <t>[35.04, 63.35]</t>
  </si>
  <si>
    <t>[51.58, 77.69]</t>
  </si>
  <si>
    <t>[45.94, 73.22]</t>
  </si>
  <si>
    <t>[38.42, 65.37]</t>
  </si>
  <si>
    <t>[5.1, 27.47]</t>
  </si>
  <si>
    <t>[6.55, 28.3]</t>
  </si>
  <si>
    <t>[23.88, 47.77]</t>
  </si>
  <si>
    <t>[25.03, 5.46]</t>
  </si>
  <si>
    <t>[24.99, 17.97]</t>
  </si>
  <si>
    <t>[25.0, 4.34]</t>
  </si>
  <si>
    <t>[24.94, 22.68]</t>
  </si>
  <si>
    <t>[24.98, 0.29]</t>
  </si>
  <si>
    <t>[24.99, 24.99]</t>
  </si>
  <si>
    <t>[25.07, 5.28]</t>
  </si>
  <si>
    <t>[25.08, 9.26]</t>
  </si>
  <si>
    <t>[24.92, 0.45]</t>
  </si>
  <si>
    <t>[24.95, 3.36]</t>
  </si>
  <si>
    <t>[24.99, 1.84]</t>
  </si>
  <si>
    <t>[25.12, 0.08]</t>
  </si>
  <si>
    <t>[25.04, 25.04]</t>
  </si>
  <si>
    <t>[25.05, 1.93]</t>
  </si>
  <si>
    <t>[24.95, 3.24]</t>
  </si>
  <si>
    <t>[25.02, 5.25]</t>
  </si>
  <si>
    <t>[24.86, 0.97]</t>
  </si>
  <si>
    <t>[24.89, 14.85]</t>
  </si>
  <si>
    <t>[25.01, 4.94]</t>
  </si>
  <si>
    <t>[24.99, 3.91]</t>
  </si>
  <si>
    <t>[24.93, 4.34]</t>
  </si>
  <si>
    <t>[24.91, 2.0]</t>
  </si>
  <si>
    <t>[25.01, 2.42]</t>
  </si>
  <si>
    <t>[24.99, 1.2]</t>
  </si>
  <si>
    <t>[25.04, 6.5]</t>
  </si>
  <si>
    <t>[24.97, 1.44]</t>
  </si>
  <si>
    <t>[25.03, 0.0]</t>
  </si>
  <si>
    <t>[25.0, 0.22]</t>
  </si>
  <si>
    <t>[24.97, 2.02]</t>
  </si>
  <si>
    <t>[24.97, 0.36]</t>
  </si>
  <si>
    <t>[25.03, 0.25]</t>
  </si>
  <si>
    <t>[25.04, 0.42]</t>
  </si>
  <si>
    <t>[25.0, 2.08]</t>
  </si>
  <si>
    <t>[25.0, 5.28]</t>
  </si>
  <si>
    <t>[25.03, 2.1]</t>
  </si>
  <si>
    <t>[24.98, 5.52]</t>
  </si>
  <si>
    <t>[25.02, 0.39]</t>
  </si>
  <si>
    <t>[24.97, 3.6]</t>
  </si>
  <si>
    <t>[25.06, 1.39]</t>
  </si>
  <si>
    <t>[24.99, 1.36]</t>
  </si>
  <si>
    <t>[25.1, 1.25]</t>
  </si>
  <si>
    <t>[24.91, 1.59]</t>
  </si>
  <si>
    <t>[25.02, 1.78]</t>
  </si>
  <si>
    <t>[24.88, 0.49]</t>
  </si>
  <si>
    <t>[24.9, 3.53]</t>
  </si>
  <si>
    <t>[25.0, 5.85]</t>
  </si>
  <si>
    <t>[25.01, 1.37]</t>
  </si>
  <si>
    <t>[25.0, 0.7]</t>
  </si>
  <si>
    <t>[25.06, 4.01]</t>
  </si>
  <si>
    <t>[25.04, 0.37]</t>
  </si>
  <si>
    <t>[24.99, 3.43]</t>
  </si>
  <si>
    <t>[24.96, 3.84]</t>
  </si>
  <si>
    <t>[25.03, 1.86]</t>
  </si>
  <si>
    <t>[25.06, 5.4]</t>
  </si>
  <si>
    <t>[24.94, 4.43]</t>
  </si>
  <si>
    <t>[24.95, 4.99]</t>
  </si>
  <si>
    <t>[25.02, 4.85]</t>
  </si>
  <si>
    <t>[25.0, 2.7]</t>
  </si>
  <si>
    <t>[25.01, 2.12]</t>
  </si>
  <si>
    <t>[24.99, 0.18]</t>
  </si>
  <si>
    <t>[25.0, 2.94]</t>
  </si>
  <si>
    <t>[24.93, 0.97]</t>
  </si>
  <si>
    <t>[24.94, 0.3]</t>
  </si>
  <si>
    <t>[25.01, 0.04]</t>
  </si>
  <si>
    <t>[25.0, 0.9]</t>
  </si>
  <si>
    <t>[25.07, 0.84]</t>
  </si>
  <si>
    <t>[25.01, 1.12]</t>
  </si>
  <si>
    <t>[25.07, 1.06]</t>
  </si>
  <si>
    <t>[25.01, 1.8]</t>
  </si>
  <si>
    <t>[25.03, 2.0]</t>
  </si>
  <si>
    <t>[25.03, 0.54]</t>
  </si>
  <si>
    <t>[24.98, 0.39]</t>
  </si>
  <si>
    <t>[24.98, 2.82]</t>
  </si>
  <si>
    <t>[25.02, 0.51]</t>
  </si>
  <si>
    <t>[24.98, 0.24]</t>
  </si>
  <si>
    <t>[24.95, 1.67]</t>
  </si>
  <si>
    <t>[24.97, 0.92]</t>
  </si>
  <si>
    <t>[24.98, 3.01]</t>
  </si>
  <si>
    <t>[24.97, 1.92]</t>
  </si>
  <si>
    <t>[24.94, 1.27]</t>
  </si>
  <si>
    <t>[24.98, 0.87]</t>
  </si>
  <si>
    <t>[25.08, 0.99]</t>
  </si>
  <si>
    <t>[25.0, 1.8]</t>
  </si>
  <si>
    <t>[25.05, 1.62]</t>
  </si>
  <si>
    <t>[24.99, 3.38]</t>
  </si>
  <si>
    <t>[25.02, 0.18]</t>
  </si>
  <si>
    <t>[24.97, 0.57]</t>
  </si>
  <si>
    <t>[25.05, 0.39]</t>
  </si>
  <si>
    <t>[24.96, 0.59]</t>
  </si>
  <si>
    <t>[25.03, 0.26]</t>
  </si>
  <si>
    <t>[25.12, 2.05]</t>
  </si>
  <si>
    <t>[24.97, 1.12]</t>
  </si>
  <si>
    <t>[25.09, 1.33]</t>
  </si>
  <si>
    <t>[24.99, 1.99]</t>
  </si>
  <si>
    <t>[24.95, 0.34]</t>
  </si>
  <si>
    <t>[25.07, 2.09]</t>
  </si>
  <si>
    <t>[24.88, 3.11]</t>
  </si>
  <si>
    <t>[24.93, 2.22]</t>
  </si>
  <si>
    <t>[25.0, 3.26]</t>
  </si>
  <si>
    <t>[24.95, 2.17]</t>
  </si>
  <si>
    <t>[24.97, 3.82]</t>
  </si>
  <si>
    <t>[25.04, 2.18]</t>
  </si>
  <si>
    <t>[25.01, 2.13]</t>
  </si>
  <si>
    <t>[25.01, 0.74]</t>
  </si>
  <si>
    <t>[25.02, 1.56]</t>
  </si>
  <si>
    <t>[25.03, 2.07]</t>
  </si>
  <si>
    <t>[25.03, 1.74]</t>
  </si>
  <si>
    <t>[25.04, 3.39]</t>
  </si>
  <si>
    <t>[24.96, 3.83]</t>
  </si>
  <si>
    <t>[25.0, 1.5]</t>
  </si>
  <si>
    <t>[24.98, 0.16]</t>
  </si>
  <si>
    <t>[25.01, 2.33]</t>
  </si>
  <si>
    <t>[24.99, 2.84]</t>
  </si>
  <si>
    <t>[24.87, 3.91]</t>
  </si>
  <si>
    <t>[25.18, 4.38]</t>
  </si>
  <si>
    <t>[24.93, 1.98]</t>
  </si>
  <si>
    <t>[25.0, 1.23]</t>
  </si>
  <si>
    <t>[24.98, 2.9]</t>
  </si>
  <si>
    <t>[25.03, 3.57]</t>
  </si>
  <si>
    <t>[24.93, 0.9]</t>
  </si>
  <si>
    <t>[25.06, 1.72]</t>
  </si>
  <si>
    <t>[25.1, 1.63]</t>
  </si>
  <si>
    <t>[25.03, 0.85]</t>
  </si>
  <si>
    <t>[25.04, 0.8]</t>
  </si>
  <si>
    <t>[24.99, 1.08]</t>
  </si>
  <si>
    <t>[24.88, 2.61]</t>
  </si>
  <si>
    <t>[24.95, 1.02]</t>
  </si>
  <si>
    <t>[24.91, 2.41]</t>
  </si>
  <si>
    <t>[25.01, 0.61]</t>
  </si>
  <si>
    <t>[25.07, 4.22]</t>
  </si>
  <si>
    <t>[24.95, 2.23]</t>
  </si>
  <si>
    <t>[25.0, 2.87]</t>
  </si>
  <si>
    <t>[25.03, 0.92]</t>
  </si>
  <si>
    <t>[24.89, 1.52]</t>
  </si>
  <si>
    <t>[25.06, 0.34]</t>
  </si>
  <si>
    <t>[24.88, 1.35]</t>
  </si>
  <si>
    <t>[24.83, 3.12]</t>
  </si>
  <si>
    <t>[24.95, 3.29]</t>
  </si>
  <si>
    <t>[25.06, 2.27]</t>
  </si>
  <si>
    <t>[25.0, 1.1]</t>
  </si>
  <si>
    <t>[25.08, 2.31]</t>
  </si>
  <si>
    <t>[24.99, 3.6]</t>
  </si>
  <si>
    <t>[24.95, 0.89]</t>
  </si>
  <si>
    <t>[25.01, 1.14]</t>
  </si>
  <si>
    <t>[24.93, 0.47]</t>
  </si>
  <si>
    <t>[25.1, 1.58]</t>
  </si>
  <si>
    <t>[24.99, 2.35]</t>
  </si>
  <si>
    <t>[25.03, 2.73]</t>
  </si>
  <si>
    <t>[25.12, 0.63]</t>
  </si>
  <si>
    <t>[24.85, 3.31]</t>
  </si>
  <si>
    <t>[24.98, 1.56]</t>
  </si>
  <si>
    <t>[25.02, 1.35]</t>
  </si>
  <si>
    <t>[25.07, 1.82]</t>
  </si>
  <si>
    <t>[25.05, 0.69]</t>
  </si>
  <si>
    <t>[24.98, 1.22]</t>
  </si>
  <si>
    <t>[25.06, 2.6]</t>
  </si>
  <si>
    <t>[24.95, 0.57]</t>
  </si>
  <si>
    <t>[25.09, 3.43]</t>
  </si>
  <si>
    <t>[24.98, 3.34]</t>
  </si>
  <si>
    <t>[24.95, 2.08]</t>
  </si>
  <si>
    <t>[24.99, 2.09]</t>
  </si>
  <si>
    <t>[24.96, 0.82]</t>
  </si>
  <si>
    <t>[24.96, 1.54]</t>
  </si>
  <si>
    <t>[25.06, 2.56]</t>
  </si>
  <si>
    <t>[25.07, 0.14]</t>
  </si>
  <si>
    <t>[25.05, 1.21]</t>
  </si>
  <si>
    <t>[24.94, 2.18]</t>
  </si>
  <si>
    <t>[24.9, 0.84]</t>
  </si>
  <si>
    <t>[25.08, 3.9]</t>
  </si>
  <si>
    <t>[25.03, 0.35]</t>
  </si>
  <si>
    <t>[24.9, 1.58]</t>
  </si>
  <si>
    <t>[25.11, 3.65]</t>
  </si>
  <si>
    <t>[24.98, 0.14]</t>
  </si>
  <si>
    <t>[25.11, 2.48]</t>
  </si>
  <si>
    <t>[25.12, 1.48]</t>
  </si>
  <si>
    <t>[25.0, 3.21]</t>
  </si>
  <si>
    <t>[25.03, 0.81]</t>
  </si>
  <si>
    <t>[25.05, 1.73]</t>
  </si>
  <si>
    <t>[24.76, 4.26]</t>
  </si>
  <si>
    <t>[24.77, 3.82]</t>
  </si>
  <si>
    <t>[24.8, 1.11]</t>
  </si>
  <si>
    <t>[25.09, 6.95]</t>
  </si>
  <si>
    <t>[25.04, 2.93]</t>
  </si>
  <si>
    <t>[24.98, 8.63]</t>
  </si>
  <si>
    <t>[24.89, 1.32]</t>
  </si>
  <si>
    <t>[24.99, 0.15]</t>
  </si>
  <si>
    <t>[25.12, 2.61]</t>
  </si>
  <si>
    <t>[25.05, 1.15]</t>
  </si>
  <si>
    <t>[24.98, 9.43]</t>
  </si>
  <si>
    <t>[25.01, 2.74]</t>
  </si>
  <si>
    <t>[24.94, 3.72]</t>
  </si>
  <si>
    <t>[25.02, 11.64]</t>
  </si>
  <si>
    <t>[25.18, 1.33]</t>
  </si>
  <si>
    <t>[24.96, 2.44]</t>
  </si>
  <si>
    <t>[24.99, 1.38]</t>
  </si>
  <si>
    <t>[25.06, 0.57]</t>
  </si>
  <si>
    <t>[24.84, 1.54]</t>
  </si>
  <si>
    <t>[24.94, 1.58]</t>
  </si>
  <si>
    <t>[24.91, 1.81]</t>
  </si>
  <si>
    <t>[25.04, 2.48]</t>
  </si>
  <si>
    <t>[25.05, 0.89]</t>
  </si>
  <si>
    <t>[25.07, 3.06]</t>
  </si>
  <si>
    <t>[24.82, 0.43]</t>
  </si>
  <si>
    <t>[25.1, 3.09]</t>
  </si>
  <si>
    <t>[25.05, 3.74]</t>
  </si>
  <si>
    <t>[24.97, 0.9]</t>
  </si>
  <si>
    <t>[24.91, 0.39]</t>
  </si>
  <si>
    <t>[25.09, 1.94]</t>
  </si>
  <si>
    <t>[25.04, 1.33]</t>
  </si>
  <si>
    <t>[25.14, 1.02]</t>
  </si>
  <si>
    <t>[25.15, 3.48]</t>
  </si>
  <si>
    <t>[24.95, 4.47]</t>
  </si>
  <si>
    <t>[24.87, 0.7]</t>
  </si>
  <si>
    <t>[25.06, 6.1]</t>
  </si>
  <si>
    <t>[24.99, 4.72]</t>
  </si>
  <si>
    <t>[25.04, 2.25]</t>
  </si>
  <si>
    <t>[24.95, 1.33]</t>
  </si>
  <si>
    <t>[24.9, 3.75]</t>
  </si>
  <si>
    <t>[25.04, 0.76]</t>
  </si>
  <si>
    <t>[25.03, 6.31]</t>
  </si>
  <si>
    <t>[24.99, 7.55]</t>
  </si>
  <si>
    <t>[25.01, 1.6]</t>
  </si>
  <si>
    <t>[24.93, 1.57]</t>
  </si>
  <si>
    <t>[24.81, 1.83]</t>
  </si>
  <si>
    <t>[25.03, 2.22]</t>
  </si>
  <si>
    <t>[25.04, 5.01]</t>
  </si>
  <si>
    <t>[25.08, 25.08]</t>
  </si>
  <si>
    <t>[25.01, 4.17]</t>
  </si>
  <si>
    <t>[24.94, 24.94]</t>
  </si>
  <si>
    <t>[25.07, 1.79]</t>
  </si>
  <si>
    <t>[25.03, 1.46]</t>
  </si>
  <si>
    <t>[25.05, 2.92]</t>
  </si>
  <si>
    <t>[24.95, 24.95]</t>
  </si>
  <si>
    <t>[25.1, 0.34]</t>
  </si>
  <si>
    <t>[24.85, 1.69]</t>
  </si>
  <si>
    <t>[25.12, 3.27]</t>
  </si>
  <si>
    <t>[24.85, 0.51]</t>
  </si>
  <si>
    <t>[25.14, 1.31]</t>
  </si>
  <si>
    <t>[24.89, 4.35]</t>
  </si>
  <si>
    <t>[25.07, 3.28]</t>
  </si>
  <si>
    <t>[25.02, 1.55]</t>
  </si>
  <si>
    <t>[25.09, 0.35]</t>
  </si>
  <si>
    <t>[24.84, 0.11]</t>
  </si>
  <si>
    <t>[24.87, 2.84]</t>
  </si>
  <si>
    <t>[6.37, 6.37]</t>
  </si>
  <si>
    <t>[6.14, 6.14]</t>
  </si>
  <si>
    <t>[6.16, 6.16]</t>
  </si>
  <si>
    <t>[6.29, 6.29]</t>
  </si>
  <si>
    <t>[6.19, 6.19]</t>
  </si>
  <si>
    <t>[6.1, 6.1]</t>
  </si>
  <si>
    <t>[6.22, 6.22]</t>
  </si>
  <si>
    <t>[6.24, 6.24]</t>
  </si>
  <si>
    <t>[6.15, 6.15]</t>
  </si>
  <si>
    <t>[6.21, 6.21]</t>
  </si>
  <si>
    <t>[6.02, 6.02]</t>
  </si>
  <si>
    <t>[6.39, 6.39]</t>
  </si>
  <si>
    <t>[6.33, 6.33]</t>
  </si>
  <si>
    <t>[6.35, 6.35]</t>
  </si>
  <si>
    <t>[6.34, 6.34]</t>
  </si>
  <si>
    <t>[6.27, 6.27]</t>
  </si>
  <si>
    <t>[6.57, 6.57]</t>
  </si>
  <si>
    <t>[6.06, 6.06]</t>
  </si>
  <si>
    <t>[6.3, 6.3]</t>
  </si>
  <si>
    <t>[6.28, 6.28]</t>
  </si>
  <si>
    <t>[6.25, 6.25]</t>
  </si>
  <si>
    <t>[6.68, 6.68]</t>
  </si>
  <si>
    <t>[6.23, 6.23]</t>
  </si>
  <si>
    <t>[6.32, 6.32]</t>
  </si>
  <si>
    <t>[6.4, 6.4]</t>
  </si>
  <si>
    <t>[6.52, 6.52]</t>
  </si>
  <si>
    <t>[6.74, 6.74]</t>
  </si>
  <si>
    <t>[6.17, 6.17]</t>
  </si>
  <si>
    <t>[6.03, 6.03]</t>
  </si>
  <si>
    <t>[6.2, 6.2]</t>
  </si>
  <si>
    <t>[7.31, 7.31]</t>
  </si>
  <si>
    <t>[5.91, 5.91]</t>
  </si>
  <si>
    <t>[6.96, 6.96]</t>
  </si>
  <si>
    <t>[7.08, 7.08]</t>
  </si>
  <si>
    <t>[6.6, 6.6]</t>
  </si>
  <si>
    <t>[5.49, 5.49]</t>
  </si>
  <si>
    <t>[5.98, 5.98]</t>
  </si>
  <si>
    <t>[6.61, 6.61]</t>
  </si>
  <si>
    <t>[6.77, 6.77]</t>
  </si>
  <si>
    <t>[6.75, 6.75]</t>
  </si>
  <si>
    <t>[6.97, 6.97]</t>
  </si>
  <si>
    <t>[6.88, 6.88]</t>
  </si>
  <si>
    <t>[7.09, 7.09]</t>
  </si>
  <si>
    <t>[6.42, 6.42]</t>
  </si>
  <si>
    <t>[5.99, 5.99]</t>
  </si>
  <si>
    <t>[10.68, 10.68]</t>
  </si>
  <si>
    <t>[10.38, 10.38]</t>
  </si>
  <si>
    <t>[10.8, 10.8]</t>
  </si>
  <si>
    <t>[10.4, 10.4]</t>
  </si>
  <si>
    <t>[10.79, 10.79]</t>
  </si>
  <si>
    <t>[11.05, 11.05]</t>
  </si>
  <si>
    <t>[11.55, 11.55]</t>
  </si>
  <si>
    <t>[7.0, 7.0]</t>
  </si>
  <si>
    <t>[10.77, 10.77]</t>
  </si>
  <si>
    <t>[10.88, 10.88]</t>
  </si>
  <si>
    <t>[10.42, 10.42]</t>
  </si>
  <si>
    <t>[10.56, 10.56]</t>
  </si>
  <si>
    <t>[11.16, 11.16]</t>
  </si>
  <si>
    <t>[11.64, 11.64]</t>
  </si>
  <si>
    <t>[10.46, 10.46]</t>
  </si>
  <si>
    <t>[10.92, 10.92]</t>
  </si>
  <si>
    <t>[8.55, 8.55]</t>
  </si>
  <si>
    <t>[10.87, 10.87]</t>
  </si>
  <si>
    <t>[10.55, 10.55]</t>
  </si>
  <si>
    <t>[10.94, 10.94]</t>
  </si>
  <si>
    <t>[10.26, 10.26]</t>
  </si>
  <si>
    <t>[11.39, 11.39]</t>
  </si>
  <si>
    <t>[10.89, 10.89]</t>
  </si>
  <si>
    <t>[10.78, 10.78]</t>
  </si>
  <si>
    <t>[10.82, 10.82]</t>
  </si>
  <si>
    <t>[10.44, 10.44]</t>
  </si>
  <si>
    <t>[10.83, 10.83]</t>
  </si>
  <si>
    <t>[10.72, 10.72]</t>
  </si>
  <si>
    <t>[10.69, 10.69]</t>
  </si>
  <si>
    <t>[10.67, 10.67]</t>
  </si>
  <si>
    <t>[10.76, 10.76]</t>
  </si>
  <si>
    <t>[10.45, 10.45]</t>
  </si>
  <si>
    <t>[10.39, 10.39]</t>
  </si>
  <si>
    <t>[10.95, 10.95]</t>
  </si>
  <si>
    <t>[10.9, 10.9]</t>
  </si>
  <si>
    <t>[10.99, 10.99]</t>
  </si>
  <si>
    <t>[10.54, 10.54]</t>
  </si>
  <si>
    <t>[10.49, 10.49]</t>
  </si>
  <si>
    <t>[10.84, 10.84]</t>
  </si>
  <si>
    <t>[10.85, 10.85]</t>
  </si>
  <si>
    <t>[10.63, 10.63]</t>
  </si>
  <si>
    <t>[10.71, 10.71]</t>
  </si>
  <si>
    <t>[10.86, 10.86]</t>
  </si>
  <si>
    <t>[10.24, 10.24]</t>
  </si>
  <si>
    <t>[10.52, 10.52]</t>
  </si>
  <si>
    <t>[10.37, 10.37]</t>
  </si>
  <si>
    <t>[10.12, 10.12]</t>
  </si>
  <si>
    <t>[10.65, 10.65]</t>
  </si>
  <si>
    <t>[11.23, 11.23]</t>
  </si>
  <si>
    <t>[11.04, 11.04]</t>
  </si>
  <si>
    <t>[10.16, 10.16]</t>
  </si>
  <si>
    <t>[10.15, 10.15]</t>
  </si>
  <si>
    <t>[11.37, 11.37]</t>
  </si>
  <si>
    <t>[10.3, 10.3]</t>
  </si>
  <si>
    <t>[10.6, 10.6]</t>
  </si>
  <si>
    <t>[10.31, 10.31]</t>
  </si>
  <si>
    <t>[11.42, 11.42]</t>
  </si>
  <si>
    <t>[11.31, 11.31]</t>
  </si>
  <si>
    <t>[10.41, 10.41]</t>
  </si>
  <si>
    <t>[9.99, 9.99]</t>
  </si>
  <si>
    <t>[10.25, 10.25]</t>
  </si>
  <si>
    <t>[11.14, 11.14]</t>
  </si>
  <si>
    <t>[10.35, 10.35]</t>
  </si>
  <si>
    <t>[9.96, 9.96]</t>
  </si>
  <si>
    <t>[10.58, 10.58]</t>
  </si>
  <si>
    <t>[10.04, 10.04]</t>
  </si>
  <si>
    <t>[10.32, 10.32]</t>
  </si>
  <si>
    <t>[10.48, 10.48]</t>
  </si>
  <si>
    <t>[11.4, 11.4]</t>
  </si>
  <si>
    <t>[10.51, 10.51]</t>
  </si>
  <si>
    <t>[10.57, 10.57]</t>
  </si>
  <si>
    <t>[10.53, 10.53]</t>
  </si>
  <si>
    <t>[11.12, 11.12]</t>
  </si>
  <si>
    <t>[10.22, 10.22]</t>
  </si>
  <si>
    <t>[10.34, 10.34]</t>
  </si>
  <si>
    <t>[10.23, 10.23]</t>
  </si>
  <si>
    <t>[10.73, 10.73]</t>
  </si>
  <si>
    <t>[10.28, 10.28]</t>
  </si>
  <si>
    <t>[10.1, 10.1]</t>
  </si>
  <si>
    <t>[10.43, 10.43]</t>
  </si>
  <si>
    <t>[10.91, 10.91]</t>
  </si>
  <si>
    <t>[10.61, 10.61]</t>
  </si>
  <si>
    <t>[9.89, 9.89]</t>
  </si>
  <si>
    <t>[10.47, 10.47]</t>
  </si>
  <si>
    <t>[11.29, 11.29]</t>
  </si>
  <si>
    <t>[10.05, 10.05]</t>
  </si>
  <si>
    <t>[10.07, 10.07]</t>
  </si>
  <si>
    <t>[10.29, 10.29]</t>
  </si>
  <si>
    <t>[9.9, 9.9]</t>
  </si>
  <si>
    <t>[11.65, 11.65]</t>
  </si>
  <si>
    <t>[9.98, 9.98]</t>
  </si>
  <si>
    <t>[10.08, 10.08]</t>
  </si>
  <si>
    <t>[10.75, 10.75]</t>
  </si>
  <si>
    <t>[10.66, 10.66]</t>
  </si>
  <si>
    <t>[7.04, 7.04]</t>
  </si>
  <si>
    <t>[9.39, 9.39]</t>
  </si>
  <si>
    <t>[10.64, 10.64]</t>
  </si>
  <si>
    <t>[7.85, 7.85]</t>
  </si>
  <si>
    <t>[10.74, 10.74]</t>
  </si>
  <si>
    <t>[10.27, 10.27]</t>
  </si>
  <si>
    <t>[11.35, 11.35]</t>
  </si>
  <si>
    <t>[10.81, 10.81]</t>
  </si>
  <si>
    <t>[10.93, 10.93]</t>
  </si>
  <si>
    <t>[10.0, 12.38]</t>
  </si>
  <si>
    <t>[10.0, 12.24]</t>
  </si>
  <si>
    <t>[10.01, 11.0]</t>
  </si>
  <si>
    <t>[9.99, 8.27]</t>
  </si>
  <si>
    <t>[10.0, 6.93]</t>
  </si>
  <si>
    <t>[10.0, 10.0]</t>
  </si>
  <si>
    <t>[10.01, 11.91]</t>
  </si>
  <si>
    <t>[10.01, 10.59]</t>
  </si>
  <si>
    <t>[10.0, 14.87]</t>
  </si>
  <si>
    <t>[10.0, 9.96]</t>
  </si>
  <si>
    <t>[10.0, 17.85]</t>
  </si>
  <si>
    <t>[10.0, 13.57]</t>
  </si>
  <si>
    <t>[10.0, 8.67]</t>
  </si>
  <si>
    <t>[10.01, 10.05]</t>
  </si>
  <si>
    <t>[10.0, 11.92]</t>
  </si>
  <si>
    <t>[9.99, 15.81]</t>
  </si>
  <si>
    <t>[9.99, 8.52]</t>
  </si>
  <si>
    <t>[9.99, 11.82]</t>
  </si>
  <si>
    <t>[9.99, 10.75]</t>
  </si>
  <si>
    <t>[9.99, 11.17]</t>
  </si>
  <si>
    <t>[9.99, 5.74]</t>
  </si>
  <si>
    <t>[10.0, 9.12]</t>
  </si>
  <si>
    <t>[9.99, 16.76]</t>
  </si>
  <si>
    <t>[9.99, 13.66]</t>
  </si>
  <si>
    <t>[10.02, 5.16]</t>
  </si>
  <si>
    <t>[10.0, 14.03]</t>
  </si>
  <si>
    <t>[10.01, 14.7]</t>
  </si>
  <si>
    <t>[10.0, 5.71]</t>
  </si>
  <si>
    <t>[10.03, 14.69]</t>
  </si>
  <si>
    <t>[10.01, 15.42]</t>
  </si>
  <si>
    <t>[9.99, 15.03]</t>
  </si>
  <si>
    <t>[9.99, 5.71]</t>
  </si>
  <si>
    <t>[10.0, 11.96]</t>
  </si>
  <si>
    <t>[10.0, 8.84]</t>
  </si>
  <si>
    <t>[9.99, 12.47]</t>
  </si>
  <si>
    <t>[10.02, 4.76]</t>
  </si>
  <si>
    <t>[9.71, 22.89]</t>
  </si>
  <si>
    <t>[10.02, 16.78]</t>
  </si>
  <si>
    <t>[6.51, 17.08]</t>
  </si>
  <si>
    <t>[4.75, 16.15]</t>
  </si>
  <si>
    <t>[5.41, 17.27]</t>
  </si>
  <si>
    <t>[2.0, 9.55]</t>
  </si>
  <si>
    <t>[2.75, 6.72]</t>
  </si>
  <si>
    <t>[5.94, 10.99]</t>
  </si>
  <si>
    <t>[8.99, 13.53]</t>
  </si>
  <si>
    <t>[2.0, 8.38]</t>
  </si>
  <si>
    <t>[6.81, 13.76]</t>
  </si>
  <si>
    <t>[5.74, 10.46]</t>
  </si>
  <si>
    <t>[2.93, 15.52]</t>
  </si>
  <si>
    <t>[2.0, 10.69]</t>
  </si>
  <si>
    <t>[9.06, 10.53]</t>
  </si>
  <si>
    <t>[3.3, 9.05]</t>
  </si>
  <si>
    <t>[7.69, 12.94]</t>
  </si>
  <si>
    <t>[2.0, 11.52]</t>
  </si>
  <si>
    <t>[8.79, 12.42]</t>
  </si>
  <si>
    <t>[7.68, 11.51]</t>
  </si>
  <si>
    <t>[4.51, 10.26]</t>
  </si>
  <si>
    <t>[2.77, 5.87]</t>
  </si>
  <si>
    <t>[9.21, 13.72]</t>
  </si>
  <si>
    <t>[7.0, 9.37]</t>
  </si>
  <si>
    <t>[7.45, 4.63]</t>
  </si>
  <si>
    <t>[5.95, 7.65]</t>
  </si>
  <si>
    <t>[7.32, 11.0]</t>
  </si>
  <si>
    <t>[4.94, 8.06]</t>
  </si>
  <si>
    <t>[6.3, 6.09]</t>
  </si>
  <si>
    <t>[2.14, 6.49]</t>
  </si>
  <si>
    <t>[3.17, 8.47]</t>
  </si>
  <si>
    <t>[3.73, 8.65]</t>
  </si>
  <si>
    <t>[7.4, 6.59]</t>
  </si>
  <si>
    <t>[8.46, 11.54]</t>
  </si>
  <si>
    <t>[5.68, 12.04]</t>
  </si>
  <si>
    <t>[5.01, 9.2]</t>
  </si>
  <si>
    <t>[6.42, 5.98]</t>
  </si>
  <si>
    <t>[6.56, 6.09]</t>
  </si>
  <si>
    <t>[5.84, 4.94]</t>
  </si>
  <si>
    <t>[8.2, 8.16]</t>
  </si>
  <si>
    <t>[3.84, 7.94]</t>
  </si>
  <si>
    <t>[7.0, 6.55]</t>
  </si>
  <si>
    <t>[2.0, 12.43]</t>
  </si>
  <si>
    <t>[2.0, 6.05]</t>
  </si>
  <si>
    <t>[2.0, 11.83]</t>
  </si>
  <si>
    <t>[2.0, 9.08]</t>
  </si>
  <si>
    <t>[2.0, 8.61]</t>
  </si>
  <si>
    <t>[2.0, 9.73]</t>
  </si>
  <si>
    <t>[2.0, 11.58]</t>
  </si>
  <si>
    <t>[2.0, 11.59]</t>
  </si>
  <si>
    <t>[2.0, 11.82]</t>
  </si>
  <si>
    <t>[2.0, 7.8]</t>
  </si>
  <si>
    <t>[2.0, 11.53]</t>
  </si>
  <si>
    <t>[2.0, 6.51]</t>
  </si>
  <si>
    <t>[2.0, 8.19]</t>
  </si>
  <si>
    <t>[2.0, 12.39]</t>
  </si>
  <si>
    <t>[2.0, 8.52]</t>
  </si>
  <si>
    <t>[2.0, 11.88]</t>
  </si>
  <si>
    <t>[2.0, 13.65]</t>
  </si>
  <si>
    <t>[2.0, 9.33]</t>
  </si>
  <si>
    <t>[2.0, 13.88]</t>
  </si>
  <si>
    <t>[2.07, 9.49]</t>
  </si>
  <si>
    <t>[2.44, 6.48]</t>
  </si>
  <si>
    <t>[2.0, 10.07]</t>
  </si>
  <si>
    <t>[2.0, 8.97]</t>
  </si>
  <si>
    <t>[2.5, 8.93]</t>
  </si>
  <si>
    <t>[2.0, 7.92]</t>
  </si>
  <si>
    <t>[2.0, 8.39]</t>
  </si>
  <si>
    <t>[2.01, 8.79]</t>
  </si>
  <si>
    <t>[2.0, 12.91]</t>
  </si>
  <si>
    <t>[2.0, 9.8]</t>
  </si>
  <si>
    <t>[2.0, 9.67]</t>
  </si>
  <si>
    <t>[2.06, 6.15]</t>
  </si>
  <si>
    <t>[2.01, 7.69]</t>
  </si>
  <si>
    <t>[2.0, 8.74]</t>
  </si>
  <si>
    <t>[2.01, 8.91]</t>
  </si>
  <si>
    <t>[2.89, 10.0]</t>
  </si>
  <si>
    <t>[2.95, 10.73]</t>
  </si>
  <si>
    <t>[2.0, 8.59]</t>
  </si>
  <si>
    <t>[2.02, 6.28]</t>
  </si>
  <si>
    <t>[2.0, 9.53]</t>
  </si>
  <si>
    <t>[2.75, 9.44]</t>
  </si>
  <si>
    <t>[4.17, 12.21]</t>
  </si>
  <si>
    <t>[4.6, 12.47]</t>
  </si>
  <si>
    <t>[2.0, 13.67]</t>
  </si>
  <si>
    <t>[2.0, 12.08]</t>
  </si>
  <si>
    <t>[2.0, 11.67]</t>
  </si>
  <si>
    <t>[3.37, 5.98]</t>
  </si>
  <si>
    <t>[2.05, 9.22]</t>
  </si>
  <si>
    <t>[2.0, 13.36]</t>
  </si>
  <si>
    <t>[2.01, 6.17]</t>
  </si>
  <si>
    <t>[2.0, 10.67]</t>
  </si>
  <si>
    <t>[2.04, 6.47]</t>
  </si>
  <si>
    <t>[2.0, 13.5]</t>
  </si>
  <si>
    <t>[2.62, 12.2]</t>
  </si>
  <si>
    <t>[2.0, 12.38]</t>
  </si>
  <si>
    <t>[2.51, 7.92]</t>
  </si>
  <si>
    <t>[4.32, 12.3]</t>
  </si>
  <si>
    <t>[8.64, 8.99]</t>
  </si>
  <si>
    <t>[2.6, 9.54]</t>
  </si>
  <si>
    <t>[2.0, 8.47]</t>
  </si>
  <si>
    <t>[2.07, 12.01]</t>
  </si>
  <si>
    <t>[6.32, 8.78]</t>
  </si>
  <si>
    <t>[2.0, 14.54]</t>
  </si>
  <si>
    <t>[7.46, 11.93]</t>
  </si>
  <si>
    <t>[4.35, 12.21]</t>
  </si>
  <si>
    <t>[2.0, 11.5]</t>
  </si>
  <si>
    <t>[6.22, 12.93]</t>
  </si>
  <si>
    <t>[2.06, 13.47]</t>
  </si>
  <si>
    <t>[9.24, 9.72]</t>
  </si>
  <si>
    <t>[8.06, 11.93]</t>
  </si>
  <si>
    <t>[7.71, 9.32]</t>
  </si>
  <si>
    <t>[5.37, 12.69]</t>
  </si>
  <si>
    <t>[2.05, 12.05]</t>
  </si>
  <si>
    <t>[8.98, 13.09]</t>
  </si>
  <si>
    <t>[2.86, 8.08]</t>
  </si>
  <si>
    <t>[2.0, 13.68]</t>
  </si>
  <si>
    <t>[2.0, 11.73]</t>
  </si>
  <si>
    <t>[2.1, 9.55]</t>
  </si>
  <si>
    <t>[3.4, 14.56]</t>
  </si>
  <si>
    <t>[2.02, 8.87]</t>
  </si>
  <si>
    <t>[2.0, 7.95]</t>
  </si>
  <si>
    <t>[2.38, 6.09]</t>
  </si>
  <si>
    <t>[2.0, 7.77]</t>
  </si>
  <si>
    <t>[2.0, 12.83]</t>
  </si>
  <si>
    <t>[2.0, 8.53]</t>
  </si>
  <si>
    <t>[2.59, 12.16]</t>
  </si>
  <si>
    <t>[2.0, 10.11]</t>
  </si>
  <si>
    <t>[2.38, 11.31]</t>
  </si>
  <si>
    <t>[2.0, 13.0]</t>
  </si>
  <si>
    <t>[2.0, 9.62]</t>
  </si>
  <si>
    <t>[3.15, 11.14]</t>
  </si>
  <si>
    <t>[2.35, 8.75]</t>
  </si>
  <si>
    <t>[3.22, 12.84]</t>
  </si>
  <si>
    <t>[2.0, 14.45]</t>
  </si>
  <si>
    <t>[5.5, 11.81]</t>
  </si>
  <si>
    <t>[8.21, 12.5]</t>
  </si>
  <si>
    <t>[3.84, 15.06]</t>
  </si>
  <si>
    <t>[2.0, 9.91]</t>
  </si>
  <si>
    <t>[2.0, 12.14]</t>
  </si>
  <si>
    <t>[2.01, 12.13]</t>
  </si>
  <si>
    <t>[10.01, 14.53]</t>
  </si>
  <si>
    <t>[2.0, 13.01]</t>
  </si>
  <si>
    <t>[2.0, 12.54]</t>
  </si>
  <si>
    <t>[10.0, 11.04]</t>
  </si>
  <si>
    <t>[2.01, 13.67]</t>
  </si>
  <si>
    <t>[2.56, 12.21]</t>
  </si>
  <si>
    <t>[2.0, 13.23]</t>
  </si>
  <si>
    <t>[2.0, 13.55]</t>
  </si>
  <si>
    <t>[2.06, 14.38]</t>
  </si>
  <si>
    <t>[9.99, 11.47]</t>
  </si>
  <si>
    <t>[2.0, 12.32]</t>
  </si>
  <si>
    <t>[9.95, 13.56]</t>
  </si>
  <si>
    <t>[2.01, 12.53]</t>
  </si>
  <si>
    <t>[6.18, 12.59]</t>
  </si>
  <si>
    <t>[3.45, 13.54]</t>
  </si>
  <si>
    <t>[2.26, 13.02]</t>
  </si>
  <si>
    <t>[4.72, 13.28]</t>
  </si>
  <si>
    <t>[10.0, 12.37]</t>
  </si>
  <si>
    <t>[2.48, 13.76]</t>
  </si>
  <si>
    <t>[8.09, 11.59]</t>
  </si>
  <si>
    <t>[9.31, 14.49]</t>
  </si>
  <si>
    <t>[3.85, 11.77]</t>
  </si>
  <si>
    <t>[2.04, 11.49]</t>
  </si>
  <si>
    <t>[10.0, 12.44]</t>
  </si>
  <si>
    <t>[2.38, 13.65]</t>
  </si>
  <si>
    <t>[7.09, 11.58]</t>
  </si>
  <si>
    <t>[2.54, 9.8]</t>
  </si>
  <si>
    <t>[2.0, 15.48]</t>
  </si>
  <si>
    <t>[2.04, 11.34]</t>
  </si>
  <si>
    <t>[3.06, 11.35]</t>
  </si>
  <si>
    <t>[8.31, 16.23]</t>
  </si>
  <si>
    <t>[3.48, 13.73]</t>
  </si>
  <si>
    <t>[5.2, 12.42]</t>
  </si>
  <si>
    <t>[7.49, 9.9]</t>
  </si>
  <si>
    <t>[2.15, 12.13]</t>
  </si>
  <si>
    <t>[7.21, 13.97]</t>
  </si>
  <si>
    <t>[2.12, 12.3]</t>
  </si>
  <si>
    <t>[6.56, 11.54]</t>
  </si>
  <si>
    <t>[6.59, 13.08]</t>
  </si>
  <si>
    <t>[2.62, 12.66]</t>
  </si>
  <si>
    <t>[6.67, 8.84]</t>
  </si>
  <si>
    <t>[7.06, 13.47]</t>
  </si>
  <si>
    <t>[2.0, 2.0]</t>
  </si>
  <si>
    <t>[4.62, 10.24]</t>
  </si>
  <si>
    <t>[3.6, 13.23]</t>
  </si>
  <si>
    <t>[5.74, 12.32]</t>
  </si>
  <si>
    <t>[7.31, 14.99]</t>
  </si>
  <si>
    <t>[4.95, 11.44]</t>
  </si>
  <si>
    <t>[8.61, 12.73]</t>
  </si>
  <si>
    <t>[9.46, 14.42]</t>
  </si>
  <si>
    <t>[7.0, 11.58]</t>
  </si>
  <si>
    <t>[8.07, 12.55]</t>
  </si>
  <si>
    <t>[9.83, 15.39]</t>
  </si>
  <si>
    <t>[9.03, 14.51]</t>
  </si>
  <si>
    <t>[9.47, 12.95]</t>
  </si>
  <si>
    <t>[7.81, 5.44]</t>
  </si>
  <si>
    <t>[8.59, 5.6]</t>
  </si>
  <si>
    <t>[7.62, 9.47]</t>
  </si>
  <si>
    <t>20230124-093759_8f3cf142-09ac-4146-806e-26f92db6205a</t>
  </si>
  <si>
    <t>20230124-093759_a884498a-9014-4d7b-93b0-1726eebac697</t>
  </si>
  <si>
    <t>20230124-093759_cffc3147-744b-4994-ace0-e0882e8a1dd7</t>
  </si>
  <si>
    <t>20230124-093759_9f0a1368-5ec7-48f3-a1f7-b03589439cab</t>
  </si>
  <si>
    <t>20230124-093759_e697bf3c-588b-4d89-9b61-67d892014333</t>
  </si>
  <si>
    <t>20230124-093759_5bf3c0ad-e364-4209-aee7-a3fb00439d48</t>
  </si>
  <si>
    <t>20230124-093759_f9e7fcbc-77c4-4dc7-8ef4-49ac28693c79</t>
  </si>
  <si>
    <t>20230124-093759_73ba74f0-c493-4a9d-a540-f7430c20f7bd</t>
  </si>
  <si>
    <t>20230124-093759_a87f9bba-c063-48b0-9805-748c97392c9e</t>
  </si>
  <si>
    <t>20230124-093759_27d58fd8-c9d7-41fe-ae29-27a121326add</t>
  </si>
  <si>
    <t>20230124-093759_bf97e8b9-d8f1-4edf-bea6-381a9adeadb3</t>
  </si>
  <si>
    <t>20230124-093759_5e9220f6-d8db-462c-ab1f-046510eb9f5f</t>
  </si>
  <si>
    <t>20230124-093759_c3d9a479-9ca6-4a54-af09-f91d19f3bb51</t>
  </si>
  <si>
    <t>20230124-093759_0f23e5b4-d6ab-48cb-9200-361ba2154e90</t>
  </si>
  <si>
    <t>20230124-093759_4572f880-c102-4efa-93d9-90bf3f6c0719</t>
  </si>
  <si>
    <t>20230124-093759_f42e6ef6-7d41-4c8d-8703-d21d85a3b075</t>
  </si>
  <si>
    <t>20230124-093759_65b8faca-7f49-47dd-be1b-c3d2126a268a</t>
  </si>
  <si>
    <t>20230124-093759_372de64a-1f23-469a-b292-519478218b2a</t>
  </si>
  <si>
    <t>20230124-093759_79cd1182-fb21-414b-8b67-9e91521e787f</t>
  </si>
  <si>
    <t>20230124-093759_f69680c6-af23-41fb-bc5f-ce71c5a51537</t>
  </si>
  <si>
    <t>20230124-094327_1dc7ba2e-722c-4430-a56b-5facf2fb47be</t>
  </si>
  <si>
    <t>20230124-094327_815f6f06-5e6d-4ffa-9648-3420b6c1d71e</t>
  </si>
  <si>
    <t>20230124-094327_15a3559f-8385-4285-9bc8-fb79b15db920</t>
  </si>
  <si>
    <t>20230124-094327_ab2ebcc4-6c01-4a31-8069-117761da70f1</t>
  </si>
  <si>
    <t>20230124-094327_14c2fae3-d26c-41c5-97b6-43f846ed481f</t>
  </si>
  <si>
    <t>20230124-094327_c0b9d1b2-f05b-40a4-a0f3-2f4a250be08e</t>
  </si>
  <si>
    <t>20230124-094327_e3093f45-46cc-47af-b611-80d5b0701bac</t>
  </si>
  <si>
    <t>20230124-094327_bf8f212a-547f-40ea-b7e8-7bb579c35fa7</t>
  </si>
  <si>
    <t>20230124-094327_db7a6082-f3b2-4c94-8349-f54244dc7668</t>
  </si>
  <si>
    <t>20230124-094327_ca926b61-ef87-4839-aef5-36f998985cc4</t>
  </si>
  <si>
    <t>20230124-094327_ce594145-2c17-49a1-9789-15896614e3e7</t>
  </si>
  <si>
    <t>20230124-094327_b8254761-0f3a-4958-ad78-2d44b821a52b</t>
  </si>
  <si>
    <t>20230124-094327_646fffb5-eb26-41ee-9738-1816d7ce8699</t>
  </si>
  <si>
    <t>20230124-094327_94c97ca2-2a3b-420f-a0f0-54ae02500c1f</t>
  </si>
  <si>
    <t>20230124-094327_2c89b109-bd5e-4662-a0e0-5b99b8f6e8a6</t>
  </si>
  <si>
    <t>20230124-094327_ec776083-e9ac-40b0-a646-c8ab1a1780f3</t>
  </si>
  <si>
    <t>20230124-094327_a53e1560-25cd-4d16-8da1-2ed05ce25b9a</t>
  </si>
  <si>
    <t>20230124-094327_6a579e85-5776-4e71-b487-1bac65340618</t>
  </si>
  <si>
    <t>20230124-094327_46dfd98e-8635-4a3a-a248-b5fb268d562c</t>
  </si>
  <si>
    <t>20230124-094327_0d35cfa7-9256-4b5c-81cb-7275377060e1</t>
  </si>
  <si>
    <t>20230124-094847_619e9468-f1df-4a84-b3a4-7660722c4c5e</t>
  </si>
  <si>
    <t>20230124-094847_b2d290be-fe05-4fb9-a9a2-cfa540abd773</t>
  </si>
  <si>
    <t>20230124-094847_c8834377-5138-4d53-a44b-241fb0ab04f2</t>
  </si>
  <si>
    <t>20230124-094847_623f8990-976e-4d8e-9a15-a838d1744f11</t>
  </si>
  <si>
    <t>20230124-094847_703eae08-4281-488e-86f7-f2c961ab8503</t>
  </si>
  <si>
    <t>20230124-094847_2442b428-6791-48af-a621-3277dc97fc4d</t>
  </si>
  <si>
    <t>20230124-094847_a06b3e53-9e5e-4b2e-afba-57fcde4c096c</t>
  </si>
  <si>
    <t>20230124-094847_e0082985-1141-4598-a565-a56fa0957042</t>
  </si>
  <si>
    <t>20230124-094847_80b89fca-3c73-4702-852d-b7c2e9905ca6</t>
  </si>
  <si>
    <t>20230124-094847_a11f215c-4910-4e4e-8125-6da90eaed39b</t>
  </si>
  <si>
    <t>20230124-094847_bbb53f05-a31c-4436-8036-b651e6ebb454</t>
  </si>
  <si>
    <t>20230124-094847_92ee7ec2-f520-4855-a655-74c491468c27</t>
  </si>
  <si>
    <t>20230124-094847_a308230e-dd4c-47e6-9f3a-277da9b407ba</t>
  </si>
  <si>
    <t>20230124-094847_5976d7a9-cbb0-4ebe-8f45-52b30f9ea6a7</t>
  </si>
  <si>
    <t>20230124-094847_2a374359-2651-4164-a092-6439e656212e</t>
  </si>
  <si>
    <t>20230124-094847_12bdc9a6-fb9f-4f9c-9b11-647a86fa15d1</t>
  </si>
  <si>
    <t>20230124-094847_76b4772e-1974-4cf5-9038-a15760d217ab</t>
  </si>
  <si>
    <t>20230124-094847_f4f0ddd0-af8a-4a54-b340-ff9a216e1c73</t>
  </si>
  <si>
    <t>20230124-094847_367753c1-1d85-4921-84e6-f1fee7c027ca</t>
  </si>
  <si>
    <t>20230124-094847_b637437e-5c7f-41ce-9720-7c3b42357b82</t>
  </si>
  <si>
    <t>20230124-095412_491e0360-44f4-46ab-9a9c-2a43ba962222</t>
  </si>
  <si>
    <t>20230124-095412_4052a4da-c984-4b22-b269-a6b159a66a7d</t>
  </si>
  <si>
    <t>20230124-095412_b9a2b135-c021-4bf3-9934-43384d934402</t>
  </si>
  <si>
    <t>20230124-095412_c03ce7b5-55d2-4bf4-88b8-6ae037f9de2b</t>
  </si>
  <si>
    <t>20230124-095412_571f4ec3-6283-4cc1-83f1-8b0cc11d0297</t>
  </si>
  <si>
    <t>20230124-095412_35543689-ab8c-467b-90ea-0e567d281ed6</t>
  </si>
  <si>
    <t>20230124-095412_0e63fe43-22c9-4518-af3a-0d2b206d1d3b</t>
  </si>
  <si>
    <t>20230124-095412_edde0de5-8c58-4be8-8a07-4923dacb28e2</t>
  </si>
  <si>
    <t>20230124-095412_f0eeab57-d398-4f27-8012-f829bc365b30</t>
  </si>
  <si>
    <t>20230124-095412_760e8553-f762-4cd3-882e-86b87a1cbe9c</t>
  </si>
  <si>
    <t>20230124-095412_66051ab0-4f10-4816-be11-b7e756ec991b</t>
  </si>
  <si>
    <t>20230124-095412_6d86d795-4c62-4be9-8b86-c68973b2885f</t>
  </si>
  <si>
    <t>20230124-095412_5f75f2f2-b1d5-43d3-bd74-a9645dcc7ebc</t>
  </si>
  <si>
    <t>20230124-095412_410d9d35-a83f-4db4-a61d-9950514dd89b</t>
  </si>
  <si>
    <t>20230124-095412_19632414-a9ba-40f2-97b2-196c38c7ce9a</t>
  </si>
  <si>
    <t>20230124-095412_7c85fcc3-d674-4e42-b6b7-633e0364bef1</t>
  </si>
  <si>
    <t>20230124-095412_0faf45c1-7ce5-4c18-91ae-97dd0d48a455</t>
  </si>
  <si>
    <t>20230124-095412_f2bda6db-5a5d-4682-88d0-f1fbc5f47696</t>
  </si>
  <si>
    <t>20230124-095412_85767bb6-6fbe-4a97-918c-61b0b7611781</t>
  </si>
  <si>
    <t>20230124-095935_7f52427f-d581-40f4-bd27-1df02358855d</t>
  </si>
  <si>
    <t>20230124-095935_3b9a2f59-b383-4b7b-8055-6406c29ecebc</t>
  </si>
  <si>
    <t>20230124-095935_bd38d64c-80c1-4391-b10c-0637e6acc0d3</t>
  </si>
  <si>
    <t>20230124-095935_f85b8e87-0bbd-4f89-906b-06dceeef9f4a</t>
  </si>
  <si>
    <t>20230124-095935_72c5c4f1-aaf5-46a2-aa47-0ee64be5013b</t>
  </si>
  <si>
    <t>20230124-095935_31629371-b0a8-456f-bdf3-60b2eb9ec76b</t>
  </si>
  <si>
    <t>20230124-095935_9cf267c2-8d51-4c90-90b7-ab3040a8b89f</t>
  </si>
  <si>
    <t>20230124-095935_2fc457b5-2525-4207-8b72-3b7c527172fa</t>
  </si>
  <si>
    <t>20230124-095935_2527abfa-c0c9-4b2c-b9ef-12ea68e712f1</t>
  </si>
  <si>
    <t>20230124-095935_50f08e86-7908-4c63-87e5-91d39e18e12e</t>
  </si>
  <si>
    <t>20230124-095935_c6fa23cf-7316-4cec-9f77-6730ee0c7e55</t>
  </si>
  <si>
    <t>20230124-095935_9d952115-40c3-461d-a9c6-8ba6f027add8</t>
  </si>
  <si>
    <t>20230124-095935_3c92dbac-79df-4625-9a92-edad34775c9c</t>
  </si>
  <si>
    <t>20230124-095935_4abc60a9-a8b6-4fce-8ea8-86513755599d</t>
  </si>
  <si>
    <t>20230124-095935_89d5ff91-35ad-4314-abce-6b658a065714</t>
  </si>
  <si>
    <t>20230124-095935_4cd73326-6dab-4779-98ad-7d33e9c33b05</t>
  </si>
  <si>
    <t>20230124-095935_35b24cbd-062e-44cc-a5d8-1910fae5acf0</t>
  </si>
  <si>
    <t>20230124-095935_3897b219-8b17-4a3f-bd24-6e67bb568b89</t>
  </si>
  <si>
    <t>20230124-095935_3346466a-438c-4241-b244-4cf47f042a09</t>
  </si>
  <si>
    <t>20230124-100453_a52451b3-a7b9-4ae6-b743-0a9636cb7537</t>
  </si>
  <si>
    <t>20230124-100453_b9aaf2f9-3d93-43dd-bb66-d590d85cf98a</t>
  </si>
  <si>
    <t>20230124-100453_763c9853-1cfd-4a90-b5a3-b7501a3b9120</t>
  </si>
  <si>
    <t>20230124-100453_2b916107-52f3-4153-b9b7-5ed24d404074</t>
  </si>
  <si>
    <t>20230124-100453_98bc632c-6665-425c-8df8-2e6b7cea4f08</t>
  </si>
  <si>
    <t>20230124-100453_4b24b00f-326b-4979-bd82-b7a85ef880eb</t>
  </si>
  <si>
    <t>20230124-100453_897f63e2-a709-4b85-89db-7b0ed93c34aa</t>
  </si>
  <si>
    <t>20230124-100453_b87dabc3-1525-4870-a050-41a26308983d</t>
  </si>
  <si>
    <t>20230124-100453_7abf8815-601e-4fba-9d7c-f9d63db1f3fd</t>
  </si>
  <si>
    <t>20230124-100453_65b58410-0c15-42f5-9098-a2b2a9cecb25</t>
  </si>
  <si>
    <t>20230124-100453_28f95f51-0c5c-4a5c-9cc8-9c6738569761</t>
  </si>
  <si>
    <t>20230124-100453_76af933c-f3bd-4f1f-9cff-63a24dd9da01</t>
  </si>
  <si>
    <t>20230124-100453_dad662e1-8f84-4be2-ba81-e8bdf6326175</t>
  </si>
  <si>
    <t>20230124-100453_09a8fffe-87ef-404c-a819-cdfd1105b6ca</t>
  </si>
  <si>
    <t>20230124-100453_b381eb20-2bb1-4b4b-a311-d2934c19e29a</t>
  </si>
  <si>
    <t>20230124-100453_14b6e006-0ce4-4ddf-9a93-5978dc7a5c4c</t>
  </si>
  <si>
    <t>20230124-100453_15f4ea4a-1420-4414-9006-6ea770fc59c0</t>
  </si>
  <si>
    <t>20230124-100453_fd83852c-21f2-4f8e-bed6-84d92e384183</t>
  </si>
  <si>
    <t>20230124-100453_cce0a83f-18c5-4734-86a5-75fe130f8452</t>
  </si>
  <si>
    <t>20230124-100453_4df133dc-7a53-44a7-9b11-dc680cccd0b4</t>
  </si>
  <si>
    <t>20230124-101016_79675cf0-9f37-4858-be97-c14340cf0d39</t>
  </si>
  <si>
    <t>20230124-101016_5e3211ff-d4c2-40a3-a067-0166050cb07d</t>
  </si>
  <si>
    <t>20230124-101016_41cccb7a-48fe-4dd0-a598-83cdc400908d</t>
  </si>
  <si>
    <t>20230124-101016_d50c42c9-2b63-4e06-875a-225f5e389e5d</t>
  </si>
  <si>
    <t>20230124-101016_97304302-6dc0-445b-99ec-3108bc71f6fc</t>
  </si>
  <si>
    <t>20230124-101016_61caf477-6352-4fbe-bd64-c185b9f89515</t>
  </si>
  <si>
    <t>20230124-101016_1104b0f1-3223-4073-96a5-27cec0d4a0c0</t>
  </si>
  <si>
    <t>20230124-101016_4da7df95-2b79-4509-84b6-395edbc24f3c</t>
  </si>
  <si>
    <t>20230124-101016_29694bd8-ac0d-4653-be9f-8b8a5d2ba567</t>
  </si>
  <si>
    <t>20230124-101016_d70c5c40-a87f-4877-981c-c3a6747e342c</t>
  </si>
  <si>
    <t>20230124-101016_2bd55432-2991-45ff-aa16-37fdae50cc58</t>
  </si>
  <si>
    <t>20230124-101016_889ac45a-4342-457e-b5a1-50146a4fddc4</t>
  </si>
  <si>
    <t>20230124-101016_f6595d31-1541-42a2-8b9d-03d0e85805df</t>
  </si>
  <si>
    <t>20230124-101016_bf64faa7-b898-40a7-b952-cd03f1b32e82</t>
  </si>
  <si>
    <t>20230124-101016_63ec2a98-7975-4013-a1f1-922660e75651</t>
  </si>
  <si>
    <t>20230124-101016_16e0b150-cb30-4bb6-bb40-315f5b399207</t>
  </si>
  <si>
    <t>20230124-101016_14709327-e1b8-4ba3-8448-7af76e395bf1</t>
  </si>
  <si>
    <t>20230124-101537_cfb63724-365e-4ed3-ba47-45ce8e6b06f4</t>
  </si>
  <si>
    <t>20230124-101537_f663ea6c-d19a-4adc-8951-5ba520df8ad8</t>
  </si>
  <si>
    <t>20230124-101537_b3654c60-7a97-460f-9d23-649d87d5482b</t>
  </si>
  <si>
    <t>20230124-101537_f988a61b-bce6-4361-a82b-aecb8b4f7563</t>
  </si>
  <si>
    <t>20230124-101537_e34cd39b-c400-4629-ade9-974a5130e623</t>
  </si>
  <si>
    <t>20230124-101537_2216429f-de4c-4839-add0-f2e5ad9d6959</t>
  </si>
  <si>
    <t>20230124-101537_2dc79396-120e-421d-b346-c6d833956de9</t>
  </si>
  <si>
    <t>20230124-101537_ed1568fb-e840-4b0b-a80c-b4e8f01e5972</t>
  </si>
  <si>
    <t>20230124-101537_d2eb5f54-e94b-4697-b875-5a97bc069c0d</t>
  </si>
  <si>
    <t>20230124-101537_82bdd78e-8196-49f7-a77d-fe946925364a</t>
  </si>
  <si>
    <t>20230124-101537_55bd1218-2f31-457d-b78a-3d9173122438</t>
  </si>
  <si>
    <t>20230124-101537_5ab51a02-e5a2-4e24-a9cf-23165a25bdc9</t>
  </si>
  <si>
    <t>20230124-101537_65382cbc-5505-4bd6-94b7-a6145c51ad62</t>
  </si>
  <si>
    <t>20230124-101537_9b6c0c71-3c9d-43cf-a603-67ec3f178555</t>
  </si>
  <si>
    <t>20230124-101537_0d53e31c-242f-4795-8953-3549ec4a0dfe</t>
  </si>
  <si>
    <t>20230124-101537_ce3d012b-97b1-447a-8237-0da809152799</t>
  </si>
  <si>
    <t>20230124-101537_f4cc1124-dd31-48be-8618-fcd8a95dfcda</t>
  </si>
  <si>
    <t>20230124-101537_12cc057f-a884-4698-a2be-17d9d847ab76</t>
  </si>
  <si>
    <t>20230124-101537_823f6aee-ff84-4c0d-9364-8c97401e19bb</t>
  </si>
  <si>
    <t>20230124-101537_e4a24add-fa1e-4d5c-8194-6aa556f115f4</t>
  </si>
  <si>
    <t>20230124-102053_75e2e098-d7cc-4b2f-aa89-2447f4f4f362</t>
  </si>
  <si>
    <t>20230124-102053_ea993047-f3cf-4fd9-a3d9-536cee3563eb</t>
  </si>
  <si>
    <t>20230124-102053_751519e2-bad6-4b74-a03a-70fdf61c8d3b</t>
  </si>
  <si>
    <t>20230124-102053_4a072851-d3c2-44b8-b867-2f58d7381c43</t>
  </si>
  <si>
    <t>20230124-102053_2b21da94-13ac-409e-b1d3-6ae92ad0d3b3</t>
  </si>
  <si>
    <t>20230124-102053_9122f2a7-e3a8-4ba7-9812-f9126d983f08</t>
  </si>
  <si>
    <t>20230124-102053_a8d2688e-23b6-475b-945e-64aac3a47212</t>
  </si>
  <si>
    <t>20230124-102053_47e40253-c7a0-448d-9c74-c1e89d6b70e4</t>
  </si>
  <si>
    <t>20230124-102053_b65c718a-7918-48b1-a770-8d534f991bb4</t>
  </si>
  <si>
    <t>20230124-102053_dcbd56a4-befd-434f-a9b9-ea0edd85cb4d</t>
  </si>
  <si>
    <t>20230124-102053_83c9f5cc-d546-455d-9229-cac0b5e12d70</t>
  </si>
  <si>
    <t>20230124-102053_343a9361-0ae8-4947-b937-66a90d886efc</t>
  </si>
  <si>
    <t>20230124-102053_c29647d0-54d4-444d-b5f2-5a14396e7241</t>
  </si>
  <si>
    <t>20230124-102053_874f60cd-6ffa-4372-8f8c-b8616962ed79</t>
  </si>
  <si>
    <t>20230124-102053_4e50365c-7470-411e-9f40-410a9078c7f5</t>
  </si>
  <si>
    <t>20230124-102053_9a9a38b7-7a7a-4b73-bdc6-ab9ffdd1a648</t>
  </si>
  <si>
    <t>20230124-102053_3ffcffe0-c429-4567-a130-a0ebc7c8aeb4</t>
  </si>
  <si>
    <t>20230124-102053_4c665e0f-1ae4-4b24-b9af-06687b0e2284</t>
  </si>
  <si>
    <t>20230124-102053_a337554e-8099-4d52-bba9-aab898eacdcd</t>
  </si>
  <si>
    <t>20230124-102053_31f07991-1efb-47a1-a039-50ac28c8365d</t>
  </si>
  <si>
    <t>20230124-102614_879cb8bd-6871-443e-ab39-5590af600a5f</t>
  </si>
  <si>
    <t>20230124-102614_d3df19cb-6c1b-4fde-8869-0ecb00559a4d</t>
  </si>
  <si>
    <t>20230124-102614_c5b436c7-9f15-463b-ac6b-d25847935d91</t>
  </si>
  <si>
    <t>20230124-102614_98dc0357-cca9-4f1b-9819-34978f8191f9</t>
  </si>
  <si>
    <t>20230124-102614_bd604c09-1f3e-4a7a-b817-436503e24b93</t>
  </si>
  <si>
    <t>20230124-102614_f48d99ee-6c44-4990-824d-565a438e13de</t>
  </si>
  <si>
    <t>20230124-102614_d8f46e78-1516-4698-a968-fa66683c3f49</t>
  </si>
  <si>
    <t>20230124-102614_9873af99-418b-4f79-872d-bb7c065b8d87</t>
  </si>
  <si>
    <t>20230124-102614_8a550634-4633-48df-ac80-37104e2b89e0</t>
  </si>
  <si>
    <t>20230124-102614_91671f3a-7d96-4ba7-b302-35bdcfea458c</t>
  </si>
  <si>
    <t>20230124-102614_a3613427-9123-47fa-a7f1-d4b853d90c0a</t>
  </si>
  <si>
    <t>20230124-102614_b75d2223-4af6-4888-8f23-8b029cee2ded</t>
  </si>
  <si>
    <t>20230124-102614_60ac27e3-c692-4630-9f19-91b861130bc8</t>
  </si>
  <si>
    <t>20230124-102614_9e898a4e-2a78-4c4e-9b03-23bd6f605a36</t>
  </si>
  <si>
    <t>20230124-102614_497acd7e-876a-4c38-a827-c27721da0b01</t>
  </si>
  <si>
    <t>20230124-102614_72eedc59-4d32-47b5-8e0f-4eaa7eec4fc0</t>
  </si>
  <si>
    <t>20230124-102614_02b18757-f1c8-4f40-9314-81cf69f3b187</t>
  </si>
  <si>
    <t>20230124-102614_df156647-25c1-4510-93b2-1a76fb69dab9</t>
  </si>
  <si>
    <t>20230124-102614_ccd748e8-3cde-4fea-bd60-ccef5be307a6</t>
  </si>
  <si>
    <t>20230124-102614_aa872d29-a86d-413a-b5b6-02151991617a</t>
  </si>
  <si>
    <t>20230124-103137_1faf90e1-4c6f-4c35-9282-8106420a2b20</t>
  </si>
  <si>
    <t>20230124-103137_55eeb71e-a4c4-404e-acb8-883df3f12a35</t>
  </si>
  <si>
    <t>20230124-103137_49a45584-7e3a-4538-9d75-9ab0dcae4b63</t>
  </si>
  <si>
    <t>20230124-103137_0bcfe2bc-ae39-4801-b8f5-f7abd240f78a</t>
  </si>
  <si>
    <t>20230124-103137_efad9f3c-c5c9-4342-918f-f59b156953fb</t>
  </si>
  <si>
    <t>20230124-103137_220d4b3a-f266-4d3f-be6a-082a9cc18080</t>
  </si>
  <si>
    <t>20230124-103137_18ed90bb-bda9-4a7c-9097-b08ceef2f338</t>
  </si>
  <si>
    <t>20230124-103137_87dfb0f3-ebf7-4d49-b128-3a7216133d91</t>
  </si>
  <si>
    <t>20230124-103137_cc710012-bcb0-4113-8d3d-d0561df45456</t>
  </si>
  <si>
    <t>20230124-103137_1c8fbe3a-2de6-4046-b055-0f86cabb0c2f</t>
  </si>
  <si>
    <t>20230124-103137_65ca90c2-bfe5-4da1-aebe-b23fdbfb9df2</t>
  </si>
  <si>
    <t>20230124-103137_c944de1d-8627-4053-b5ca-71dbb2b73797</t>
  </si>
  <si>
    <t>20230124-103137_c72eb6df-6417-48cd-b3e3-1e61dda8a897</t>
  </si>
  <si>
    <t>20230124-103137_ae366c3d-bd05-430b-8eea-06d9004f1d1e</t>
  </si>
  <si>
    <t>20230124-103137_f424ae2f-7795-47ec-98d9-f29d89040bd9</t>
  </si>
  <si>
    <t>20230124-103137_6f5690b3-d85f-46a4-85f3-97076a7d0c5d</t>
  </si>
  <si>
    <t>20230124-103137_6dce6e55-5058-4a0d-aa67-5677d77fbdf2</t>
  </si>
  <si>
    <t>20230124-103137_cb87b42a-da30-450f-947b-a17182216561</t>
  </si>
  <si>
    <t>20230124-103137_079f7182-e613-4c8f-9961-3cd0cc4b0ed6</t>
  </si>
  <si>
    <t>20230124-103137_29d326f4-0a48-4b70-81b4-6b12ab0e69ec</t>
  </si>
  <si>
    <t>20230124-103656_7d089873-9664-46b7-8ea4-3a39f5f2a681</t>
  </si>
  <si>
    <t>20230124-103656_724ad4d2-b9b6-4b57-b2d2-2924ad1f8e3f</t>
  </si>
  <si>
    <t>20230124-103656_dc147f74-f38a-421c-98a4-df4b36c7e2ad</t>
  </si>
  <si>
    <t>20230124-103656_1c47ed8e-448d-4da9-860f-ab2379d07887</t>
  </si>
  <si>
    <t>20230124-103656_c162f560-0a3a-42f2-ba47-8662550964f7</t>
  </si>
  <si>
    <t>20230124-103656_a05c5c12-3a27-4bff-9e00-7359308853ee</t>
  </si>
  <si>
    <t>20230124-103656_9a07601b-4584-4974-99ba-e50f55a62834</t>
  </si>
  <si>
    <t>20230124-103656_ec2ebd14-4981-49e8-98c6-d623ff76d109</t>
  </si>
  <si>
    <t>20230124-103656_9c35b5af-8f1a-4cef-92bb-7696a56880c4</t>
  </si>
  <si>
    <t>20230124-103656_edb80e12-4514-4373-9097-a6070d8d791b</t>
  </si>
  <si>
    <t>20230124-103656_ebe70de4-843c-4d90-8707-8392d2247bc3</t>
  </si>
  <si>
    <t>20230124-103656_200dabff-ed58-4275-b1cc-ee82f769aad8</t>
  </si>
  <si>
    <t>20230124-103656_520c837e-8006-4502-9e02-958d69415b6a</t>
  </si>
  <si>
    <t>20230124-103656_c4651f16-fc7c-42c2-8fc5-79b8057abae9</t>
  </si>
  <si>
    <t>20230124-103656_48f630e1-f8cf-4b9d-8e7d-f7d20be64251</t>
  </si>
  <si>
    <t>20230124-103656_d96823c9-b7cd-4fb1-b2c1-8ca9b82ae140</t>
  </si>
  <si>
    <t>20230124-103656_67947199-1332-4a3c-9f39-0628f4fa7c9b</t>
  </si>
  <si>
    <t>20230124-103656_3cd96e19-228c-44bb-8644-dd0aa4a8ce46</t>
  </si>
  <si>
    <t>20230124-103656_22d61cfd-9a1a-4c03-b7fc-f30786f90cd5</t>
  </si>
  <si>
    <t>20230124-103656_1dc3b0a2-5514-49d6-972e-c8ea9d7ac565</t>
  </si>
  <si>
    <t>20230124-104213_d7db9227-4b58-48c1-bc3d-f17a09799ba2</t>
  </si>
  <si>
    <t>20230124-104213_ffbff271-5f51-4fa9-b13c-40780cbf7cf7</t>
  </si>
  <si>
    <t>20230124-104213_f694cdf2-7971-4181-9f12-f6213514c4f0</t>
  </si>
  <si>
    <t>20230124-104213_4b0af51a-5921-414c-b93f-f2761e004137</t>
  </si>
  <si>
    <t>20230124-104213_e5a17ef1-0ac6-4b80-a822-785003202d81</t>
  </si>
  <si>
    <t>20230124-104213_aaf8290b-6936-4557-a48d-4a00b8131450</t>
  </si>
  <si>
    <t>20230124-104213_73662c21-3dff-4a16-8614-ba2eaba7e2dc</t>
  </si>
  <si>
    <t>20230124-104213_4dd097e2-7081-4b94-ae91-9b7f7ec2ac89</t>
  </si>
  <si>
    <t>20230124-104213_8cb2a6bc-1c13-45fd-936d-58b8c81b0333</t>
  </si>
  <si>
    <t>20230124-104213_d19a90aa-763e-4b21-946a-1049fee69e12</t>
  </si>
  <si>
    <t>[37.04, 58.45]</t>
  </si>
  <si>
    <t>[39.92, 41.08]</t>
  </si>
  <si>
    <t>[35.17, 57.06]</t>
  </si>
  <si>
    <t>[34.35, 34.61]</t>
  </si>
  <si>
    <t>[39.89, 45.02]</t>
  </si>
  <si>
    <t>[44.59, 44.59]</t>
  </si>
  <si>
    <t>[37.45, 46.7]</t>
  </si>
  <si>
    <t>[37.53, 36.6]</t>
  </si>
  <si>
    <t>[35.19, 56.71]</t>
  </si>
  <si>
    <t>[37.75, 55.52]</t>
  </si>
  <si>
    <t>[31.83, 37.66]</t>
  </si>
  <si>
    <t>[33.78, 55.88]</t>
  </si>
  <si>
    <t>[40.37, 40.37]</t>
  </si>
  <si>
    <t>[25.46, 45.59]</t>
  </si>
  <si>
    <t>[37.96, 55.52]</t>
  </si>
  <si>
    <t>[29.11, 41.35]</t>
  </si>
  <si>
    <t>[35.84, 57.55]</t>
  </si>
  <si>
    <t>[32.94, 33.33]</t>
  </si>
  <si>
    <t>[38.35, 56.0]</t>
  </si>
  <si>
    <t>[35.51, 44.77]</t>
  </si>
  <si>
    <t>[33.53, 54.48]</t>
  </si>
  <si>
    <t>[31.84, 52.82]</t>
  </si>
  <si>
    <t>[29.07, 51.05]</t>
  </si>
  <si>
    <t>[37.08, 37.34]</t>
  </si>
  <si>
    <t>[32.84, 38.06]</t>
  </si>
  <si>
    <t>[34.84, 57.72]</t>
  </si>
  <si>
    <t>[36.32, 56.97]</t>
  </si>
  <si>
    <t>[37.1, 57.01]</t>
  </si>
  <si>
    <t>[30.02, 52.57]</t>
  </si>
  <si>
    <t>[28.22, 28.22]</t>
  </si>
  <si>
    <t>[33.41, 53.35]</t>
  </si>
  <si>
    <t>[33.82, 55.81]</t>
  </si>
  <si>
    <t>[31.44, 54.45]</t>
  </si>
  <si>
    <t>[30.31, 53.0]</t>
  </si>
  <si>
    <t>[31.96, 54.21]</t>
  </si>
  <si>
    <t>[36.49, 56.42]</t>
  </si>
  <si>
    <t>[30.34, 52.23]</t>
  </si>
  <si>
    <t>[34.34, 41.44]</t>
  </si>
  <si>
    <t>[27.56, 27.56]</t>
  </si>
  <si>
    <t>[34.28, 53.9]</t>
  </si>
  <si>
    <t>[33.47, 53.57]</t>
  </si>
  <si>
    <t>[39.24, 59.11]</t>
  </si>
  <si>
    <t>[37.06, 56.75]</t>
  </si>
  <si>
    <t>[39.55, 59.19]</t>
  </si>
  <si>
    <t>[33.47, 52.21]</t>
  </si>
  <si>
    <t>[33.64, 52.62]</t>
  </si>
  <si>
    <t>[40.7, 60.39]</t>
  </si>
  <si>
    <t>[29.39, 49.55]</t>
  </si>
  <si>
    <t>[39.97, 60.2]</t>
  </si>
  <si>
    <t>[37.21, 47.0]</t>
  </si>
  <si>
    <t>[37.1, 46.8]</t>
  </si>
  <si>
    <t>[33.48, 52.74]</t>
  </si>
  <si>
    <t>[34.11, 52.57]</t>
  </si>
  <si>
    <t>[33.99, 52.8]</t>
  </si>
  <si>
    <t>[36.09, 46.09]</t>
  </si>
  <si>
    <t>[34.3, 54.21]</t>
  </si>
  <si>
    <t>[33.58, 53.62]</t>
  </si>
  <si>
    <t>[33.86, 52.15]</t>
  </si>
  <si>
    <t>[32.83, 51.19]</t>
  </si>
  <si>
    <t>[33.5, 44.12]</t>
  </si>
  <si>
    <t>[21.35, 44.62]</t>
  </si>
  <si>
    <t>[20.43, 45.97]</t>
  </si>
  <si>
    <t>[25.51, 45.3]</t>
  </si>
  <si>
    <t>[22.54, 44.51]</t>
  </si>
  <si>
    <t>[16.22, 39.6]</t>
  </si>
  <si>
    <t>[20.94, 41.39]</t>
  </si>
  <si>
    <t>[17.68, 44.36]</t>
  </si>
  <si>
    <t>[31.57, 50.02]</t>
  </si>
  <si>
    <t>[19.28, 40.57]</t>
  </si>
  <si>
    <t>[16.83, 39.93]</t>
  </si>
  <si>
    <t>[16.76, 40.21]</t>
  </si>
  <si>
    <t>[16.77, 39.66]</t>
  </si>
  <si>
    <t>[28.7, 48.25]</t>
  </si>
  <si>
    <t>[26.6, 46.06]</t>
  </si>
  <si>
    <t>[23.73, 44.53]</t>
  </si>
  <si>
    <t>[16.0, 39.47]</t>
  </si>
  <si>
    <t>[17.95, 44.75]</t>
  </si>
  <si>
    <t>[19.39, 46.09]</t>
  </si>
  <si>
    <t>[29.89, 47.87]</t>
  </si>
  <si>
    <t>[23.07, 44.52]</t>
  </si>
  <si>
    <t>[21.31, 47.59]</t>
  </si>
  <si>
    <t>[20.37, 46.92]</t>
  </si>
  <si>
    <t>[25.47, 51.66]</t>
  </si>
  <si>
    <t>[20.71, 47.1]</t>
  </si>
  <si>
    <t>[15.15, 38.65]</t>
  </si>
  <si>
    <t>[24.37, 50.4]</t>
  </si>
  <si>
    <t>[32.83, 54.69]</t>
  </si>
  <si>
    <t>[26.91, 52.59]</t>
  </si>
  <si>
    <t>[26.85, 51.76]</t>
  </si>
  <si>
    <t>[27.81, 53.02]</t>
  </si>
  <si>
    <t>[22.54, 48.77]</t>
  </si>
  <si>
    <t>[25.8, 50.37]</t>
  </si>
  <si>
    <t>[21.66, 48.12]</t>
  </si>
  <si>
    <t>[25.92, 47.05]</t>
  </si>
  <si>
    <t>[25.65, 47.35]</t>
  </si>
  <si>
    <t>[27.41, 50.17]</t>
  </si>
  <si>
    <t>[24.6, 50.52]</t>
  </si>
  <si>
    <t>[27.06, 50.64]</t>
  </si>
  <si>
    <t>[27.68, 51.48]</t>
  </si>
  <si>
    <t>[25.26, 51.41]</t>
  </si>
  <si>
    <t>[24.61, 45.34]</t>
  </si>
  <si>
    <t>[21.94, 46.26]</t>
  </si>
  <si>
    <t>[29.1, 48.26]</t>
  </si>
  <si>
    <t>[30.01, 48.45]</t>
  </si>
  <si>
    <t>[19.11, 45.67]</t>
  </si>
  <si>
    <t>[30.04, 48.5]</t>
  </si>
  <si>
    <t>[20.37, 39.67]</t>
  </si>
  <si>
    <t>[28.02, 46.59]</t>
  </si>
  <si>
    <t>[31.59, 51.15]</t>
  </si>
  <si>
    <t>[25.89, 47.35]</t>
  </si>
  <si>
    <t>[26.56, 45.28]</t>
  </si>
  <si>
    <t>[21.1, 44.59]</t>
  </si>
  <si>
    <t>[26.7, 46.07]</t>
  </si>
  <si>
    <t>[29.3, 47.81]</t>
  </si>
  <si>
    <t>[29.41, 48.09]</t>
  </si>
  <si>
    <t>[20.1, 44.99]</t>
  </si>
  <si>
    <t>[19.61, 46.34]</t>
  </si>
  <si>
    <t>[27.64, 46.35]</t>
  </si>
  <si>
    <t>[25.45, 45.49]</t>
  </si>
  <si>
    <t>[26.65, 45.49]</t>
  </si>
  <si>
    <t>[20.18, 46.92]</t>
  </si>
  <si>
    <t>[22.08, 48.31]</t>
  </si>
  <si>
    <t>[19.71, 46.01]</t>
  </si>
  <si>
    <t>[23.38, 49.88]</t>
  </si>
  <si>
    <t>[19.95, 46.42]</t>
  </si>
  <si>
    <t>[17.53, 44.4]</t>
  </si>
  <si>
    <t>[27.92, 52.46]</t>
  </si>
  <si>
    <t>[25.52, 50.59]</t>
  </si>
  <si>
    <t>[30.85, 54.38]</t>
  </si>
  <si>
    <t>[20.1, 46.79]</t>
  </si>
  <si>
    <t>[19.49, 46.04]</t>
  </si>
  <si>
    <t>[30.03, 53.25]</t>
  </si>
  <si>
    <t>[25.94, 50.85]</t>
  </si>
  <si>
    <t>[18.96, 45.48]</t>
  </si>
  <si>
    <t>[33.14, 55.38]</t>
  </si>
  <si>
    <t>[19.23, 46.05]</t>
  </si>
  <si>
    <t>[30.3, 53.1]</t>
  </si>
  <si>
    <t>[18.28, 38.03]</t>
  </si>
  <si>
    <t>[27.16, 51.1]</t>
  </si>
  <si>
    <t>[17.62, 44.34]</t>
  </si>
  <si>
    <t>[22.5, 49.84]</t>
  </si>
  <si>
    <t>[22.57, 48.28]</t>
  </si>
  <si>
    <t>[22.09, 50.29]</t>
  </si>
  <si>
    <t>[21.66, 50.77]</t>
  </si>
  <si>
    <t>[29.67, 55.71]</t>
  </si>
  <si>
    <t>[20.91, 47.14]</t>
  </si>
  <si>
    <t>[27.53, 54.03]</t>
  </si>
  <si>
    <t>[24.54, 50.32]</t>
  </si>
  <si>
    <t>[26.47, 52.41]</t>
  </si>
  <si>
    <t>[29.85, 56.16]</t>
  </si>
  <si>
    <t>[24.8, 51.75]</t>
  </si>
  <si>
    <t>[26.77, 48.75]</t>
  </si>
  <si>
    <t>[22.83, 49.41]</t>
  </si>
  <si>
    <t>[24.29, 50.37]</t>
  </si>
  <si>
    <t>[22.88, 49.4]</t>
  </si>
  <si>
    <t>[25.68, 51.9]</t>
  </si>
  <si>
    <t>[24.99, 51.41]</t>
  </si>
  <si>
    <t>[23.05, 49.38]</t>
  </si>
  <si>
    <t>[28.82, 55.16]</t>
  </si>
  <si>
    <t>[24.93, 51.29]</t>
  </si>
  <si>
    <t>[21.81, 43.71]</t>
  </si>
  <si>
    <t>[18.69, 49.82]</t>
  </si>
  <si>
    <t>[17.23, 49.01]</t>
  </si>
  <si>
    <t>[18.84, 38.54]</t>
  </si>
  <si>
    <t>[18.86, 50.12]</t>
  </si>
  <si>
    <t>[23.42, 34.02]</t>
  </si>
  <si>
    <t>[21.01, 51.35]</t>
  </si>
  <si>
    <t>[17.93, 49.0]</t>
  </si>
  <si>
    <t>[17.81, 49.35]</t>
  </si>
  <si>
    <t>[21.62, 51.58]</t>
  </si>
  <si>
    <t>[19.36, 50.71]</t>
  </si>
  <si>
    <t>[19.5, 50.68]</t>
  </si>
  <si>
    <t>[17.24, 48.43]</t>
  </si>
  <si>
    <t>[19.26, 50.79]</t>
  </si>
  <si>
    <t>[19.26, 49.97]</t>
  </si>
  <si>
    <t>[18.68, 49.96]</t>
  </si>
  <si>
    <t>[19.2, 49.38]</t>
  </si>
  <si>
    <t>[18.02, 49.35]</t>
  </si>
  <si>
    <t>[17.36, 49.17]</t>
  </si>
  <si>
    <t>[17.95, 45.12]</t>
  </si>
  <si>
    <t>[31.4, 31.4]</t>
  </si>
  <si>
    <t>[25.21, 52.6]</t>
  </si>
  <si>
    <t>[27.08, 55.9]</t>
  </si>
  <si>
    <t>[25.21, 53.66]</t>
  </si>
  <si>
    <t>[28.44, 28.44]</t>
  </si>
  <si>
    <t>[23.96, 44.76]</t>
  </si>
  <si>
    <t>[23.96, 34.1]</t>
  </si>
  <si>
    <t>[27.53, 27.53]</t>
  </si>
  <si>
    <t>[24.2, 43.18]</t>
  </si>
  <si>
    <t>[24.54, 24.54]</t>
  </si>
  <si>
    <t>[26.18, 38.56]</t>
  </si>
  <si>
    <t>[26.41, 41.27]</t>
  </si>
  <si>
    <t>[27.89, 37.05]</t>
  </si>
  <si>
    <t>[28.55, 42.31]</t>
  </si>
  <si>
    <t>[26.6, 26.6]</t>
  </si>
  <si>
    <t>[28.68, 37.27]</t>
  </si>
  <si>
    <t>[26.52, 33.57]</t>
  </si>
  <si>
    <t>[27.01, 28.74]</t>
  </si>
  <si>
    <t>[22.13, 30.0]</t>
  </si>
  <si>
    <t>[24.28, 52.3]</t>
  </si>
  <si>
    <t>[27.25, 53.92]</t>
  </si>
  <si>
    <t>[24.61, 53.39]</t>
  </si>
  <si>
    <t>[26.73, 50.99]</t>
  </si>
  <si>
    <t>[19.99, 19.99]</t>
  </si>
  <si>
    <t>[19.75, 19.75]</t>
  </si>
  <si>
    <t>[27.23, 52.4]</t>
  </si>
  <si>
    <t>[27.8, 52.87]</t>
  </si>
  <si>
    <t>[21.62, 48.66]</t>
  </si>
  <si>
    <t>[28.57, 52.54]</t>
  </si>
  <si>
    <t>[26.69, 53.07]</t>
  </si>
  <si>
    <t>[29.15, 53.43]</t>
  </si>
  <si>
    <t>[19.02, 46.51]</t>
  </si>
  <si>
    <t>[24.57, 53.51]</t>
  </si>
  <si>
    <t>[25.14, 39.66]</t>
  </si>
  <si>
    <t>[20.66, 51.91]</t>
  </si>
  <si>
    <t>[27.47, 52.2]</t>
  </si>
  <si>
    <t>[18.51, 39.52]</t>
  </si>
  <si>
    <t>[26.29, 53.82]</t>
  </si>
  <si>
    <t>[27.5, 33.9]</t>
  </si>
  <si>
    <t>[26.72, 31.57]</t>
  </si>
  <si>
    <t>[25.28, 25.28]</t>
  </si>
  <si>
    <t>[30.21, 34.89]</t>
  </si>
  <si>
    <t>[27.81, 43.15]</t>
  </si>
  <si>
    <t>[24.75, 53.51]</t>
  </si>
  <si>
    <t>[25.94, 27.44]</t>
  </si>
  <si>
    <t>[21.38, 46.33]</t>
  </si>
  <si>
    <t>[30.92, 35.23]</t>
  </si>
  <si>
    <t>[22.73, 48.01]</t>
  </si>
  <si>
    <t>[18.99, 50.31]</t>
  </si>
  <si>
    <t>[27.59, 30.96]</t>
  </si>
  <si>
    <t>[22.55, 52.14]</t>
  </si>
  <si>
    <t>[23.99, 47.98]</t>
  </si>
  <si>
    <t>[30.65, 45.26]</t>
  </si>
  <si>
    <t>[18.98, 50.82]</t>
  </si>
  <si>
    <t>[31.9, 49.6]</t>
  </si>
  <si>
    <t>[23.66, 39.41]</t>
  </si>
  <si>
    <t>[18.93, 46.41]</t>
  </si>
  <si>
    <t>[25.33, 32.49]</t>
  </si>
  <si>
    <t>[30.87, 45.16]</t>
  </si>
  <si>
    <t>[22.6, 45.11]</t>
  </si>
  <si>
    <t>[31.52, 50.6]</t>
  </si>
  <si>
    <t>[33.08, 44.63]</t>
  </si>
  <si>
    <t>[29.73, 49.79]</t>
  </si>
  <si>
    <t>[23.22, 47.66]</t>
  </si>
  <si>
    <t>[32.36, 41.08]</t>
  </si>
  <si>
    <t>[30.07, 39.84]</t>
  </si>
  <si>
    <t>[26.27, 50.27]</t>
  </si>
  <si>
    <t>[27.52, 51.33]</t>
  </si>
  <si>
    <t>[26.49, 50.03]</t>
  </si>
  <si>
    <t>[11.41, 30.51]</t>
  </si>
  <si>
    <t>[19.97, 3.97]</t>
  </si>
  <si>
    <t>[19.98, 17.67]</t>
  </si>
  <si>
    <t>[20.0, 3.77]</t>
  </si>
  <si>
    <t>[19.98, 16.99]</t>
  </si>
  <si>
    <t>[20.02, 15.12]</t>
  </si>
  <si>
    <t>[20.0, 20.0]</t>
  </si>
  <si>
    <t>[20.02, 11.58]</t>
  </si>
  <si>
    <t>[20.23, 18.46]</t>
  </si>
  <si>
    <t>[19.99, 3.77]</t>
  </si>
  <si>
    <t>[20.05, 3.65]</t>
  </si>
  <si>
    <t>[20.04, 15.33]</t>
  </si>
  <si>
    <t>[20.17, 3.4]</t>
  </si>
  <si>
    <t>[20.09, 20.09]</t>
  </si>
  <si>
    <t>[20.02, 1.34]</t>
  </si>
  <si>
    <t>[19.95, 3.52]</t>
  </si>
  <si>
    <t>[19.96, 9.18]</t>
  </si>
  <si>
    <t>[19.79, 3.83]</t>
  </si>
  <si>
    <t>[19.7, 15.96]</t>
  </si>
  <si>
    <t>[20.01, 3.48]</t>
  </si>
  <si>
    <t>[19.99, 10.63]</t>
  </si>
  <si>
    <t>[19.83, 3.77]</t>
  </si>
  <si>
    <t>[19.91, 3.4]</t>
  </si>
  <si>
    <t>[20.01, 3.15]</t>
  </si>
  <si>
    <t>[20.05, 19.32]</t>
  </si>
  <si>
    <t>[20.07, 15.92]</t>
  </si>
  <si>
    <t>[20.05, 4.22]</t>
  </si>
  <si>
    <t>[20.0, 4.08]</t>
  </si>
  <si>
    <t>[20.0, 4.15]</t>
  </si>
  <si>
    <t>[19.97, 3.15]</t>
  </si>
  <si>
    <t>[19.96, 3.71]</t>
  </si>
  <si>
    <t>[20.13, 3.92]</t>
  </si>
  <si>
    <t>[19.97, 3.6]</t>
  </si>
  <si>
    <t>[19.99, 3.31]</t>
  </si>
  <si>
    <t>[19.99, 3.56]</t>
  </si>
  <si>
    <t>[20.02, 4.02]</t>
  </si>
  <si>
    <t>[20.05, 2.98]</t>
  </si>
  <si>
    <t>[20.03, 13.79]</t>
  </si>
  <si>
    <t>[20.01, 20.01]</t>
  </si>
  <si>
    <t>[19.96, 3.46]</t>
  </si>
  <si>
    <t>[20.11, 3.4]</t>
  </si>
  <si>
    <t>[19.97, 4.66]</t>
  </si>
  <si>
    <t>[20.06, 3.96]</t>
  </si>
  <si>
    <t>[19.84, 4.57]</t>
  </si>
  <si>
    <t>[19.99, 3.09]</t>
  </si>
  <si>
    <t>[20.0, 3.35]</t>
  </si>
  <si>
    <t>[20.01, 4.77]</t>
  </si>
  <si>
    <t>[20.05, 2.72]</t>
  </si>
  <si>
    <t>[19.98, 4.48]</t>
  </si>
  <si>
    <t>[20.02, 11.84]</t>
  </si>
  <si>
    <t>[19.99, 11.83]</t>
  </si>
  <si>
    <t>[20.0, 3.36]</t>
  </si>
  <si>
    <t>[20.0, 3.22]</t>
  </si>
  <si>
    <t>[20.0, 3.32]</t>
  </si>
  <si>
    <t>[19.98, 11.3]</t>
  </si>
  <si>
    <t>[20.01, 3.55]</t>
  </si>
  <si>
    <t>[20.0, 3.37]</t>
  </si>
  <si>
    <t>[20.02, 3.07]</t>
  </si>
  <si>
    <t>[20.01, 10.62]</t>
  </si>
  <si>
    <t>[20.03, 0.06]</t>
  </si>
  <si>
    <t>[20.03, 0.23]</t>
  </si>
  <si>
    <t>[19.86, 0.97]</t>
  </si>
  <si>
    <t>[19.93, 0.5]</t>
  </si>
  <si>
    <t>[20.05, 2.52]</t>
  </si>
  <si>
    <t>[20.02, 2.98]</t>
  </si>
  <si>
    <t>[20.0, 0.11]</t>
  </si>
  <si>
    <t>[20.05, 2.81]</t>
  </si>
  <si>
    <t>[19.96, 2.64]</t>
  </si>
  <si>
    <t>[19.96, 2.77]</t>
  </si>
  <si>
    <t>[20.07, 2.58]</t>
  </si>
  <si>
    <t>[20.0, 2.3]</t>
  </si>
  <si>
    <t>[20.01, 1.57]</t>
  </si>
  <si>
    <t>[20.01, 1.07]</t>
  </si>
  <si>
    <t>[20.05, 0.51]</t>
  </si>
  <si>
    <t>[19.99, 2.33]</t>
  </si>
  <si>
    <t>[19.96, 0.02]</t>
  </si>
  <si>
    <t>[19.91, 0.27]</t>
  </si>
  <si>
    <t>[20.0, 2.82]</t>
  </si>
  <si>
    <t>[20.07, 0.49]</t>
  </si>
  <si>
    <t>[19.81, 0.95]</t>
  </si>
  <si>
    <t>[19.95, 0.69]</t>
  </si>
  <si>
    <t>[20.14, 2.17]</t>
  </si>
  <si>
    <t>[20.0, 0.94]</t>
  </si>
  <si>
    <t>[20.03, 2.2]</t>
  </si>
  <si>
    <t>[19.93, 1.61]</t>
  </si>
  <si>
    <t>[19.95, 2.83]</t>
  </si>
  <si>
    <t>[20.05, 2.7]</t>
  </si>
  <si>
    <t>[20.0, 2.13]</t>
  </si>
  <si>
    <t>[20.06, 2.47]</t>
  </si>
  <si>
    <t>[19.93, 1.36]</t>
  </si>
  <si>
    <t>[20.0, 1.76]</t>
  </si>
  <si>
    <t>[20.11, 1.18]</t>
  </si>
  <si>
    <t>[19.99, 0.55]</t>
  </si>
  <si>
    <t>[20.05, 0.94]</t>
  </si>
  <si>
    <t>[19.99, 1.76]</t>
  </si>
  <si>
    <t>[20.05, 1.61]</t>
  </si>
  <si>
    <t>[20.16, 1.89]</t>
  </si>
  <si>
    <t>[19.79, 2.02]</t>
  </si>
  <si>
    <t>[20.02, 2.05]</t>
  </si>
  <si>
    <t>[20.0, 0.27]</t>
  </si>
  <si>
    <t>[19.99, 0.53]</t>
  </si>
  <si>
    <t>[20.03, 1.11]</t>
  </si>
  <si>
    <t>[19.99, 1.15]</t>
  </si>
  <si>
    <t>[19.96, 0.45]</t>
  </si>
  <si>
    <t>[19.99, 1.22]</t>
  </si>
  <si>
    <t>[20.02, 2.5]</t>
  </si>
  <si>
    <t>[20.0, 0.66]</t>
  </si>
  <si>
    <t>[19.98, 2.03]</t>
  </si>
  <si>
    <t>[20.0, 0.85]</t>
  </si>
  <si>
    <t>[20.05, 0.29]</t>
  </si>
  <si>
    <t>[20.01, 0.15]</t>
  </si>
  <si>
    <t>[20.0, 0.47]</t>
  </si>
  <si>
    <t>[20.0, 0.96]</t>
  </si>
  <si>
    <t>[20.0, 1.13]</t>
  </si>
  <si>
    <t>[19.61, 0.3]</t>
  </si>
  <si>
    <t>[20.3, 0.37]</t>
  </si>
  <si>
    <t>[20.01, 0.53]</t>
  </si>
  <si>
    <t>[20.0, 0.25]</t>
  </si>
  <si>
    <t>[20.03, 0.19]</t>
  </si>
  <si>
    <t>[19.93, 0.48]</t>
  </si>
  <si>
    <t>[20.18, 0.94]</t>
  </si>
  <si>
    <t>[19.83, 0.36]</t>
  </si>
  <si>
    <t>[20.05, 1.38]</t>
  </si>
  <si>
    <t>[19.78, 0.5]</t>
  </si>
  <si>
    <t>[20.1, 0.02]</t>
  </si>
  <si>
    <t>[20.13, 2.42]</t>
  </si>
  <si>
    <t>[19.89, 1.95]</t>
  </si>
  <si>
    <t>[20.13, 3.11]</t>
  </si>
  <si>
    <t>[20.1, 0.67]</t>
  </si>
  <si>
    <t>[19.84, 2.46]</t>
  </si>
  <si>
    <t>[19.96, 1.88]</t>
  </si>
  <si>
    <t>[20.05, 0.53]</t>
  </si>
  <si>
    <t>[20.07, 3.22]</t>
  </si>
  <si>
    <t>[19.96, 0.26]</t>
  </si>
  <si>
    <t>[20.01, 2.57]</t>
  </si>
  <si>
    <t>[19.91, 5.71]</t>
  </si>
  <si>
    <t>[19.78, 2.08]</t>
  </si>
  <si>
    <t>[20.1, 0.16]</t>
  </si>
  <si>
    <t>[24.68, 1.34]</t>
  </si>
  <si>
    <t>[24.7, 1.13]</t>
  </si>
  <si>
    <t>[25.02, 1.68]</t>
  </si>
  <si>
    <t>[25.03, 1.69]</t>
  </si>
  <si>
    <t>[24.92, 3.38]</t>
  </si>
  <si>
    <t>[25.1, 0.77]</t>
  </si>
  <si>
    <t>[24.99, 2.88]</t>
  </si>
  <si>
    <t>[25.06, 1.71]</t>
  </si>
  <si>
    <t>[25.01, 2.35]</t>
  </si>
  <si>
    <t>[24.72, 3.51]</t>
  </si>
  <si>
    <t>[25.24, 2.05]</t>
  </si>
  <si>
    <t>[25.11, 6.22]</t>
  </si>
  <si>
    <t>[25.16, 1.1]</t>
  </si>
  <si>
    <t>[25.14, 1.49]</t>
  </si>
  <si>
    <t>[24.82, 1.2]</t>
  </si>
  <si>
    <t>[25.05, 1.82]</t>
  </si>
  <si>
    <t>[24.88, 1.95]</t>
  </si>
  <si>
    <t>[25.05, 1.41]</t>
  </si>
  <si>
    <t>[25.07, 3.2]</t>
  </si>
  <si>
    <t>[24.99, 1.89]</t>
  </si>
  <si>
    <t>[25.15, 8.38]</t>
  </si>
  <si>
    <t>[24.98, 1.43]</t>
  </si>
  <si>
    <t>[25.26, 1.12]</t>
  </si>
  <si>
    <t>[24.74, 10.03]</t>
  </si>
  <si>
    <t>[24.83, 1.5]</t>
  </si>
  <si>
    <t>[25.06, 17.6]</t>
  </si>
  <si>
    <t>[24.88, 1.85]</t>
  </si>
  <si>
    <t>[24.79, 1.31]</t>
  </si>
  <si>
    <t>[25.15, 1.39]</t>
  </si>
  <si>
    <t>[25.13, 2.05]</t>
  </si>
  <si>
    <t>[25.07, 1.76]</t>
  </si>
  <si>
    <t>[24.78, 1.63]</t>
  </si>
  <si>
    <t>[24.72, 1.12]</t>
  </si>
  <si>
    <t>[25.28, 1.81]</t>
  </si>
  <si>
    <t>[25.1, 1.29]</t>
  </si>
  <si>
    <t>[24.73, 1.34]</t>
  </si>
  <si>
    <t>[25.25, 1.3]</t>
  </si>
  <si>
    <t>[25.08, 1.26]</t>
  </si>
  <si>
    <t>[25.27, 1.21]</t>
  </si>
  <si>
    <t>[25.21, 4.52]</t>
  </si>
  <si>
    <t>[25.0, 1.86]</t>
  </si>
  <si>
    <t>[25.05, 2.65]</t>
  </si>
  <si>
    <t>[24.5, 24.5]</t>
  </si>
  <si>
    <t>[24.53, 8.93]</t>
  </si>
  <si>
    <t>[24.67, 17.5]</t>
  </si>
  <si>
    <t>[25.27, 25.27]</t>
  </si>
  <si>
    <t>[25.01, 7.81]</t>
  </si>
  <si>
    <t>[24.93, 16.35]</t>
  </si>
  <si>
    <t>[24.99, 10.9]</t>
  </si>
  <si>
    <t>[25.4, 19.61]</t>
  </si>
  <si>
    <t>[25.39, 15.94]</t>
  </si>
  <si>
    <t>[24.78, 24.78]</t>
  </si>
  <si>
    <t>[24.97, 19.88]</t>
  </si>
  <si>
    <t>[24.65, 20.26]</t>
  </si>
  <si>
    <t>[25.01, 21.04]</t>
  </si>
  <si>
    <t>[25.33, 19.63]</t>
  </si>
  <si>
    <t>[25.0, 1.76]</t>
  </si>
  <si>
    <t>[24.89, 2.18]</t>
  </si>
  <si>
    <t>[25.16, 1.96]</t>
  </si>
  <si>
    <t>[24.63, 1.37]</t>
  </si>
  <si>
    <t>[25.02, 25.02]</t>
  </si>
  <si>
    <t>[24.83, 24.83]</t>
  </si>
  <si>
    <t>[25.25, 1.63]</t>
  </si>
  <si>
    <t>[25.37, 1.95]</t>
  </si>
  <si>
    <t>[25.1, 5.57]</t>
  </si>
  <si>
    <t>[24.61, 1.79]</t>
  </si>
  <si>
    <t>[25.29, 1.95]</t>
  </si>
  <si>
    <t>[24.93, 2.14]</t>
  </si>
  <si>
    <t>[24.91, 4.65]</t>
  </si>
  <si>
    <t>[24.67, 2.34]</t>
  </si>
  <si>
    <t>[25.09, 9.99]</t>
  </si>
  <si>
    <t>[25.2, 1.24]</t>
  </si>
  <si>
    <t>[25.36, 1.71]</t>
  </si>
  <si>
    <t>[25.2, 10.03]</t>
  </si>
  <si>
    <t>[24.94, 2.16]</t>
  </si>
  <si>
    <t>[24.7, 17.02]</t>
  </si>
  <si>
    <t>[25.06, 18.02]</t>
  </si>
  <si>
    <t>[25.07, 25.07]</t>
  </si>
  <si>
    <t>[25.13, 22.06]</t>
  </si>
  <si>
    <t>[24.85, 12.94]</t>
  </si>
  <si>
    <t>[24.92, 2.81]</t>
  </si>
  <si>
    <t>[25.09, 22.91]</t>
  </si>
  <si>
    <t>[25.07, 6.93]</t>
  </si>
  <si>
    <t>[24.95, 22.19]</t>
  </si>
  <si>
    <t>[24.99, 6.11]</t>
  </si>
  <si>
    <t>[24.97, 1.48]</t>
  </si>
  <si>
    <t>[24.76, 21.02]</t>
  </si>
  <si>
    <t>[24.96, 7.81]</t>
  </si>
  <si>
    <t>[25.08, 13.77]</t>
  </si>
  <si>
    <t>[25.1, 1.33]</t>
  </si>
  <si>
    <t>[24.94, 11.49]</t>
  </si>
  <si>
    <t>[25.0, 10.17]</t>
  </si>
  <si>
    <t>[24.95, 4.66]</t>
  </si>
  <si>
    <t>[24.99, 19.53]</t>
  </si>
  <si>
    <t>[24.92, 13.71]</t>
  </si>
  <si>
    <t>[25.29, 4.29]</t>
  </si>
  <si>
    <t>[24.79, 6.56]</t>
  </si>
  <si>
    <t>[25.18, 13.28]</t>
  </si>
  <si>
    <t>[24.67, 6.41]</t>
  </si>
  <si>
    <t>[25.27, 0.77]</t>
  </si>
  <si>
    <t>[24.95, 15.38]</t>
  </si>
  <si>
    <t>[25.05, 14.58]</t>
  </si>
  <si>
    <t>[25.14, 1.58]</t>
  </si>
  <si>
    <t>[25.25, 1.6]</t>
  </si>
  <si>
    <t>[24.76, 1.23]</t>
  </si>
  <si>
    <t>[24.75, 1.72]</t>
  </si>
  <si>
    <t>[6.72, 6.72]</t>
  </si>
  <si>
    <t>[7.02, 7.02]</t>
  </si>
  <si>
    <t>[7.05, 7.05]</t>
  </si>
  <si>
    <t>[7.03, 7.03]</t>
  </si>
  <si>
    <t>[6.67, 6.67]</t>
  </si>
  <si>
    <t>[6.95, 6.95]</t>
  </si>
  <si>
    <t>[6.85, 6.85]</t>
  </si>
  <si>
    <t>[7.01, 7.01]</t>
  </si>
  <si>
    <t>[7.16, 7.16]</t>
  </si>
  <si>
    <t>[7.06, 7.06]</t>
  </si>
  <si>
    <t>[7.25, 7.25]</t>
  </si>
  <si>
    <t>[6.98, 6.98]</t>
  </si>
  <si>
    <t>[7.18, 7.18]</t>
  </si>
  <si>
    <t>[7.11, 7.11]</t>
  </si>
  <si>
    <t>[6.86, 6.86]</t>
  </si>
  <si>
    <t>[6.54, 6.54]</t>
  </si>
  <si>
    <t>[6.59, 6.59]</t>
  </si>
  <si>
    <t>[6.5, 6.5]</t>
  </si>
  <si>
    <t>[6.64, 6.64]</t>
  </si>
  <si>
    <t>[6.71, 6.71]</t>
  </si>
  <si>
    <t>[6.69, 6.69]</t>
  </si>
  <si>
    <t>[6.79, 6.79]</t>
  </si>
  <si>
    <t>[6.84, 6.84]</t>
  </si>
  <si>
    <t>[6.38, 6.38]</t>
  </si>
  <si>
    <t>[6.7, 6.7]</t>
  </si>
  <si>
    <t>[6.66, 6.66]</t>
  </si>
  <si>
    <t>[6.89, 6.89]</t>
  </si>
  <si>
    <t>[6.73, 6.73]</t>
  </si>
  <si>
    <t>[6.53, 6.53]</t>
  </si>
  <si>
    <t>[6.78, 6.78]</t>
  </si>
  <si>
    <t>[6.91, 6.91]</t>
  </si>
  <si>
    <t>[6.47, 6.47]</t>
  </si>
  <si>
    <t>[6.62, 6.62]</t>
  </si>
  <si>
    <t>[6.49, 6.49]</t>
  </si>
  <si>
    <t>[12.75, 12.75]</t>
  </si>
  <si>
    <t>[12.96, 12.96]</t>
  </si>
  <si>
    <t>[12.05, 12.05]</t>
  </si>
  <si>
    <t>[12.28, 12.28]</t>
  </si>
  <si>
    <t>[12.81, 12.81]</t>
  </si>
  <si>
    <t>[13.06, 13.06]</t>
  </si>
  <si>
    <t>[12.63, 12.63]</t>
  </si>
  <si>
    <t>[6.65, 6.65]</t>
  </si>
  <si>
    <t>[13.07, 13.07]</t>
  </si>
  <si>
    <t>[12.69, 12.69]</t>
  </si>
  <si>
    <t>[12.99, 12.99]</t>
  </si>
  <si>
    <t>[13.05, 13.05]</t>
  </si>
  <si>
    <t>[12.3, 12.3]</t>
  </si>
  <si>
    <t>[12.17, 12.17]</t>
  </si>
  <si>
    <t>[12.95, 12.95]</t>
  </si>
  <si>
    <t>[12.82, 12.82]</t>
  </si>
  <si>
    <t>[12.97, 12.97]</t>
  </si>
  <si>
    <t>[10.97, 10.97]</t>
  </si>
  <si>
    <t>[12.72, 12.72]</t>
  </si>
  <si>
    <t>[12.78, 12.78]</t>
  </si>
  <si>
    <t>[12.6, 12.6]</t>
  </si>
  <si>
    <t>[12.76, 12.76]</t>
  </si>
  <si>
    <t>[12.88, 12.88]</t>
  </si>
  <si>
    <t>[12.91, 12.91]</t>
  </si>
  <si>
    <t>[12.45, 12.45]</t>
  </si>
  <si>
    <t>[12.77, 12.77]</t>
  </si>
  <si>
    <t>[12.79, 12.79]</t>
  </si>
  <si>
    <t>[12.66, 12.66]</t>
  </si>
  <si>
    <t>[12.73, 12.73]</t>
  </si>
  <si>
    <t>[12.65, 12.65]</t>
  </si>
  <si>
    <t>[12.67, 12.67]</t>
  </si>
  <si>
    <t>[12.68, 12.68]</t>
  </si>
  <si>
    <t>[12.8, 12.8]</t>
  </si>
  <si>
    <t>[12.74, 12.74]</t>
  </si>
  <si>
    <t>[12.86, 12.86]</t>
  </si>
  <si>
    <t>[12.71, 12.71]</t>
  </si>
  <si>
    <t>[12.62, 12.62]</t>
  </si>
  <si>
    <t>[12.93, 12.93]</t>
  </si>
  <si>
    <t>[12.87, 12.87]</t>
  </si>
  <si>
    <t>[12.94, 12.94]</t>
  </si>
  <si>
    <t>[12.85, 12.85]</t>
  </si>
  <si>
    <t>[12.83, 12.83]</t>
  </si>
  <si>
    <t>[12.55, 12.55]</t>
  </si>
  <si>
    <t>[12.53, 12.53]</t>
  </si>
  <si>
    <t>[12.57, 12.57]</t>
  </si>
  <si>
    <t>[12.98, 12.98]</t>
  </si>
  <si>
    <t>[12.84, 12.84]</t>
  </si>
  <si>
    <t>[13.1, 13.1]</t>
  </si>
  <si>
    <t>[13.0, 13.0]</t>
  </si>
  <si>
    <t>[13.11, 13.11]</t>
  </si>
  <si>
    <t>[12.9, 12.9]</t>
  </si>
  <si>
    <t>[13.08, 13.08]</t>
  </si>
  <si>
    <t>[13.02, 13.02]</t>
  </si>
  <si>
    <t>[12.89, 12.89]</t>
  </si>
  <si>
    <t>[13.27, 13.27]</t>
  </si>
  <si>
    <t>[13.44, 13.44]</t>
  </si>
  <si>
    <t>[13.31, 13.31]</t>
  </si>
  <si>
    <t>[13.29, 13.29]</t>
  </si>
  <si>
    <t>[13.01, 13.01]</t>
  </si>
  <si>
    <t>[13.33, 13.33]</t>
  </si>
  <si>
    <t>[13.3, 13.3]</t>
  </si>
  <si>
    <t>[14.22, 14.22]</t>
  </si>
  <si>
    <t>[13.55, 13.55]</t>
  </si>
  <si>
    <t>[13.34, 13.34]</t>
  </si>
  <si>
    <t>[14.0, 14.0]</t>
  </si>
  <si>
    <t>[13.48, 13.48]</t>
  </si>
  <si>
    <t>[13.2, 13.2]</t>
  </si>
  <si>
    <t>[13.46, 13.46]</t>
  </si>
  <si>
    <t>[13.4, 13.4]</t>
  </si>
  <si>
    <t>[13.32, 13.32]</t>
  </si>
  <si>
    <t>[13.26, 13.26]</t>
  </si>
  <si>
    <t>[13.23, 13.23]</t>
  </si>
  <si>
    <t>[13.39, 13.39]</t>
  </si>
  <si>
    <t>[13.68, 13.68]</t>
  </si>
  <si>
    <t>[13.42, 13.42]</t>
  </si>
  <si>
    <t>[12.59, 12.59]</t>
  </si>
  <si>
    <t>[11.09, 11.09]</t>
  </si>
  <si>
    <t>[12.54, 12.54]</t>
  </si>
  <si>
    <t>[13.28, 13.28]</t>
  </si>
  <si>
    <t>[13.21, 13.21]</t>
  </si>
  <si>
    <t>[12.92, 12.92]</t>
  </si>
  <si>
    <t>[13.16, 13.16]</t>
  </si>
  <si>
    <t>[13.15, 13.15]</t>
  </si>
  <si>
    <t>[6.18, 11.58]</t>
  </si>
  <si>
    <t>[9.34, 8.18]</t>
  </si>
  <si>
    <t>[5.64, 11.31]</t>
  </si>
  <si>
    <t>[9.63, 6.9]</t>
  </si>
  <si>
    <t>[8.72, 8.96]</t>
  </si>
  <si>
    <t>[8.47, 9.28]</t>
  </si>
  <si>
    <t>[10.0, 7.3]</t>
  </si>
  <si>
    <t>[5.93, 11.24]</t>
  </si>
  <si>
    <t>[9.63, 11.0]</t>
  </si>
  <si>
    <t>[6.38, 7.5]</t>
  </si>
  <si>
    <t>[5.74, 11.07]</t>
  </si>
  <si>
    <t>[7.57, 9.03]</t>
  </si>
  <si>
    <t>[9.88, 11.0]</t>
  </si>
  <si>
    <t>[6.76, 8.21]</t>
  </si>
  <si>
    <t>[5.66, 11.4]</t>
  </si>
  <si>
    <t>[10.0, 6.64]</t>
  </si>
  <si>
    <t>[9.99, 11.1]</t>
  </si>
  <si>
    <t>[9.0, 8.89]</t>
  </si>
  <si>
    <t>[5.91, 10.8]</t>
  </si>
  <si>
    <t>[6.01, 10.47]</t>
  </si>
  <si>
    <t>[4.99, 10.12]</t>
  </si>
  <si>
    <t>[7.91, 7.45]</t>
  </si>
  <si>
    <t>[6.51, 7.58]</t>
  </si>
  <si>
    <t>[4.4, 11.44]</t>
  </si>
  <si>
    <t>[6.56, 11.29]</t>
  </si>
  <si>
    <t>[7.24, 11.3]</t>
  </si>
  <si>
    <t>[4.69, 10.42]</t>
  </si>
  <si>
    <t>[4.0, 4.0]</t>
  </si>
  <si>
    <t>[6.88, 10.57]</t>
  </si>
  <si>
    <t>[5.27, 11.06]</t>
  </si>
  <si>
    <t>[4.15, 10.79]</t>
  </si>
  <si>
    <t>[4.49, 10.5]</t>
  </si>
  <si>
    <t>[4.92, 10.74]</t>
  </si>
  <si>
    <t>[7.26, 11.18]</t>
  </si>
  <si>
    <t>[5.53, 10.35]</t>
  </si>
  <si>
    <t>[7.38, 8.24]</t>
  </si>
  <si>
    <t>[4.12, 4.12]</t>
  </si>
  <si>
    <t>[7.56, 10.68]</t>
  </si>
  <si>
    <t>[7.23, 10.62]</t>
  </si>
  <si>
    <t>[7.15, 11.72]</t>
  </si>
  <si>
    <t>[7.67, 11.25]</t>
  </si>
  <si>
    <t>[7.36, 11.73]</t>
  </si>
  <si>
    <t>[8.51, 10.35]</t>
  </si>
  <si>
    <t>[8.1, 10.43]</t>
  </si>
  <si>
    <t>[7.52, 11.97]</t>
  </si>
  <si>
    <t>[6.99, 9.82]</t>
  </si>
  <si>
    <t>[7.2, 11.93]</t>
  </si>
  <si>
    <t>[7.74, 9.34]</t>
  </si>
  <si>
    <t>[7.76, 9.3]</t>
  </si>
  <si>
    <t>[7.83, 10.45]</t>
  </si>
  <si>
    <t>[8.74, 10.42]</t>
  </si>
  <si>
    <t>[8.34, 10.46]</t>
  </si>
  <si>
    <t>[7.83, 9.16]</t>
  </si>
  <si>
    <t>[7.3, 10.74]</t>
  </si>
  <si>
    <t>[7.03, 10.63]</t>
  </si>
  <si>
    <t>[8.67, 10.34]</t>
  </si>
  <si>
    <t>[8.73, 10.14]</t>
  </si>
  <si>
    <t>[7.54, 8.77]</t>
  </si>
  <si>
    <t>[5.54, 8.83]</t>
  </si>
  <si>
    <t>[3.37, 9.1]</t>
  </si>
  <si>
    <t>[8.08, 8.97]</t>
  </si>
  <si>
    <t>[6.27, 8.81]</t>
  </si>
  <si>
    <t>[2.0, 7.85]</t>
  </si>
  <si>
    <t>[4.78, 8.2]</t>
  </si>
  <si>
    <t>[2.0, 8.78]</t>
  </si>
  <si>
    <t>[8.71, 9.91]</t>
  </si>
  <si>
    <t>[4.07, 8.04]</t>
  </si>
  <si>
    <t>[2.0, 7.91]</t>
  </si>
  <si>
    <t>[2.0, 7.97]</t>
  </si>
  <si>
    <t>[2.67, 7.86]</t>
  </si>
  <si>
    <t>[8.44, 9.56]</t>
  </si>
  <si>
    <t>[8.6, 9.12]</t>
  </si>
  <si>
    <t>[7.56, 8.82]</t>
  </si>
  <si>
    <t>[2.0, 7.82]</t>
  </si>
  <si>
    <t>[2.0, 8.86]</t>
  </si>
  <si>
    <t>[2.07, 9.13]</t>
  </si>
  <si>
    <t>[8.68, 9.49]</t>
  </si>
  <si>
    <t>[6.95, 8.82]</t>
  </si>
  <si>
    <t>[2.0, 9.42]</t>
  </si>
  <si>
    <t>[2.0, 9.29]</t>
  </si>
  <si>
    <t>[2.0, 10.24]</t>
  </si>
  <si>
    <t>[2.0, 7.66]</t>
  </si>
  <si>
    <t>[2.27, 9.98]</t>
  </si>
  <si>
    <t>[6.1, 10.84]</t>
  </si>
  <si>
    <t>[2.09, 10.42]</t>
  </si>
  <si>
    <t>[3.21, 10.26]</t>
  </si>
  <si>
    <t>[2.88, 10.5]</t>
  </si>
  <si>
    <t>[2.0, 9.66]</t>
  </si>
  <si>
    <t>[3.65, 9.98]</t>
  </si>
  <si>
    <t>[7.62, 9.32]</t>
  </si>
  <si>
    <t>[6.79, 9.38]</t>
  </si>
  <si>
    <t>[5.41, 9.94]</t>
  </si>
  <si>
    <t>[2.52, 10.01]</t>
  </si>
  <si>
    <t>[4.73, 10.03]</t>
  </si>
  <si>
    <t>[4.17, 10.2]</t>
  </si>
  <si>
    <t>[2.0, 10.19]</t>
  </si>
  <si>
    <t>[7.99, 8.98]</t>
  </si>
  <si>
    <t>[4.3, 9.16]</t>
  </si>
  <si>
    <t>[9.33, 9.56]</t>
  </si>
  <si>
    <t>[10.0, 9.6]</t>
  </si>
  <si>
    <t>[2.0, 9.04]</t>
  </si>
  <si>
    <t>[9.92, 9.61]</t>
  </si>
  <si>
    <t>[6.08, 7.86]</t>
  </si>
  <si>
    <t>[10.0, 9.23]</t>
  </si>
  <si>
    <t>[8.52, 10.13]</t>
  </si>
  <si>
    <t>[7.07, 9.38]</t>
  </si>
  <si>
    <t>[10.0, 8.97]</t>
  </si>
  <si>
    <t>[5.2, 8.83]</t>
  </si>
  <si>
    <t>[9.28, 9.12]</t>
  </si>
  <si>
    <t>[10.0, 9.47]</t>
  </si>
  <si>
    <t>[9.72, 9.53]</t>
  </si>
  <si>
    <t>[3.33, 8.91]</t>
  </si>
  <si>
    <t>[2.38, 9.18]</t>
  </si>
  <si>
    <t>[9.95, 9.18]</t>
  </si>
  <si>
    <t>[8.72, 9.01]</t>
  </si>
  <si>
    <t>[10.0, 9.01]</t>
  </si>
  <si>
    <t>[2.57, 9.57]</t>
  </si>
  <si>
    <t>[2.28, 9.11]</t>
  </si>
  <si>
    <t>[2.05, 9.88]</t>
  </si>
  <si>
    <t>[2.0, 9.19]</t>
  </si>
  <si>
    <t>[2.0, 8.79]</t>
  </si>
  <si>
    <t>[3.57, 10.39]</t>
  </si>
  <si>
    <t>[2.9, 10.02]</t>
  </si>
  <si>
    <t>[4.26, 10.78]</t>
  </si>
  <si>
    <t>[2.0, 9.27]</t>
  </si>
  <si>
    <t>[2.0, 9.12]</t>
  </si>
  <si>
    <t>[4.72, 10.55]</t>
  </si>
  <si>
    <t>[3.25, 10.07]</t>
  </si>
  <si>
    <t>[2.0, 9.01]</t>
  </si>
  <si>
    <t>[5.59, 10.97]</t>
  </si>
  <si>
    <t>[5.16, 10.52]</t>
  </si>
  <si>
    <t>[2.0, 7.55]</t>
  </si>
  <si>
    <t>[3.87, 10.12]</t>
  </si>
  <si>
    <t>[5.87, 9.87]</t>
  </si>
  <si>
    <t>[7.43, 9.56]</t>
  </si>
  <si>
    <t>[5.1, 9.96]</t>
  </si>
  <si>
    <t>[4.29, 10.06]</t>
  </si>
  <si>
    <t>[6.53, 11.04]</t>
  </si>
  <si>
    <t>[7.43, 9.34]</t>
  </si>
  <si>
    <t>[6.33, 10.71]</t>
  </si>
  <si>
    <t>[7.54, 9.97]</t>
  </si>
  <si>
    <t>[7.1, 10.38]</t>
  </si>
  <si>
    <t>[6.03, 11.13]</t>
  </si>
  <si>
    <t>[6.49, 10.25]</t>
  </si>
  <si>
    <t>[6.58, 9.67]</t>
  </si>
  <si>
    <t>[7.27, 9.79]</t>
  </si>
  <si>
    <t>[7.55, 9.98]</t>
  </si>
  <si>
    <t>[6.89, 9.78]</t>
  </si>
  <si>
    <t>[7.28, 10.28]</t>
  </si>
  <si>
    <t>[6.7, 10.18]</t>
  </si>
  <si>
    <t>[7.08, 9.78]</t>
  </si>
  <si>
    <t>[6.46, 10.93]</t>
  </si>
  <si>
    <t>[6.9, 10.16]</t>
  </si>
  <si>
    <t>[3.54, 8.68]</t>
  </si>
  <si>
    <t>[2.3, 9.87]</t>
  </si>
  <si>
    <t>[2.06, 9.71]</t>
  </si>
  <si>
    <t>[2.67, 7.66]</t>
  </si>
  <si>
    <t>[2.0, 9.93]</t>
  </si>
  <si>
    <t>[3.63, 6.79]</t>
  </si>
  <si>
    <t>[2.86, 10.17]</t>
  </si>
  <si>
    <t>[2.11, 9.71]</t>
  </si>
  <si>
    <t>[2.0, 9.78]</t>
  </si>
  <si>
    <t>[3.33, 10.22]</t>
  </si>
  <si>
    <t>[2.0, 10.05]</t>
  </si>
  <si>
    <t>[2.0, 10.04]</t>
  </si>
  <si>
    <t>[2.0, 9.59]</t>
  </si>
  <si>
    <t>[2.0, 10.06]</t>
  </si>
  <si>
    <t>[2.99, 9.9]</t>
  </si>
  <si>
    <t>[2.0, 9.9]</t>
  </si>
  <si>
    <t>[3.56, 9.78]</t>
  </si>
  <si>
    <t>[2.27, 9.77]</t>
  </si>
  <si>
    <t>[2.0, 9.74]</t>
  </si>
  <si>
    <t>[2.46, 8.95]</t>
  </si>
  <si>
    <t>[3.97, 3.97]</t>
  </si>
  <si>
    <t>[6.16, 10.42]</t>
  </si>
  <si>
    <t>[4.65, 11.08]</t>
  </si>
  <si>
    <t>[5.06, 10.63]</t>
  </si>
  <si>
    <t>[4.31, 4.31]</t>
  </si>
  <si>
    <t>[3.69, 8.89]</t>
  </si>
  <si>
    <t>[3.83, 6.8]</t>
  </si>
  <si>
    <t>[3.84, 3.84]</t>
  </si>
  <si>
    <t>[6.8, 8.57]</t>
  </si>
  <si>
    <t>[3.77, 3.77]</t>
  </si>
  <si>
    <t>[3.88, 7.68]</t>
  </si>
  <si>
    <t>[7.44, 8.2]</t>
  </si>
  <si>
    <t>[4.02, 7.39]</t>
  </si>
  <si>
    <t>[4.12, 8.42]</t>
  </si>
  <si>
    <t>[3.86, 3.86]</t>
  </si>
  <si>
    <t>[3.94, 7.43]</t>
  </si>
  <si>
    <t>[4.04, 6.7]</t>
  </si>
  <si>
    <t>[7.99, 5.75]</t>
  </si>
  <si>
    <t>[3.82, 5.99]</t>
  </si>
  <si>
    <t>[5.58, 10.36]</t>
  </si>
  <si>
    <t>[6.72, 10.68]</t>
  </si>
  <si>
    <t>[5.0, 10.58]</t>
  </si>
  <si>
    <t>[9.1, 10.1]</t>
  </si>
  <si>
    <t>[8.83, 10.38]</t>
  </si>
  <si>
    <t>[8.83, 10.47]</t>
  </si>
  <si>
    <t>[2.15, 9.65]</t>
  </si>
  <si>
    <t>[9.26, 10.41]</t>
  </si>
  <si>
    <t>[7.47, 10.51]</t>
  </si>
  <si>
    <t>[9.09, 10.59]</t>
  </si>
  <si>
    <t>[2.0, 9.22]</t>
  </si>
  <si>
    <t>[4.0, 10.6]</t>
  </si>
  <si>
    <t>[8.46, 7.88]</t>
  </si>
  <si>
    <t>[2.99, 10.28]</t>
  </si>
  <si>
    <t>[9.26, 10.34]</t>
  </si>
  <si>
    <t>[5.91, 10.66]</t>
  </si>
  <si>
    <t>[8.04, 6.76]</t>
  </si>
  <si>
    <t>[8.48, 6.3]</t>
  </si>
  <si>
    <t>[4.34, 4.34]</t>
  </si>
  <si>
    <t>[5.35, 6.97]</t>
  </si>
  <si>
    <t>[5.15, 8.58]</t>
  </si>
  <si>
    <t>[3.95, 10.6]</t>
  </si>
  <si>
    <t>[6.17, 5.5]</t>
  </si>
  <si>
    <t>[2.38, 9.19]</t>
  </si>
  <si>
    <t>[5.5, 7.04]</t>
  </si>
  <si>
    <t>[3.12, 9.52]</t>
  </si>
  <si>
    <t>[2.14, 9.96]</t>
  </si>
  <si>
    <t>[6.55, 6.19]</t>
  </si>
  <si>
    <t>[3.55, 10.33]</t>
  </si>
  <si>
    <t>[2.69, 9.52]</t>
  </si>
  <si>
    <t>[5.69, 9.0]</t>
  </si>
  <si>
    <t>[5.61, 9.85]</t>
  </si>
  <si>
    <t>[6.91, 7.83]</t>
  </si>
  <si>
    <t>[2.01, 9.2]</t>
  </si>
  <si>
    <t>[4.8, 6.49]</t>
  </si>
  <si>
    <t>[5.9, 8.98]</t>
  </si>
  <si>
    <t>[7.43, 8.94]</t>
  </si>
  <si>
    <t>[9.19, 10.04]</t>
  </si>
  <si>
    <t>[9.22, 8.87]</t>
  </si>
  <si>
    <t>[8.08, 9.88]</t>
  </si>
  <si>
    <t>[9.5, 9.44]</t>
  </si>
  <si>
    <t>[9.03, 8.18]</t>
  </si>
  <si>
    <t>[8.63, 7.93]</t>
  </si>
  <si>
    <t>[9.53, 9.96]</t>
  </si>
  <si>
    <t>[10.0, 10.17]</t>
  </si>
  <si>
    <t>[9.9, 9.91]</t>
  </si>
  <si>
    <t>[9.98, 6.05]</t>
  </si>
  <si>
    <t>20230124-095412_36ce12a7-962f-4752-aa1d-571d1ac00dd7</t>
  </si>
  <si>
    <t>20230124-095935_20715a1c-137f-4798-9311-121df258c947</t>
  </si>
  <si>
    <t>20230124-101016_9e393506-1096-401c-8859-2bf113c135b4</t>
  </si>
  <si>
    <t>20230124-101016_9927b10d-02c7-4a1c-a5ba-ccc378075262</t>
  </si>
  <si>
    <t>20230124-101016_7ba1f6e2-5c7f-4961-b37d-6d1723a49713</t>
  </si>
  <si>
    <t>[28.76, 28.76]</t>
  </si>
  <si>
    <t>[31.34, 31.34]</t>
  </si>
  <si>
    <t>[30.85, 30.85]</t>
  </si>
  <si>
    <t>[27.66, 27.66]</t>
  </si>
  <si>
    <t>[26.63, 38.37]</t>
  </si>
  <si>
    <t>[29.56, 29.56]</t>
  </si>
  <si>
    <t>[31.99, 31.99]</t>
  </si>
  <si>
    <t>[31.98, 31.98]</t>
  </si>
  <si>
    <t>[32.69, 32.69]</t>
  </si>
  <si>
    <t>[19.23, 19.23]</t>
  </si>
  <si>
    <t>[33.34, 33.34]</t>
  </si>
  <si>
    <t>[28.16, 28.16]</t>
  </si>
  <si>
    <t>[16.05, 16.05]</t>
  </si>
  <si>
    <t>[29.57, 29.57]</t>
  </si>
  <si>
    <t>[29.41, 29.41]</t>
  </si>
  <si>
    <t>[30.29, 30.29]</t>
  </si>
  <si>
    <t>[29.97, 29.97]</t>
  </si>
  <si>
    <t>[29.55, 29.55]</t>
  </si>
  <si>
    <t>[19.97, 19.97]</t>
  </si>
  <si>
    <t>[34.35, 34.35]</t>
  </si>
  <si>
    <t>[22.78, 35.62]</t>
  </si>
  <si>
    <t>[21.86, 29.7]</t>
  </si>
  <si>
    <t>[18.86, 42.53]</t>
  </si>
  <si>
    <t>[19.44, 39.71]</t>
  </si>
  <si>
    <t>[28.07, 28.07]</t>
  </si>
  <si>
    <t>[33.63, 33.63]</t>
  </si>
  <si>
    <t>[19.2, 19.2]</t>
  </si>
  <si>
    <t>[18.16, 28.19]</t>
  </si>
  <si>
    <t>[31.8, 31.8]</t>
  </si>
  <si>
    <t>[18.32, 42.15]</t>
  </si>
  <si>
    <t>[19.08, 19.08]</t>
  </si>
  <si>
    <t>[17.65, 29.39]</t>
  </si>
  <si>
    <t>[14.07, 14.07]</t>
  </si>
  <si>
    <t>[19.49, 43.43]</t>
  </si>
  <si>
    <t>[17.55, 17.55]</t>
  </si>
  <si>
    <t>[21.44, 36.45]</t>
  </si>
  <si>
    <t>[18.62, 42.92]</t>
  </si>
  <si>
    <t>[30.96, 30.96]</t>
  </si>
  <si>
    <t>[21.16, 21.16]</t>
  </si>
  <si>
    <t>[18.76, 18.76]</t>
  </si>
  <si>
    <t>[18.98, 18.98]</t>
  </si>
  <si>
    <t>[32.15, 32.15]</t>
  </si>
  <si>
    <t>[37.62, 37.62]</t>
  </si>
  <si>
    <t>[35.38, 35.38]</t>
  </si>
  <si>
    <t>[32.65, 32.65]</t>
  </si>
  <si>
    <t>[33.38, 33.38]</t>
  </si>
  <si>
    <t>[20.07, 20.07]</t>
  </si>
  <si>
    <t>[39.11, 39.11]</t>
  </si>
  <si>
    <t>[18.54, 18.54]</t>
  </si>
  <si>
    <t>[35.96, 35.96]</t>
  </si>
  <si>
    <t>[20.71, 20.71]</t>
  </si>
  <si>
    <t>[36.9, 36.9]</t>
  </si>
  <si>
    <t>[17.38, 17.38]</t>
  </si>
  <si>
    <t>[39.14, 39.14]</t>
  </si>
  <si>
    <t>[29.3, 29.3]</t>
  </si>
  <si>
    <t>[19.52, 19.52]</t>
  </si>
  <si>
    <t>[32.5, 32.5]</t>
  </si>
  <si>
    <t>[36.05, 36.05]</t>
  </si>
  <si>
    <t>[29.51, 29.51]</t>
  </si>
  <si>
    <t>[34.52, 34.52]</t>
  </si>
  <si>
    <t>[34.16, 34.16]</t>
  </si>
  <si>
    <t>[31.54, 31.54]</t>
  </si>
  <si>
    <t>[28.11, 28.11]</t>
  </si>
  <si>
    <t>[33.23, 33.23]</t>
  </si>
  <si>
    <t>[31.84, 31.84]</t>
  </si>
  <si>
    <t>[25.47, 51.88]</t>
  </si>
  <si>
    <t>[31.1, 56.63]</t>
  </si>
  <si>
    <t>[14.72, 38.15]</t>
  </si>
  <si>
    <t>[20.05, 20.05]</t>
  </si>
  <si>
    <t>[20.04, 20.04]</t>
  </si>
  <si>
    <t>[20.01, 13.91]</t>
  </si>
  <si>
    <t>[19.56, 19.56]</t>
  </si>
  <si>
    <t>[19.59, 19.59]</t>
  </si>
  <si>
    <t>[19.71, 19.71]</t>
  </si>
  <si>
    <t>[20.24, 20.24]</t>
  </si>
  <si>
    <t>[19.95, 19.95]</t>
  </si>
  <si>
    <t>[20.35, 20.35]</t>
  </si>
  <si>
    <t>[20.36, 20.36]</t>
  </si>
  <si>
    <t>[19.8, 19.8]</t>
  </si>
  <si>
    <t>[19.96, 19.96]</t>
  </si>
  <si>
    <t>[19.69, 19.69]</t>
  </si>
  <si>
    <t>[20.28, 20.28]</t>
  </si>
  <si>
    <t>[19.99, 12.24]</t>
  </si>
  <si>
    <t>[19.91, 15.99]</t>
  </si>
  <si>
    <t>[20.13, 2.88]</t>
  </si>
  <si>
    <t>[19.69, 5.29]</t>
  </si>
  <si>
    <t>[20.02, 20.02]</t>
  </si>
  <si>
    <t>[19.87, 19.87]</t>
  </si>
  <si>
    <t>[20.22, 20.22]</t>
  </si>
  <si>
    <t>[20.34, 13.93]</t>
  </si>
  <si>
    <t>[20.08, 20.08]</t>
  </si>
  <si>
    <t>[19.66, 2.18]</t>
  </si>
  <si>
    <t>[19.93, 12.04]</t>
  </si>
  <si>
    <t>[19.92, 19.92]</t>
  </si>
  <si>
    <t>[19.71, 2.38]</t>
  </si>
  <si>
    <t>[20.17, 10.42]</t>
  </si>
  <si>
    <t>[20.3, 2.51]</t>
  </si>
  <si>
    <t>[20.16, 20.16]</t>
  </si>
  <si>
    <t>[19.77, 19.77]</t>
  </si>
  <si>
    <t>[20.11, 20.11]</t>
  </si>
  <si>
    <t>[19.88, 19.88]</t>
  </si>
  <si>
    <t>[19.94, 19.94]</t>
  </si>
  <si>
    <t>[20.06, 20.06]</t>
  </si>
  <si>
    <t>[19.79, 19.79]</t>
  </si>
  <si>
    <t>[20.03, 20.03]</t>
  </si>
  <si>
    <t>[20.1, 20.1]</t>
  </si>
  <si>
    <t>[19.98, 19.98]</t>
  </si>
  <si>
    <t>[20.25, 20.25]</t>
  </si>
  <si>
    <t>[19.82, 19.82]</t>
  </si>
  <si>
    <t>[20.23, 20.23]</t>
  </si>
  <si>
    <t>[20.14, 20.14]</t>
  </si>
  <si>
    <t>[20.21, 2.0]</t>
  </si>
  <si>
    <t>[19.78, 3.47]</t>
  </si>
  <si>
    <t>[19.78, 1.91]</t>
  </si>
  <si>
    <t>[7.64, 7.64]</t>
  </si>
  <si>
    <t>[7.59, 7.59]</t>
  </si>
  <si>
    <t>[7.68, 7.68]</t>
  </si>
  <si>
    <t>[8.82, 8.82]</t>
  </si>
  <si>
    <t>[7.76, 7.76]</t>
  </si>
  <si>
    <t>[5.13, 5.13]</t>
  </si>
  <si>
    <t>[3.74, 3.74]</t>
  </si>
  <si>
    <t>[6.09, 6.09]</t>
  </si>
  <si>
    <t>[2.25, 2.25]</t>
  </si>
  <si>
    <t>[7.52, 7.52]</t>
  </si>
  <si>
    <t>[7.56, 7.56]</t>
  </si>
  <si>
    <t>[7.51, 7.51]</t>
  </si>
  <si>
    <t>[7.28, 7.28]</t>
  </si>
  <si>
    <t>[14.23, 14.23]</t>
  </si>
  <si>
    <t>[2.08, 2.08]</t>
  </si>
  <si>
    <t>[8.84, 8.84]</t>
  </si>
  <si>
    <t>[13.57, 13.57]</t>
  </si>
  <si>
    <t>[13.59, 13.59]</t>
  </si>
  <si>
    <t>[14.08, 14.08]</t>
  </si>
  <si>
    <t>[10.98, 10.98]</t>
  </si>
  <si>
    <t>[13.92, 13.92]</t>
  </si>
  <si>
    <t>[14.09, 14.09]</t>
  </si>
  <si>
    <t>[14.14, 14.14]</t>
  </si>
  <si>
    <t>[13.6, 13.6]</t>
  </si>
  <si>
    <t>[14.17, 14.17]</t>
  </si>
  <si>
    <t>[18.32, 18.32]</t>
  </si>
  <si>
    <t>[14.43, 14.43]</t>
  </si>
  <si>
    <t>[14.26, 14.26]</t>
  </si>
  <si>
    <t>[11.1, 11.1]</t>
  </si>
  <si>
    <t>[14.11, 14.11]</t>
  </si>
  <si>
    <t>[2.18, 2.18]</t>
  </si>
  <si>
    <t>[13.58, 13.58]</t>
  </si>
  <si>
    <t>[13.65, 13.65]</t>
  </si>
  <si>
    <t>[8.67, 8.67]</t>
  </si>
  <si>
    <t>[8.26, 8.26]</t>
  </si>
  <si>
    <t>[7.5, 7.5]</t>
  </si>
  <si>
    <t>[18.55, 18.55]</t>
  </si>
  <si>
    <t>[9.12, 9.12]</t>
  </si>
  <si>
    <t>[7.57, 7.57]</t>
  </si>
  <si>
    <t>[18.73, 18.73]</t>
  </si>
  <si>
    <t>[11.99, 11.99]</t>
  </si>
  <si>
    <t>[7.26, 7.26]</t>
  </si>
  <si>
    <t>[16.71, 16.71]</t>
  </si>
  <si>
    <t>[10.62, 10.62]</t>
  </si>
  <si>
    <t>[18.71, 18.71]</t>
  </si>
  <si>
    <t>[9.65, 9.65]</t>
  </si>
  <si>
    <t>[12.36, 12.36]</t>
  </si>
  <si>
    <t>[18.65, 18.65]</t>
  </si>
  <si>
    <t>[8.32, 8.32]</t>
  </si>
  <si>
    <t>[2.0, 7.64]</t>
  </si>
  <si>
    <t>[2.0, 7.09]</t>
  </si>
  <si>
    <t>[2.0, 5.93]</t>
  </si>
  <si>
    <t>[2.0, 8.43]</t>
  </si>
  <si>
    <t>[2.0, 7.88]</t>
  </si>
  <si>
    <t>[2.0, 5.62]</t>
  </si>
  <si>
    <t>[2.0, 8.35]</t>
  </si>
  <si>
    <t>[2.0, 5.85]</t>
  </si>
  <si>
    <t>[2.0, 7.25]</t>
  </si>
  <si>
    <t>[2.0, 8.51]</t>
  </si>
  <si>
    <t>[2.01, 2.01]</t>
  </si>
  <si>
    <t>[2.08, 10.28]</t>
  </si>
  <si>
    <t>[2.0, 11.22]</t>
  </si>
  <si>
    <t>[2.0, 7.56]</t>
  </si>
  <si>
    <t>[30.06, 0.92]</t>
  </si>
  <si>
    <t>[25.58, 0.92]</t>
  </si>
  <si>
    <t>[52.34, 0.92]</t>
  </si>
  <si>
    <t>[58.8, 0.92]</t>
  </si>
  <si>
    <t>[48.01, 0.92]</t>
  </si>
  <si>
    <t>[15.43, 15.43]</t>
  </si>
  <si>
    <t>[56.06, 0.92]</t>
  </si>
  <si>
    <t>[19.45, 0.92]</t>
  </si>
  <si>
    <t>[0.0, 0.92]</t>
  </si>
  <si>
    <t>[0.0, 0.0]</t>
  </si>
  <si>
    <t>[5.54, 13.36]</t>
  </si>
  <si>
    <t>[5.55, 13.36]</t>
  </si>
  <si>
    <t>[5.7, 13.36]</t>
  </si>
  <si>
    <t>[5.62, 13.36]</t>
  </si>
  <si>
    <t>[5.57, 5.57]</t>
  </si>
  <si>
    <t>[5.34, 13.36]</t>
  </si>
  <si>
    <t>[5.64, 13.36]</t>
  </si>
  <si>
    <t>[13.91, 13.36]</t>
  </si>
  <si>
    <t>[17.9, 13.36]</t>
  </si>
  <si>
    <t>[13.56, 13.56]</t>
  </si>
  <si>
    <t>[16.54, 13.36]</t>
  </si>
  <si>
    <t>[15.29, 13.36]</t>
  </si>
  <si>
    <t>[17.13, 13.36]</t>
  </si>
  <si>
    <t>[17.39, 13.36]</t>
  </si>
  <si>
    <t>[17.84, 13.36]</t>
  </si>
  <si>
    <t>[18.01, 13.36]</t>
  </si>
  <si>
    <t>[14.5, 13.36]</t>
  </si>
  <si>
    <t>[18.09, 13.36]</t>
  </si>
  <si>
    <t>[17.38, 13.36]</t>
  </si>
  <si>
    <t>[16.15, 13.36]</t>
  </si>
  <si>
    <t>[14.21, 13.36]</t>
  </si>
  <si>
    <t>[15.2, 13.36]</t>
  </si>
  <si>
    <t>[16.89, 13.36]</t>
  </si>
  <si>
    <t>[15.72, 13.36]</t>
  </si>
  <si>
    <t>[13.8, 13.8]</t>
  </si>
  <si>
    <t>[17.45, 17.45]</t>
  </si>
  <si>
    <t>[17.95, 13.36]</t>
  </si>
  <si>
    <t>[14.79, 13.36]</t>
  </si>
  <si>
    <t>[19.19, 13.36]</t>
  </si>
  <si>
    <t>[18.59, 13.36]</t>
  </si>
  <si>
    <t>[16.37, 13.36]</t>
  </si>
  <si>
    <t>[13.74, 13.74]</t>
  </si>
  <si>
    <t>[15.64, 13.36]</t>
  </si>
  <si>
    <t>[13.97, 13.36]</t>
  </si>
  <si>
    <t>[13.93, 13.36]</t>
  </si>
  <si>
    <t>[19.79, 13.36]</t>
  </si>
  <si>
    <t>[17.68, 13.36]</t>
  </si>
  <si>
    <t>[19.81, 13.36]</t>
  </si>
  <si>
    <t>[17.17, 13.36]</t>
  </si>
  <si>
    <t>[18.71, 13.36]</t>
  </si>
  <si>
    <t>[19.46, 13.36]</t>
  </si>
  <si>
    <t>[14.33, 13.36]</t>
  </si>
  <si>
    <t>[15.56, 13.36]</t>
  </si>
  <si>
    <t>[16.7, 13.36]</t>
  </si>
  <si>
    <t>[14.41, 13.36]</t>
  </si>
  <si>
    <t>[18.2, 13.36]</t>
  </si>
  <si>
    <t>[19.31, 19.31]</t>
  </si>
  <si>
    <t>[14.9, 13.36]</t>
  </si>
  <si>
    <t>[19.95, 13.36]</t>
  </si>
  <si>
    <t>[19.05, 13.36]</t>
  </si>
  <si>
    <t>[14.85, 13.36]</t>
  </si>
  <si>
    <t>[14.28, 13.36]</t>
  </si>
  <si>
    <t>[15.82, 13.36]</t>
  </si>
  <si>
    <t>[14.83, 13.36]</t>
  </si>
  <si>
    <t>[15.55, 13.36]</t>
  </si>
  <si>
    <t>[15.01, 15.01]</t>
  </si>
  <si>
    <t>[15.25, 13.36]</t>
  </si>
  <si>
    <t>[15.66, 13.36]</t>
  </si>
  <si>
    <t>[14.86, 13.36]</t>
  </si>
  <si>
    <t>[14.6, 13.36]</t>
  </si>
  <si>
    <t>[14.73, 13.36]</t>
  </si>
  <si>
    <t>[15.32, 13.36]</t>
  </si>
  <si>
    <t>[15.27, 13.36]</t>
  </si>
  <si>
    <t>[15.0, 13.36]</t>
  </si>
  <si>
    <t>[15.07, 13.36]</t>
  </si>
  <si>
    <t>[14.18, 13.36]</t>
  </si>
  <si>
    <t>[15.45, 13.36]</t>
  </si>
  <si>
    <t>[15.97, 13.36]</t>
  </si>
  <si>
    <t>[15.38, 13.36]</t>
  </si>
  <si>
    <t>[18.42, 18.42]</t>
  </si>
  <si>
    <t>[19.76, 13.36]</t>
  </si>
  <si>
    <t>[20.13, 13.36]</t>
  </si>
  <si>
    <t>[19.94, 13.36]</t>
  </si>
  <si>
    <t>[19.52, 13.36]</t>
  </si>
  <si>
    <t>[14.55, 14.55]</t>
  </si>
  <si>
    <t>[15.64, 15.64]</t>
  </si>
  <si>
    <t>[16.44, 13.36]</t>
  </si>
  <si>
    <t>[19.3, 13.36]</t>
  </si>
  <si>
    <t>[15.26, 13.36]</t>
  </si>
  <si>
    <t>[17.18, 13.36]</t>
  </si>
  <si>
    <t>[18.78, 18.78]</t>
  </si>
  <si>
    <t>[19.17, 19.17]</t>
  </si>
  <si>
    <t>[20.01, 13.36]</t>
  </si>
  <si>
    <t>[16.51, 13.36]</t>
  </si>
  <si>
    <t>[17.8, 17.8]</t>
  </si>
  <si>
    <t>[18.95, 18.95]</t>
  </si>
  <si>
    <t>[18.23, 18.23]</t>
  </si>
  <si>
    <t>[15.9, 15.9]</t>
  </si>
  <si>
    <t>[19.93, 13.36]</t>
  </si>
  <si>
    <t>[14.44, 13.36]</t>
  </si>
  <si>
    <t>[14.35, 13.36]</t>
  </si>
  <si>
    <t>[13.92, 13.36]</t>
  </si>
  <si>
    <t>[17.46, 13.36]</t>
  </si>
  <si>
    <t>[13.77, 13.77]</t>
  </si>
  <si>
    <t>[15.44, 13.36]</t>
  </si>
  <si>
    <t>[13.69, 13.69]</t>
  </si>
  <si>
    <t>[16.32, 13.36]</t>
  </si>
  <si>
    <t>[14.47, 13.36]</t>
  </si>
  <si>
    <t>[17.86, 13.36]</t>
  </si>
  <si>
    <t>[13.67, 13.67]</t>
  </si>
  <si>
    <t>[15.52, 13.36]</t>
  </si>
  <si>
    <t>[14.37, 13.36]</t>
  </si>
  <si>
    <t>[14.05, 14.05]</t>
  </si>
  <si>
    <t>[14.92, 14.92]</t>
  </si>
  <si>
    <t>[13.89, 13.89]</t>
  </si>
  <si>
    <t>[19.09, 13.36]</t>
  </si>
  <si>
    <t>[14.83, 14.83]</t>
  </si>
  <si>
    <t>[15.59, 15.59]</t>
  </si>
  <si>
    <t>[14.97, 14.97]</t>
  </si>
  <si>
    <t>[14.14, 13.36]</t>
  </si>
  <si>
    <t>[17.34, 13.36]</t>
  </si>
  <si>
    <t>[16.43, 13.36]</t>
  </si>
  <si>
    <t>[19.72, 19.72]</t>
  </si>
  <si>
    <t>[18.21, 13.36]</t>
  </si>
  <si>
    <t>[20.57, 13.36]</t>
  </si>
  <si>
    <t>[21.5, 13.36]</t>
  </si>
  <si>
    <t>[21.53, 13.36]</t>
  </si>
  <si>
    <t>[20.21, 20.21]</t>
  </si>
  <si>
    <t>[21.66, 13.36]</t>
  </si>
  <si>
    <t>[20.92, 20.92]</t>
  </si>
  <si>
    <t>[20.63, 13.36]</t>
  </si>
  <si>
    <t>[21.26, 13.36]</t>
  </si>
  <si>
    <t>[20.78, 13.36]</t>
  </si>
  <si>
    <t>[20.65, 13.36]</t>
  </si>
  <si>
    <t>[20.68, 13.36]</t>
  </si>
  <si>
    <t>[22.05, 0.73]</t>
  </si>
  <si>
    <t>[17.58, 0.73]</t>
  </si>
  <si>
    <t>[44.34, 0.73]</t>
  </si>
  <si>
    <t>[50.96, 0.73]</t>
  </si>
  <si>
    <t>[40.08, 0.73]</t>
  </si>
  <si>
    <t>[7.45, 7.45]</t>
  </si>
  <si>
    <t>[47.85, 0.73]</t>
  </si>
  <si>
    <t>[11.54, 0.73]</t>
  </si>
  <si>
    <t>[0.36, 0.73]</t>
  </si>
  <si>
    <t>[4.35, 0.73]</t>
  </si>
  <si>
    <t>[0.01, 0.01]</t>
  </si>
  <si>
    <t>[2.99, 0.73]</t>
  </si>
  <si>
    <t>[1.74, 0.73]</t>
  </si>
  <si>
    <t>[3.59, 0.73]</t>
  </si>
  <si>
    <t>[3.84, 0.73]</t>
  </si>
  <si>
    <t>[4.29, 0.73]</t>
  </si>
  <si>
    <t>[4.46, 0.73]</t>
  </si>
  <si>
    <t>[0.95, 0.73]</t>
  </si>
  <si>
    <t>[4.54, 0.73]</t>
  </si>
  <si>
    <t>[3.83, 0.73]</t>
  </si>
  <si>
    <t>[2.61, 0.73]</t>
  </si>
  <si>
    <t>[0.66, 0.73]</t>
  </si>
  <si>
    <t>[1.65, 0.73]</t>
  </si>
  <si>
    <t>[3.35, 0.73]</t>
  </si>
  <si>
    <t>[2.17, 0.73]</t>
  </si>
  <si>
    <t>[0.25, 0.25]</t>
  </si>
  <si>
    <t>[3.9, 3.9]</t>
  </si>
  <si>
    <t>[4.4, 0.73]</t>
  </si>
  <si>
    <t>[1.24, 0.73]</t>
  </si>
  <si>
    <t>[5.64, 0.73]</t>
  </si>
  <si>
    <t>[5.04, 0.73]</t>
  </si>
  <si>
    <t>[2.82, 0.73]</t>
  </si>
  <si>
    <t>[0.2, 0.2]</t>
  </si>
  <si>
    <t>[2.09, 0.73]</t>
  </si>
  <si>
    <t>[0.42, 0.73]</t>
  </si>
  <si>
    <t>[0.39, 0.73]</t>
  </si>
  <si>
    <t>[6.24, 0.73]</t>
  </si>
  <si>
    <t>[4.13, 0.73]</t>
  </si>
  <si>
    <t>[6.27, 0.73]</t>
  </si>
  <si>
    <t>[3.62, 0.73]</t>
  </si>
  <si>
    <t>[5.16, 0.73]</t>
  </si>
  <si>
    <t>[5.91, 0.73]</t>
  </si>
  <si>
    <t>[0.79, 0.73]</t>
  </si>
  <si>
    <t>[2.02, 0.73]</t>
  </si>
  <si>
    <t>[3.15, 0.73]</t>
  </si>
  <si>
    <t>[0.86, 0.73]</t>
  </si>
  <si>
    <t>[4.65, 0.73]</t>
  </si>
  <si>
    <t>[5.77, 5.77]</t>
  </si>
  <si>
    <t>[1.35, 0.73]</t>
  </si>
  <si>
    <t>[6.4, 0.73]</t>
  </si>
  <si>
    <t>[5.5, 0.73]</t>
  </si>
  <si>
    <t>[1.3, 0.73]</t>
  </si>
  <si>
    <t>[0.74, 0.73]</t>
  </si>
  <si>
    <t>[2.27, 0.73]</t>
  </si>
  <si>
    <t>[1.28, 0.73]</t>
  </si>
  <si>
    <t>[2.0, 0.73]</t>
  </si>
  <si>
    <t>[1.46, 1.46]</t>
  </si>
  <si>
    <t>[1.7, 0.73]</t>
  </si>
  <si>
    <t>[2.11, 0.73]</t>
  </si>
  <si>
    <t>[1.31, 0.73]</t>
  </si>
  <si>
    <t>[1.05, 0.73]</t>
  </si>
  <si>
    <t>[1.18, 0.73]</t>
  </si>
  <si>
    <t>[1.77, 0.73]</t>
  </si>
  <si>
    <t>[1.72, 0.73]</t>
  </si>
  <si>
    <t>[1.45, 0.73]</t>
  </si>
  <si>
    <t>[1.52, 0.73]</t>
  </si>
  <si>
    <t>[0.63, 0.73]</t>
  </si>
  <si>
    <t>[1.9, 0.73]</t>
  </si>
  <si>
    <t>[2.42, 0.73]</t>
  </si>
  <si>
    <t>[1.83, 0.73]</t>
  </si>
  <si>
    <t>[4.87, 4.87]</t>
  </si>
  <si>
    <t>[6.21, 0.73]</t>
  </si>
  <si>
    <t>[6.58, 0.73]</t>
  </si>
  <si>
    <t>[6.39, 0.73]</t>
  </si>
  <si>
    <t>[5.97, 0.73]</t>
  </si>
  <si>
    <t>[1.0, 1.0]</t>
  </si>
  <si>
    <t>[2.09, 2.09]</t>
  </si>
  <si>
    <t>[2.89, 0.73]</t>
  </si>
  <si>
    <t>[5.75, 0.73]</t>
  </si>
  <si>
    <t>[1.71, 0.73]</t>
  </si>
  <si>
    <t>[3.63, 0.73]</t>
  </si>
  <si>
    <t>[5.23, 5.23]</t>
  </si>
  <si>
    <t>[5.62, 5.62]</t>
  </si>
  <si>
    <t>[6.46, 0.73]</t>
  </si>
  <si>
    <t>[2.96, 0.73]</t>
  </si>
  <si>
    <t>[4.25, 4.25]</t>
  </si>
  <si>
    <t>[5.4, 5.4]</t>
  </si>
  <si>
    <t>[4.68, 4.68]</t>
  </si>
  <si>
    <t>[2.35, 2.35]</t>
  </si>
  <si>
    <t>[6.38, 0.73]</t>
  </si>
  <si>
    <t>[0.89, 0.73]</t>
  </si>
  <si>
    <t>[0.8, 0.73]</t>
  </si>
  <si>
    <t>[0.37, 0.73]</t>
  </si>
  <si>
    <t>[3.91, 0.73]</t>
  </si>
  <si>
    <t>[0.22, 0.22]</t>
  </si>
  <si>
    <t>[1.89, 0.73]</t>
  </si>
  <si>
    <t>[0.14, 0.14]</t>
  </si>
  <si>
    <t>[2.77, 0.73]</t>
  </si>
  <si>
    <t>[0.92, 0.73]</t>
  </si>
  <si>
    <t>[4.31, 0.73]</t>
  </si>
  <si>
    <t>[0.12, 0.12]</t>
  </si>
  <si>
    <t>[1.97, 0.73]</t>
  </si>
  <si>
    <t>[0.82, 0.73]</t>
  </si>
  <si>
    <t>[0.5, 0.5]</t>
  </si>
  <si>
    <t>[1.37, 1.37]</t>
  </si>
  <si>
    <t>[0.34, 0.34]</t>
  </si>
  <si>
    <t>[5.54, 0.73]</t>
  </si>
  <si>
    <t>[1.28, 1.28]</t>
  </si>
  <si>
    <t>[2.04, 2.04]</t>
  </si>
  <si>
    <t>[1.42, 1.42]</t>
  </si>
  <si>
    <t>[5.76, 5.76]</t>
  </si>
  <si>
    <t>[0.59, 0.73]</t>
  </si>
  <si>
    <t>[3.79, 0.73]</t>
  </si>
  <si>
    <t>[2.88, 0.73]</t>
  </si>
  <si>
    <t>[4.67, 0.73]</t>
  </si>
  <si>
    <t>[7.02, 0.73]</t>
  </si>
  <si>
    <t>[7.95, 0.73]</t>
  </si>
  <si>
    <t>[7.98, 0.73]</t>
  </si>
  <si>
    <t>[8.11, 0.73]</t>
  </si>
  <si>
    <t>[7.37, 7.37]</t>
  </si>
  <si>
    <t>[7.08, 0.73]</t>
  </si>
  <si>
    <t>[7.71, 0.73]</t>
  </si>
  <si>
    <t>[7.23, 0.73]</t>
  </si>
  <si>
    <t>[7.11, 0.73]</t>
  </si>
  <si>
    <t>[7.13, 0.73]</t>
  </si>
  <si>
    <t>[54.28, 47.64]</t>
  </si>
  <si>
    <t>[50.42, 47.64]</t>
  </si>
  <si>
    <t>[52.05, 47.64]</t>
  </si>
  <si>
    <t>[42.04, 47.64]</t>
  </si>
  <si>
    <t>[47.78, 47.64]</t>
  </si>
  <si>
    <t>[25.87, 47.64]</t>
  </si>
  <si>
    <t>[27.41, 28.34]</t>
  </si>
  <si>
    <t>[45.74, 47.64]</t>
  </si>
  <si>
    <t>[52.16, 47.64]</t>
  </si>
  <si>
    <t>[51.3, 47.64]</t>
  </si>
  <si>
    <t>[24.98, 47.64]</t>
  </si>
  <si>
    <t>[56.16, 47.64]</t>
  </si>
  <si>
    <t>[27.29, 47.64]</t>
  </si>
  <si>
    <t>[35.09, 35.58]</t>
  </si>
  <si>
    <t>[48.55, 47.64]</t>
  </si>
  <si>
    <t>[48.44, 47.64]</t>
  </si>
  <si>
    <t>[14.38, 47.64]</t>
  </si>
  <si>
    <t>[54.71, 47.64]</t>
  </si>
  <si>
    <t>[22.4, 26.53]</t>
  </si>
  <si>
    <t>[55.42, 47.64]</t>
  </si>
  <si>
    <t>[25.86, 42.81]</t>
  </si>
  <si>
    <t>[18.33, 35.58]</t>
  </si>
  <si>
    <t>[42.8, 42.81]</t>
  </si>
  <si>
    <t>[39.7, 47.64]</t>
  </si>
  <si>
    <t>[35.11, 35.58]</t>
  </si>
  <si>
    <t>[13.01, 47.64]</t>
  </si>
  <si>
    <t>[30.28, 30.41]</t>
  </si>
  <si>
    <t>[53.0, 47.64]</t>
  </si>
  <si>
    <t>[49.61, 47.64]</t>
  </si>
  <si>
    <t>[14.26, 38.87]</t>
  </si>
  <si>
    <t>[53.7, 47.64]</t>
  </si>
  <si>
    <t>[19.11, 38.87]</t>
  </si>
  <si>
    <t>[43.19, 42.81]</t>
  </si>
  <si>
    <t>[19.32, 47.64]</t>
  </si>
  <si>
    <t>[37.07, 47.64]</t>
  </si>
  <si>
    <t>[16.46, 47.64]</t>
  </si>
  <si>
    <t>[6.7, 47.64]</t>
  </si>
  <si>
    <t>[23.5, 47.64]</t>
  </si>
  <si>
    <t>[5.89, 47.64]</t>
  </si>
  <si>
    <t>[33.58, 47.64]</t>
  </si>
  <si>
    <t>[23.67, 47.64]</t>
  </si>
  <si>
    <t>[31.45, 47.64]</t>
  </si>
  <si>
    <t>[18.57, 42.81]</t>
  </si>
  <si>
    <t>[5.34, 47.64]</t>
  </si>
  <si>
    <t>[14.53, 47.64]</t>
  </si>
  <si>
    <t>[5.3, 42.81]</t>
  </si>
  <si>
    <t>[28.38, 42.81]</t>
  </si>
  <si>
    <t>[40.55, 42.81]</t>
  </si>
  <si>
    <t>[9.08, 47.64]</t>
  </si>
  <si>
    <t>[3.4, 47.64]</t>
  </si>
  <si>
    <t>[17.92, 47.64]</t>
  </si>
  <si>
    <t>[11.92, 47.64]</t>
  </si>
  <si>
    <t>[31.03, 42.81]</t>
  </si>
  <si>
    <t>[30.54, 35.58]</t>
  </si>
  <si>
    <t>[52.63, 47.64]</t>
  </si>
  <si>
    <t>[17.22, 47.64]</t>
  </si>
  <si>
    <t>[39.32, 47.64]</t>
  </si>
  <si>
    <t>[39.97, 38.87]</t>
  </si>
  <si>
    <t>[35.97, 47.64]</t>
  </si>
  <si>
    <t>[44.08, 42.81]</t>
  </si>
  <si>
    <t>[53.48, 47.64]</t>
  </si>
  <si>
    <t>[34.86, 38.87]</t>
  </si>
  <si>
    <t>[15.85, 35.58]</t>
  </si>
  <si>
    <t>[56.34, 47.64]</t>
  </si>
  <si>
    <t>[33.64, 42.81]</t>
  </si>
  <si>
    <t>[46.54, 47.64]</t>
  </si>
  <si>
    <t>[23.65, 42.81]</t>
  </si>
  <si>
    <t>[22.0, 47.64]</t>
  </si>
  <si>
    <t>[18.53, 38.87]</t>
  </si>
  <si>
    <t>[16.23, 38.87]</t>
  </si>
  <si>
    <t>[41.02, 38.87]</t>
  </si>
  <si>
    <t>[45.13, 42.81]</t>
  </si>
  <si>
    <t>[28.63, 47.64]</t>
  </si>
  <si>
    <t>[17.4, 38.87]</t>
  </si>
  <si>
    <t>[24.37, 47.64]</t>
  </si>
  <si>
    <t>[25.51, 25.51]</t>
  </si>
  <si>
    <t>[18.04, 47.64]</t>
  </si>
  <si>
    <t>[23.98, 47.64]</t>
  </si>
  <si>
    <t>[13.9, 13.9]</t>
  </si>
  <si>
    <t>[22.17, 22.25]</t>
  </si>
  <si>
    <t>[19.24, 22.25]</t>
  </si>
  <si>
    <t>[30.68, 30.41]</t>
  </si>
  <si>
    <t>[30.58, 30.41]</t>
  </si>
  <si>
    <t>[30.57, 35.58]</t>
  </si>
  <si>
    <t>[30.62, 32.79]</t>
  </si>
  <si>
    <t>[26.43, 26.53]</t>
  </si>
  <si>
    <t>[44.55, 42.81]</t>
  </si>
  <si>
    <t>[22.2, 22.25]</t>
  </si>
  <si>
    <t>[22.37, 23.51]</t>
  </si>
  <si>
    <t>[30.57, 32.79]</t>
  </si>
  <si>
    <t>[22.21, 22.25]</t>
  </si>
  <si>
    <t>[50.86, 47.64]</t>
  </si>
  <si>
    <t>[30.64, 30.41]</t>
  </si>
  <si>
    <t>[35.22, 35.22]</t>
  </si>
  <si>
    <t>[32.89, 35.58]</t>
  </si>
  <si>
    <t>[30.65, 30.65]</t>
  </si>
  <si>
    <t>[35.23, 35.23]</t>
  </si>
  <si>
    <t>[35.3, 35.58]</t>
  </si>
  <si>
    <t>[35.2, 35.58]</t>
  </si>
  <si>
    <t>[47.88, 47.64]</t>
  </si>
  <si>
    <t>[49.68, 47.64]</t>
  </si>
  <si>
    <t>[34.8, 34.8]</t>
  </si>
  <si>
    <t>[33.5, 33.5]</t>
  </si>
  <si>
    <t>[34.87, 34.87]</t>
  </si>
  <si>
    <t>[35.29, 35.29]</t>
  </si>
  <si>
    <t>[30.1, 4.31]</t>
  </si>
  <si>
    <t>[29.0, 4.31]</t>
  </si>
  <si>
    <t>[30.0, 4.31]</t>
  </si>
  <si>
    <t>[29.5, 4.31]</t>
  </si>
  <si>
    <t>[28.0, 19.83]</t>
  </si>
  <si>
    <t>[29.3, 4.31]</t>
  </si>
  <si>
    <t>[29.7, 4.31]</t>
  </si>
  <si>
    <t>[29.5, 14.01]</t>
  </si>
  <si>
    <t>[30.3, 4.31]</t>
  </si>
  <si>
    <t>[29.9, 4.31]</t>
  </si>
  <si>
    <t>[29.7, 21.28]</t>
  </si>
  <si>
    <t>[29.7, 8.19]</t>
  </si>
  <si>
    <t>[29.8, 14.01]</t>
  </si>
  <si>
    <t>[29.6, 8.19]</t>
  </si>
  <si>
    <t>[40.5, 4.31]</t>
  </si>
  <si>
    <t>[39.8, 14.01]</t>
  </si>
  <si>
    <t>[41.0, 4.31]</t>
  </si>
  <si>
    <t>[30.5, 18.17]</t>
  </si>
  <si>
    <t>[40.4, 4.31]</t>
  </si>
  <si>
    <t>[39.8, 4.31]</t>
  </si>
  <si>
    <t>[39.6, 11.36]</t>
  </si>
  <si>
    <t>[35.1, 4.31]</t>
  </si>
  <si>
    <t>[40.3, 11.36]</t>
  </si>
  <si>
    <t>[39.2, 8.19]</t>
  </si>
  <si>
    <t>[41.2, 4.31]</t>
  </si>
  <si>
    <t>[39.6, 4.31]</t>
  </si>
  <si>
    <t>[41.1, 4.31]</t>
  </si>
  <si>
    <t>[39.3, 4.31]</t>
  </si>
  <si>
    <t>[40.3, 8.19]</t>
  </si>
  <si>
    <t>[40.0, 4.31]</t>
  </si>
  <si>
    <t>[39.9, 4.31]</t>
  </si>
  <si>
    <t>[40.2, 8.19]</t>
  </si>
  <si>
    <t>[39.8, 8.19]</t>
  </si>
  <si>
    <t>[39.2, 4.31]</t>
  </si>
  <si>
    <t>[40.1, 8.19]</t>
  </si>
  <si>
    <t>[40.0, 14.01]</t>
  </si>
  <si>
    <t>[40.2, 4.31]</t>
  </si>
  <si>
    <t>[39.7, 4.31]</t>
  </si>
  <si>
    <t>[39.8, 11.36]</t>
  </si>
  <si>
    <t>[20.2, 4.31]</t>
  </si>
  <si>
    <t>[20.0, 4.31]</t>
  </si>
  <si>
    <t>[28.9, 11.36]</t>
  </si>
  <si>
    <t>[30.2, 14.01]</t>
  </si>
  <si>
    <t>[19.7, 4.31]</t>
  </si>
  <si>
    <t>[29.5, 8.19]</t>
  </si>
  <si>
    <t>[20.4, 4.31]</t>
  </si>
  <si>
    <t>[28.7, 8.19]</t>
  </si>
  <si>
    <t>[29.2, 4.31]</t>
  </si>
  <si>
    <t>[29.6, 11.36]</t>
  </si>
  <si>
    <t>[30.1, 11.36]</t>
  </si>
  <si>
    <t>[30.0, 11.36]</t>
  </si>
  <si>
    <t>[30.8, 4.31]</t>
  </si>
  <si>
    <t>[28.3, 11.36]</t>
  </si>
  <si>
    <t>[28.9, 4.31]</t>
  </si>
  <si>
    <t>[26.0, 4.31]</t>
  </si>
  <si>
    <t>[30.2, 4.31]</t>
  </si>
  <si>
    <t>[30.2, 30.2]</t>
  </si>
  <si>
    <t>[29.9, 24.73]</t>
  </si>
  <si>
    <t>[29.1, 24.73]</t>
  </si>
  <si>
    <t>[19.6, 18.17]</t>
  </si>
  <si>
    <t>[19.2, 18.17]</t>
  </si>
  <si>
    <t>[20.2, 14.01]</t>
  </si>
  <si>
    <t>[19.5, 16.25]</t>
  </si>
  <si>
    <t>[24.7, 21.28]</t>
  </si>
  <si>
    <t>[14.5, 8.19]</t>
  </si>
  <si>
    <t>[30.3, 24.73]</t>
  </si>
  <si>
    <t>[30.8, 23.71]</t>
  </si>
  <si>
    <t>[19.4, 16.25]</t>
  </si>
  <si>
    <t>[30.2, 24.73]</t>
  </si>
  <si>
    <t>[29.7, 24.73]</t>
  </si>
  <si>
    <t>[14.6, 4.31]</t>
  </si>
  <si>
    <t>[19.9, 18.17]</t>
  </si>
  <si>
    <t>[12.7, 12.7]</t>
  </si>
  <si>
    <t>[20.6, 14.01]</t>
  </si>
  <si>
    <t>[15.4, 15.4]</t>
  </si>
  <si>
    <t>[10.5, 10.5]</t>
  </si>
  <si>
    <t>[15.5, 14.01]</t>
  </si>
  <si>
    <t>[19.2, 14.01]</t>
  </si>
  <si>
    <t>[14.5, 4.31]</t>
  </si>
  <si>
    <t>[16.0, 4.31]</t>
  </si>
  <si>
    <t>[41.88, 9.44]</t>
  </si>
  <si>
    <t>[36.92, 9.44]</t>
  </si>
  <si>
    <t>[39.54, 9.44]</t>
  </si>
  <si>
    <t>[29.54, 9.44]</t>
  </si>
  <si>
    <t>[34.77, 9.44]</t>
  </si>
  <si>
    <t>[13.47, 9.44]</t>
  </si>
  <si>
    <t>[12.91, 5.67]</t>
  </si>
  <si>
    <t>[33.24, 9.44]</t>
  </si>
  <si>
    <t>[39.66, 9.44]</t>
  </si>
  <si>
    <t>[38.8, 9.44]</t>
  </si>
  <si>
    <t>[11.48, 9.44]</t>
  </si>
  <si>
    <t>[42.96, 9.44]</t>
  </si>
  <si>
    <t>[14.49, 9.44]</t>
  </si>
  <si>
    <t>[22.09, 7.08]</t>
  </si>
  <si>
    <t>[36.15, 9.44]</t>
  </si>
  <si>
    <t>[36.24, 9.44]</t>
  </si>
  <si>
    <t>[2.18, 9.44]</t>
  </si>
  <si>
    <t>[42.11, 9.44]</t>
  </si>
  <si>
    <t>[9.6, 5.31]</t>
  </si>
  <si>
    <t>[42.42, 9.44]</t>
  </si>
  <si>
    <t>[13.06, 8.5]</t>
  </si>
  <si>
    <t>[5.62, 7.08]</t>
  </si>
  <si>
    <t>[29.9, 8.5]</t>
  </si>
  <si>
    <t>[37.7, 9.44]</t>
  </si>
  <si>
    <t>[32.41, 7.08]</t>
  </si>
  <si>
    <t>[11.51, 9.44]</t>
  </si>
  <si>
    <t>[18.28, 6.07]</t>
  </si>
  <si>
    <t>[50.9, 9.44]</t>
  </si>
  <si>
    <t>[46.91, 9.44]</t>
  </si>
  <si>
    <t>[11.36, 7.73]</t>
  </si>
  <si>
    <t>[46.3, 9.44]</t>
  </si>
  <si>
    <t>[16.91, 7.73]</t>
  </si>
  <si>
    <t>[39.89, 8.5]</t>
  </si>
  <si>
    <t>[18.02, 9.44]</t>
  </si>
  <si>
    <t>[35.06, 9.44]</t>
  </si>
  <si>
    <t>[13.76, 9.44]</t>
  </si>
  <si>
    <t>[4.7, 9.44]</t>
  </si>
  <si>
    <t>[20.6, 9.44]</t>
  </si>
  <si>
    <t>[3.19, 9.44]</t>
  </si>
  <si>
    <t>[30.88, 9.44]</t>
  </si>
  <si>
    <t>[22.27, 9.44]</t>
  </si>
  <si>
    <t>[28.25, 9.44]</t>
  </si>
  <si>
    <t>[16.37, 8.5]</t>
  </si>
  <si>
    <t>[2.84, 9.44]</t>
  </si>
  <si>
    <t>[11.93, 9.44]</t>
  </si>
  <si>
    <t>[3.0, 8.5]</t>
  </si>
  <si>
    <t>[25.08, 8.5]</t>
  </si>
  <si>
    <t>[37.85, 8.5]</t>
  </si>
  <si>
    <t>[6.17, 9.44]</t>
  </si>
  <si>
    <t>[0.1, 9.44]</t>
  </si>
  <si>
    <t>[15.42, 9.44]</t>
  </si>
  <si>
    <t>[9.32, 9.44]</t>
  </si>
  <si>
    <t>[28.62, 8.5]</t>
  </si>
  <si>
    <t>[28.04, 7.08]</t>
  </si>
  <si>
    <t>[50.33, 9.44]</t>
  </si>
  <si>
    <t>[14.02, 9.44]</t>
  </si>
  <si>
    <t>[36.52, 9.44]</t>
  </si>
  <si>
    <t>[37.27, 7.73]</t>
  </si>
  <si>
    <t>[13.67, 9.44]</t>
  </si>
  <si>
    <t>[31.28, 8.5]</t>
  </si>
  <si>
    <t>[30.98, 9.44]</t>
  </si>
  <si>
    <t>[21.26, 7.73]</t>
  </si>
  <si>
    <t>[3.54, 7.08]</t>
  </si>
  <si>
    <t>[33.54, 9.44]</t>
  </si>
  <si>
    <t>[20.64, 8.5]</t>
  </si>
  <si>
    <t>[24.43, 9.44]</t>
  </si>
  <si>
    <t>[9.85, 8.5]</t>
  </si>
  <si>
    <t>[8.7, 9.44]</t>
  </si>
  <si>
    <t>[5.63, 7.73]</t>
  </si>
  <si>
    <t>[3.82, 7.73]</t>
  </si>
  <si>
    <t>[28.52, 7.73]</t>
  </si>
  <si>
    <t>[32.13, 8.5]</t>
  </si>
  <si>
    <t>[16.93, 9.44]</t>
  </si>
  <si>
    <t>[3.2, 7.73]</t>
  </si>
  <si>
    <t>[10.77, 9.44]</t>
  </si>
  <si>
    <t>[3.11, 3.11]</t>
  </si>
  <si>
    <t>[1.54, 9.44]</t>
  </si>
  <si>
    <t>[11.68, 9.44]</t>
  </si>
  <si>
    <t>[1.6, 1.6]</t>
  </si>
  <si>
    <t>[9.57, 4.47]</t>
  </si>
  <si>
    <t>[5.84, 4.47]</t>
  </si>
  <si>
    <t>[7.78, 6.07]</t>
  </si>
  <si>
    <t>[7.28, 6.07]</t>
  </si>
  <si>
    <t>[8.27, 7.08]</t>
  </si>
  <si>
    <t>[7.62, 6.54]</t>
  </si>
  <si>
    <t>[8.62, 5.31]</t>
  </si>
  <si>
    <t>[16.55, 8.5]</t>
  </si>
  <si>
    <t>[9.99, 4.47]</t>
  </si>
  <si>
    <t>[10.67, 4.72]</t>
  </si>
  <si>
    <t>[7.47, 6.54]</t>
  </si>
  <si>
    <t>[9.87, 4.47]</t>
  </si>
  <si>
    <t>[9.41, 4.47]</t>
  </si>
  <si>
    <t>[22.96, 9.44]</t>
  </si>
  <si>
    <t>[8.04, 6.07]</t>
  </si>
  <si>
    <t>[5.42, 5.42]</t>
  </si>
  <si>
    <t>[10.99, 7.08]</t>
  </si>
  <si>
    <t>[3.55, 3.55]</t>
  </si>
  <si>
    <t>[3.23, 3.23]</t>
  </si>
  <si>
    <t>[8.3, 7.08]</t>
  </si>
  <si>
    <t>[11.9, 7.08]</t>
  </si>
  <si>
    <t>[19.88, 9.44]</t>
  </si>
  <si>
    <t>[23.18, 9.44]</t>
  </si>
  <si>
    <t>[2.8, 2.8]</t>
  </si>
  <si>
    <t>[2.67, 2.67]</t>
  </si>
  <si>
    <t>[3.09, 3.09]</t>
  </si>
  <si>
    <t>[2.26, 2.26]</t>
  </si>
  <si>
    <t>Date and Time</t>
  </si>
  <si>
    <t>Savings</t>
  </si>
  <si>
    <t>Total Savings</t>
  </si>
  <si>
    <t>Sitewide savings</t>
  </si>
  <si>
    <t>Current Bore</t>
  </si>
  <si>
    <t>Optimised BD</t>
  </si>
  <si>
    <t>Current BD</t>
  </si>
  <si>
    <t>Optimised Bore</t>
  </si>
  <si>
    <t>Optimised KWRP</t>
  </si>
  <si>
    <t>Current KWRP</t>
  </si>
  <si>
    <t>mu-flow(OV)</t>
  </si>
  <si>
    <t>mu_flow(PV)</t>
  </si>
  <si>
    <t>m-saving(PV-OV)</t>
  </si>
  <si>
    <t>BD</t>
  </si>
  <si>
    <t>BoilerBD</t>
  </si>
  <si>
    <t>CWRO</t>
  </si>
  <si>
    <t>Bore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</si>
</sst>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22" fontId="0" fillId="0" borderId="0" xfId="0" applyNumberFormat="1"/>
    <xf numFmtId="164" fontId="0" fillId="0" borderId="0" xfId="0" applyNumberFormat="1"/>
    <xf numFmtId="164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A563-E9F8-4680-ACB9-C1842CB4E6AF}">
  <dimension ref="A1:H251"/>
  <sheetViews>
    <sheetView workbookViewId="0">
      <selection activeCell="E19" sqref="E19"/>
    </sheetView>
  </sheetViews>
  <sheetFormatPr defaultRowHeight="14.4" x14ac:dyDescent="0.55000000000000004"/>
  <cols>
    <col min="1" max="1" width="15.5234375" bestFit="1" customWidth="1"/>
    <col min="2" max="2" width="15.89453125" bestFit="1" customWidth="1"/>
    <col min="3" max="3" width="10.5234375" bestFit="1" customWidth="1"/>
    <col min="4" max="4" width="13.3125" bestFit="1" customWidth="1"/>
    <col min="5" max="5" width="12.3125" bestFit="1" customWidth="1"/>
    <col min="6" max="6" width="15" bestFit="1" customWidth="1"/>
    <col min="7" max="7" width="13.5234375" bestFit="1" customWidth="1"/>
    <col min="8" max="8" width="16.1015625" bestFit="1" customWidth="1"/>
  </cols>
  <sheetData>
    <row r="1" spans="1:8" x14ac:dyDescent="0.55000000000000004">
      <c r="A1" s="2" t="s">
        <v>2741</v>
      </c>
      <c r="B1" s="2" t="s">
        <v>2744</v>
      </c>
      <c r="C1" t="s">
        <v>2747</v>
      </c>
      <c r="D1" t="s">
        <v>2746</v>
      </c>
      <c r="E1" t="s">
        <v>2745</v>
      </c>
      <c r="F1" t="s">
        <v>2748</v>
      </c>
      <c r="G1" t="s">
        <v>2750</v>
      </c>
      <c r="H1" t="s">
        <v>2749</v>
      </c>
    </row>
    <row r="2" spans="1:8" x14ac:dyDescent="0.55000000000000004">
      <c r="A2" s="5">
        <v>44197</v>
      </c>
      <c r="B2" s="3">
        <f>'N1'!AT2+'N2'!AT2+'N3'!AT2+'P2'!AT2+'A2'!AT2+'A3'!AR2</f>
        <v>18.212514269406398</v>
      </c>
    </row>
    <row r="3" spans="1:8" x14ac:dyDescent="0.55000000000000004">
      <c r="A3" s="5">
        <v>44197.020833333336</v>
      </c>
      <c r="B3" s="3">
        <f>'N1'!AT3+'N2'!AT3+'N3'!AT3+'P2'!AT3+'A2'!AT3+'A3'!AR3</f>
        <v>42.587096461187215</v>
      </c>
    </row>
    <row r="4" spans="1:8" x14ac:dyDescent="0.55000000000000004">
      <c r="A4" s="5">
        <v>44197.041666666664</v>
      </c>
      <c r="B4" s="3">
        <f>'N1'!AT4+'N2'!AT4+'N3'!AT4+'P2'!AT4+'A2'!AT4+'A3'!AR4</f>
        <v>19.781395547945205</v>
      </c>
    </row>
    <row r="5" spans="1:8" x14ac:dyDescent="0.55000000000000004">
      <c r="A5" s="5">
        <v>44197.0625</v>
      </c>
      <c r="B5" s="3">
        <f>'N1'!AT5+'N2'!AT5+'N3'!AT5+'P2'!AT5+'A2'!AT5+'A3'!AR5</f>
        <v>47.920752853881275</v>
      </c>
    </row>
    <row r="6" spans="1:8" x14ac:dyDescent="0.55000000000000004">
      <c r="A6" s="5">
        <v>44197.083333333336</v>
      </c>
      <c r="B6" s="3">
        <f>'N1'!AT6+'N2'!AT6+'N3'!AT6+'P2'!AT6+'A2'!AT6+'A3'!AR6</f>
        <v>62.216820776255702</v>
      </c>
    </row>
    <row r="7" spans="1:8" x14ac:dyDescent="0.55000000000000004">
      <c r="A7" s="5">
        <v>44197.104166666664</v>
      </c>
      <c r="B7" s="3">
        <f>'N1'!AT7+'N2'!AT7+'N3'!AT7+'P2'!AT7+'A2'!AT7+'A3'!AR7</f>
        <v>51.751493150684929</v>
      </c>
    </row>
    <row r="8" spans="1:8" x14ac:dyDescent="0.55000000000000004">
      <c r="A8" s="5">
        <v>44197.125</v>
      </c>
      <c r="B8" s="3">
        <f>'N1'!AT8+'N2'!AT8+'N3'!AT8+'P2'!AT8+'A2'!AT8+'A3'!AR8</f>
        <v>48.977331050228315</v>
      </c>
    </row>
    <row r="9" spans="1:8" x14ac:dyDescent="0.55000000000000004">
      <c r="A9" s="5">
        <v>44197.145833333336</v>
      </c>
      <c r="B9" s="3">
        <f>'N1'!AT9+'N2'!AT9+'N3'!AT9+'P2'!AT9+'A2'!AT9+'A3'!AR9</f>
        <v>39.434378424657531</v>
      </c>
    </row>
    <row r="10" spans="1:8" x14ac:dyDescent="0.55000000000000004">
      <c r="A10" s="5">
        <v>44197.166666666664</v>
      </c>
      <c r="B10" s="3">
        <f>'N1'!AT10+'N2'!AT10+'N3'!AT10+'P2'!AT10+'A2'!AT10+'A3'!AR10</f>
        <v>20.03198801369863</v>
      </c>
    </row>
    <row r="11" spans="1:8" x14ac:dyDescent="0.55000000000000004">
      <c r="A11" s="5">
        <v>44197.1875</v>
      </c>
      <c r="B11" s="3">
        <f>'N1'!AT11+'N2'!AT11+'N3'!AT11+'P2'!AT11+'A2'!AT11+'A3'!AR11</f>
        <v>43.16259132420091</v>
      </c>
    </row>
    <row r="12" spans="1:8" x14ac:dyDescent="0.55000000000000004">
      <c r="A12" s="5">
        <v>44197.208333333336</v>
      </c>
      <c r="B12" s="3">
        <f>'N1'!AT12+'N2'!AT12+'N3'!AT12+'P2'!AT12+'A2'!AT12+'A3'!AR12</f>
        <v>22.333034817351596</v>
      </c>
    </row>
    <row r="13" spans="1:8" x14ac:dyDescent="0.55000000000000004">
      <c r="A13" s="5">
        <v>44197.229166666664</v>
      </c>
      <c r="B13" s="3">
        <f>'N1'!AT13+'N2'!AT13+'N3'!AT13+'P2'!AT13+'A2'!AT13+'A3'!AR13</f>
        <v>21.559698059360727</v>
      </c>
    </row>
    <row r="14" spans="1:8" x14ac:dyDescent="0.55000000000000004">
      <c r="A14" s="5">
        <v>44197.25</v>
      </c>
      <c r="B14" s="3">
        <f>'N1'!AT14+'N2'!AT14+'N3'!AT14+'P2'!AT14+'A2'!AT14+'A3'!AR14</f>
        <v>51.453892123287666</v>
      </c>
    </row>
    <row r="15" spans="1:8" x14ac:dyDescent="0.55000000000000004">
      <c r="A15" s="5">
        <v>44197.270833333336</v>
      </c>
      <c r="B15" s="3">
        <f>'N1'!AT15+'N2'!AT15+'N3'!AT15+'P2'!AT15+'A2'!AT15+'A3'!AR15</f>
        <v>62.82093436073059</v>
      </c>
    </row>
    <row r="16" spans="1:8" x14ac:dyDescent="0.55000000000000004">
      <c r="A16" s="5">
        <v>44197.291666666664</v>
      </c>
      <c r="B16" s="3">
        <f>'N1'!AT16+'N2'!AT16+'N3'!AT16+'P2'!AT16+'A2'!AT16+'A3'!AR16</f>
        <v>24.059522831050231</v>
      </c>
    </row>
    <row r="17" spans="1:2" x14ac:dyDescent="0.55000000000000004">
      <c r="A17" s="5">
        <v>44197.3125</v>
      </c>
      <c r="B17" s="3">
        <f>'N1'!AT17+'N2'!AT17+'N3'!AT17+'P2'!AT17+'A2'!AT17+'A3'!AR17</f>
        <v>52.918792237442922</v>
      </c>
    </row>
    <row r="18" spans="1:2" x14ac:dyDescent="0.55000000000000004">
      <c r="A18" s="5">
        <v>44197.333333333336</v>
      </c>
      <c r="B18" s="3">
        <f>'N1'!AT18+'N2'!AT18+'N3'!AT18+'P2'!AT18+'A2'!AT18+'A3'!AR18</f>
        <v>18.624068493150688</v>
      </c>
    </row>
    <row r="19" spans="1:2" x14ac:dyDescent="0.55000000000000004">
      <c r="A19" s="5">
        <v>44197.354166666664</v>
      </c>
      <c r="B19" s="3">
        <f>'N1'!AT19+'N2'!AT19+'N3'!AT19+'P2'!AT19+'A2'!AT19+'A3'!AR19</f>
        <v>53.793986872146114</v>
      </c>
    </row>
    <row r="20" spans="1:2" x14ac:dyDescent="0.55000000000000004">
      <c r="A20" s="5">
        <v>44197.375</v>
      </c>
      <c r="B20" s="3">
        <f>'N1'!AT20+'N2'!AT20+'N3'!AT20+'P2'!AT20+'A2'!AT20+'A3'!AR20</f>
        <v>23.740433219178083</v>
      </c>
    </row>
    <row r="21" spans="1:2" x14ac:dyDescent="0.55000000000000004">
      <c r="A21" s="5">
        <v>44197.395833333336</v>
      </c>
      <c r="B21" s="3">
        <f>'N1'!AT21+'N2'!AT21+'N3'!AT21+'P2'!AT21+'A2'!AT21+'A3'!AR21</f>
        <v>56.740914383561638</v>
      </c>
    </row>
    <row r="22" spans="1:2" x14ac:dyDescent="0.55000000000000004">
      <c r="A22" s="5">
        <v>44197.416666666664</v>
      </c>
      <c r="B22" s="3">
        <f>'N1'!AT22+'N2'!AT22+'N3'!AT22+'P2'!AT22+'A2'!AT22+'A3'!AR22</f>
        <v>19.999296803652967</v>
      </c>
    </row>
    <row r="23" spans="1:2" x14ac:dyDescent="0.55000000000000004">
      <c r="A23" s="5">
        <v>44197.4375</v>
      </c>
      <c r="B23" s="3">
        <f>'N1'!AT23+'N2'!AT23+'N3'!AT23+'P2'!AT23+'A2'!AT23+'A3'!AR23</f>
        <v>45.170385273972599</v>
      </c>
    </row>
    <row r="24" spans="1:2" x14ac:dyDescent="0.55000000000000004">
      <c r="A24" s="5">
        <v>44197.458333333336</v>
      </c>
      <c r="B24" s="3">
        <f>'N1'!AT24+'N2'!AT24+'N3'!AT24+'P2'!AT24+'A2'!AT24+'A3'!AR24</f>
        <v>22.969575913242011</v>
      </c>
    </row>
    <row r="25" spans="1:2" x14ac:dyDescent="0.55000000000000004">
      <c r="A25" s="5">
        <v>44197.479166666664</v>
      </c>
      <c r="B25" s="3">
        <f>'N1'!AT25+'N2'!AT25+'N3'!AT25+'P2'!AT25+'A2'!AT25+'A3'!AR25</f>
        <v>31.482334474885846</v>
      </c>
    </row>
    <row r="26" spans="1:2" x14ac:dyDescent="0.55000000000000004">
      <c r="A26" s="5">
        <v>44197.5</v>
      </c>
      <c r="B26" s="3">
        <f>'N1'!AT26+'N2'!AT26+'N3'!AT26+'P2'!AT26+'A2'!AT26+'A3'!AR26</f>
        <v>45.3511700913242</v>
      </c>
    </row>
    <row r="27" spans="1:2" x14ac:dyDescent="0.55000000000000004">
      <c r="A27" s="5">
        <v>44197.520833333336</v>
      </c>
      <c r="B27" s="3">
        <f>'N1'!AT27+'N2'!AT27+'N3'!AT27+'P2'!AT27+'A2'!AT27+'A3'!AR27</f>
        <v>57.990395547945205</v>
      </c>
    </row>
    <row r="28" spans="1:2" x14ac:dyDescent="0.55000000000000004">
      <c r="A28" s="5">
        <v>44197.541666666664</v>
      </c>
      <c r="B28" s="3">
        <f>'N1'!AT28+'N2'!AT28+'N3'!AT28+'P2'!AT28+'A2'!AT28+'A3'!AR28</f>
        <v>21.088549086757993</v>
      </c>
    </row>
    <row r="29" spans="1:2" x14ac:dyDescent="0.55000000000000004">
      <c r="A29" s="5">
        <v>44197.5625</v>
      </c>
      <c r="B29" s="3">
        <f>'N1'!AT29+'N2'!AT29+'N3'!AT29+'P2'!AT29+'A2'!AT29+'A3'!AR29</f>
        <v>20.904132990867581</v>
      </c>
    </row>
    <row r="30" spans="1:2" x14ac:dyDescent="0.55000000000000004">
      <c r="A30" s="5">
        <v>44197.583333333336</v>
      </c>
      <c r="B30" s="3">
        <f>'N1'!AT30+'N2'!AT30+'N3'!AT30+'P2'!AT30+'A2'!AT30+'A3'!AR30</f>
        <v>37.265691780821918</v>
      </c>
    </row>
    <row r="31" spans="1:2" x14ac:dyDescent="0.55000000000000004">
      <c r="A31" s="5">
        <v>44197.604166666664</v>
      </c>
      <c r="B31" s="3">
        <f>'N1'!AT31+'N2'!AT31+'N3'!AT31+'P2'!AT31+'A2'!AT31+'A3'!AR31</f>
        <v>50.277498287671236</v>
      </c>
    </row>
    <row r="32" spans="1:2" x14ac:dyDescent="0.55000000000000004">
      <c r="A32" s="5">
        <v>44197.625</v>
      </c>
      <c r="B32" s="3">
        <f>'N1'!AT32+'N2'!AT32+'N3'!AT32+'P2'!AT32+'A2'!AT32+'A3'!AR32</f>
        <v>29.100515410958902</v>
      </c>
    </row>
    <row r="33" spans="1:2" x14ac:dyDescent="0.55000000000000004">
      <c r="A33" s="5">
        <v>44197.645833333336</v>
      </c>
      <c r="B33" s="3">
        <f>'N1'!AT33+'N2'!AT33+'N3'!AT33+'P2'!AT33+'A2'!AT33+'A3'!AR33</f>
        <v>19.708194634703197</v>
      </c>
    </row>
    <row r="34" spans="1:2" x14ac:dyDescent="0.55000000000000004">
      <c r="A34" s="5">
        <v>44197.666666666664</v>
      </c>
      <c r="B34" s="3">
        <f>'N1'!AT34+'N2'!AT34+'N3'!AT34+'P2'!AT34+'A2'!AT34+'A3'!AR34</f>
        <v>61.191749429223748</v>
      </c>
    </row>
    <row r="35" spans="1:2" x14ac:dyDescent="0.55000000000000004">
      <c r="A35" s="5">
        <v>44197.6875</v>
      </c>
      <c r="B35" s="3">
        <f>'N1'!AT35+'N2'!AT35+'N3'!AT35+'P2'!AT35+'A2'!AT35+'A3'!AR35</f>
        <v>35.495132990867575</v>
      </c>
    </row>
    <row r="36" spans="1:2" x14ac:dyDescent="0.55000000000000004">
      <c r="A36" s="5">
        <v>44197.708333333336</v>
      </c>
      <c r="B36" s="3">
        <f>'N1'!AT36+'N2'!AT36+'N3'!AT36+'P2'!AT36+'A2'!AT36+'A3'!AR36</f>
        <v>22.645349315068497</v>
      </c>
    </row>
    <row r="37" spans="1:2" x14ac:dyDescent="0.55000000000000004">
      <c r="A37" s="5">
        <v>44197.729166666664</v>
      </c>
      <c r="B37" s="3">
        <f>'N1'!AT37+'N2'!AT37+'N3'!AT37+'P2'!AT37+'A2'!AT37+'A3'!AR37</f>
        <v>28.368544520547943</v>
      </c>
    </row>
    <row r="38" spans="1:2" x14ac:dyDescent="0.55000000000000004">
      <c r="A38" s="5">
        <v>44197.75</v>
      </c>
      <c r="B38" s="3">
        <f>'N1'!AT38+'N2'!AT38+'N3'!AT38+'P2'!AT38+'A2'!AT38+'A3'!AR38</f>
        <v>27.380015410958904</v>
      </c>
    </row>
    <row r="39" spans="1:2" x14ac:dyDescent="0.55000000000000004">
      <c r="A39" s="5">
        <v>44197.770833333336</v>
      </c>
      <c r="B39" s="3">
        <f>'N1'!AT39+'N2'!AT39+'N3'!AT39+'P2'!AT39+'A2'!AT39+'A3'!AR39</f>
        <v>9.0977517123287654</v>
      </c>
    </row>
    <row r="40" spans="1:2" x14ac:dyDescent="0.55000000000000004">
      <c r="A40" s="5">
        <v>44197.791666666664</v>
      </c>
      <c r="B40" s="3">
        <f>'N1'!AT40+'N2'!AT40+'N3'!AT40+'P2'!AT40+'A2'!AT40+'A3'!AR40</f>
        <v>38.529902397260273</v>
      </c>
    </row>
    <row r="41" spans="1:2" x14ac:dyDescent="0.55000000000000004">
      <c r="A41" s="5">
        <v>44197.8125</v>
      </c>
      <c r="B41" s="3">
        <f>'N1'!AT41+'N2'!AT41+'N3'!AT41+'P2'!AT41+'A2'!AT41+'A3'!AR41</f>
        <v>17.464117579908677</v>
      </c>
    </row>
    <row r="42" spans="1:2" x14ac:dyDescent="0.55000000000000004">
      <c r="A42" s="5">
        <v>44197.833333333336</v>
      </c>
      <c r="B42" s="3">
        <f>'N1'!AT42+'N2'!AT42+'N3'!AT42+'P2'!AT42+'A2'!AT42+'A3'!AR42</f>
        <v>17.046390981735161</v>
      </c>
    </row>
    <row r="43" spans="1:2" x14ac:dyDescent="0.55000000000000004">
      <c r="A43" s="5">
        <v>44197.854166666664</v>
      </c>
      <c r="B43" s="3">
        <f>'N1'!AT43+'N2'!AT43+'N3'!AT43+'P2'!AT43+'A2'!AT43+'A3'!AR43</f>
        <v>14.760527397260272</v>
      </c>
    </row>
    <row r="44" spans="1:2" x14ac:dyDescent="0.55000000000000004">
      <c r="A44" s="5">
        <v>44197.875</v>
      </c>
      <c r="B44" s="3">
        <f>'N1'!AT44+'N2'!AT44+'N3'!AT44+'P2'!AT44+'A2'!AT44+'A3'!AR44</f>
        <v>59.888192351598178</v>
      </c>
    </row>
    <row r="45" spans="1:2" x14ac:dyDescent="0.55000000000000004">
      <c r="A45" s="5">
        <v>44197.895833333336</v>
      </c>
      <c r="B45" s="3">
        <f>'N1'!AT45+'N2'!AT45+'N3'!AT45+'P2'!AT45+'A2'!AT45+'A3'!AR45</f>
        <v>20.523224315068497</v>
      </c>
    </row>
    <row r="46" spans="1:2" x14ac:dyDescent="0.55000000000000004">
      <c r="A46" s="5">
        <v>44197.916666666664</v>
      </c>
      <c r="B46" s="3">
        <f>'N1'!AT46+'N2'!AT46+'N3'!AT46+'P2'!AT46+'A2'!AT46+'A3'!AR46</f>
        <v>20.545354452054795</v>
      </c>
    </row>
    <row r="47" spans="1:2" x14ac:dyDescent="0.55000000000000004">
      <c r="A47" s="5">
        <v>44197.9375</v>
      </c>
      <c r="B47" s="3">
        <f>'N1'!AT47+'N2'!AT47+'N3'!AT47+'P2'!AT47+'A2'!AT47+'A3'!AR47</f>
        <v>51.655510273972602</v>
      </c>
    </row>
    <row r="48" spans="1:2" x14ac:dyDescent="0.55000000000000004">
      <c r="A48" s="5">
        <v>44197.958333333336</v>
      </c>
      <c r="B48" s="3">
        <f>'N1'!AT48+'N2'!AT48+'N3'!AT48+'P2'!AT48+'A2'!AT48+'A3'!AR48</f>
        <v>43.602083904109591</v>
      </c>
    </row>
    <row r="49" spans="1:2" x14ac:dyDescent="0.55000000000000004">
      <c r="A49" s="5">
        <v>44197.979166666664</v>
      </c>
      <c r="B49" s="3">
        <f>'N1'!AT49+'N2'!AT49+'N3'!AT49+'P2'!AT49+'A2'!AT49+'A3'!AR49</f>
        <v>20.89752625570776</v>
      </c>
    </row>
    <row r="50" spans="1:2" x14ac:dyDescent="0.55000000000000004">
      <c r="A50" s="5">
        <v>44198</v>
      </c>
      <c r="B50" s="3">
        <f>'N1'!AT50+'N2'!AT50+'N3'!AT50+'P2'!AT50+'A2'!AT50+'A3'!AR50</f>
        <v>17.804565639269406</v>
      </c>
    </row>
    <row r="51" spans="1:2" x14ac:dyDescent="0.55000000000000004">
      <c r="A51" s="5">
        <v>44198.020833333336</v>
      </c>
      <c r="B51" s="3">
        <f>'N1'!AT51+'N2'!AT51+'N3'!AT51+'P2'!AT51+'A2'!AT51+'A3'!AR51</f>
        <v>28.130862442922378</v>
      </c>
    </row>
    <row r="52" spans="1:2" x14ac:dyDescent="0.55000000000000004">
      <c r="A52" s="5">
        <v>44198.041666666664</v>
      </c>
      <c r="B52" s="3">
        <f>'N1'!AT52+'N2'!AT52+'N3'!AT52+'P2'!AT52+'A2'!AT52+'A3'!AR52</f>
        <v>62.452155821917806</v>
      </c>
    </row>
    <row r="53" spans="1:2" x14ac:dyDescent="0.55000000000000004">
      <c r="A53" s="5">
        <v>44198.0625</v>
      </c>
      <c r="B53" s="3">
        <f>'N1'!AT53+'N2'!AT53+'N3'!AT53+'P2'!AT53+'A2'!AT53+'A3'!AR53</f>
        <v>68.643720319634696</v>
      </c>
    </row>
    <row r="54" spans="1:2" x14ac:dyDescent="0.55000000000000004">
      <c r="A54" s="5">
        <v>44198.083333333336</v>
      </c>
      <c r="B54" s="3">
        <f>'N1'!AT54+'N2'!AT54+'N3'!AT54+'P2'!AT54+'A2'!AT54+'A3'!AR54</f>
        <v>21.289067351598174</v>
      </c>
    </row>
    <row r="55" spans="1:2" x14ac:dyDescent="0.55000000000000004">
      <c r="A55" s="5">
        <v>44198.104166666664</v>
      </c>
      <c r="B55" s="3">
        <f>'N1'!AT55+'N2'!AT55+'N3'!AT55+'P2'!AT55+'A2'!AT55+'A3'!AR55</f>
        <v>39.616777397260279</v>
      </c>
    </row>
    <row r="56" spans="1:2" x14ac:dyDescent="0.55000000000000004">
      <c r="A56" s="5">
        <v>44198.125</v>
      </c>
      <c r="B56" s="3">
        <f>'N1'!AT56+'N2'!AT56+'N3'!AT56+'P2'!AT56+'A2'!AT56+'A3'!AR56</f>
        <v>55.373448059360733</v>
      </c>
    </row>
    <row r="57" spans="1:2" x14ac:dyDescent="0.55000000000000004">
      <c r="A57" s="5">
        <v>44198.145833333336</v>
      </c>
      <c r="B57" s="3">
        <f>'N1'!AT57+'N2'!AT57+'N3'!AT57+'P2'!AT57+'A2'!AT57+'A3'!AR57</f>
        <v>43.809958333333327</v>
      </c>
    </row>
    <row r="58" spans="1:2" x14ac:dyDescent="0.55000000000000004">
      <c r="A58" s="5">
        <v>44198.166666666664</v>
      </c>
      <c r="B58" s="3">
        <f>'N1'!AT58+'N2'!AT58+'N3'!AT58+'P2'!AT58+'A2'!AT58+'A3'!AR58</f>
        <v>19.108125570776256</v>
      </c>
    </row>
    <row r="59" spans="1:2" x14ac:dyDescent="0.55000000000000004">
      <c r="A59" s="5">
        <v>44198.1875</v>
      </c>
      <c r="B59" s="3">
        <f>'N1'!AT59+'N2'!AT59+'N3'!AT59+'P2'!AT59+'A2'!AT59+'A3'!AR59</f>
        <v>20.633598173515985</v>
      </c>
    </row>
    <row r="60" spans="1:2" x14ac:dyDescent="0.55000000000000004">
      <c r="A60" s="5">
        <v>44198.208333333336</v>
      </c>
      <c r="B60" s="3">
        <f>'N1'!AT60+'N2'!AT60+'N3'!AT60+'P2'!AT60+'A2'!AT60+'A3'!AR60</f>
        <v>23.04032705479452</v>
      </c>
    </row>
    <row r="61" spans="1:2" x14ac:dyDescent="0.55000000000000004">
      <c r="A61" s="5">
        <v>44198.229166666664</v>
      </c>
      <c r="B61" s="3">
        <f>'N1'!AT61+'N2'!AT61+'N3'!AT61+'P2'!AT61+'A2'!AT61+'A3'!AR61</f>
        <v>58.558606164383562</v>
      </c>
    </row>
    <row r="62" spans="1:2" x14ac:dyDescent="0.55000000000000004">
      <c r="A62" s="5">
        <v>44198.25</v>
      </c>
      <c r="B62" s="3">
        <f>'N1'!AT62+'N2'!AT62+'N3'!AT62+'P2'!AT62+'A2'!AT62+'A3'!AR62</f>
        <v>23.752193493150685</v>
      </c>
    </row>
    <row r="63" spans="1:2" x14ac:dyDescent="0.55000000000000004">
      <c r="A63" s="5">
        <v>44198.270833333336</v>
      </c>
      <c r="B63" s="3">
        <f>'N1'!AT63+'N2'!AT63+'N3'!AT63+'P2'!AT63+'A2'!AT63+'A3'!AR63</f>
        <v>26.615598744292235</v>
      </c>
    </row>
    <row r="64" spans="1:2" x14ac:dyDescent="0.55000000000000004">
      <c r="A64" s="5">
        <v>44198.291666666664</v>
      </c>
      <c r="B64" s="3">
        <f>'N1'!AT64+'N2'!AT64+'N3'!AT64+'P2'!AT64+'A2'!AT64+'A3'!AR64</f>
        <v>26.659865296803652</v>
      </c>
    </row>
    <row r="65" spans="1:2" x14ac:dyDescent="0.55000000000000004">
      <c r="A65" s="5">
        <v>44198.3125</v>
      </c>
      <c r="B65" s="3">
        <f>'N1'!AT65+'N2'!AT65+'N3'!AT65+'P2'!AT65+'A2'!AT65+'A3'!AR65</f>
        <v>24.942578196347032</v>
      </c>
    </row>
    <row r="66" spans="1:2" x14ac:dyDescent="0.55000000000000004">
      <c r="A66" s="5">
        <v>44198.333333333336</v>
      </c>
      <c r="B66" s="3">
        <f>'N1'!AT66+'N2'!AT66+'N3'!AT66+'P2'!AT66+'A2'!AT66+'A3'!AR66</f>
        <v>21.412886415525115</v>
      </c>
    </row>
    <row r="67" spans="1:2" x14ac:dyDescent="0.55000000000000004">
      <c r="A67" s="5">
        <v>44198.354166666664</v>
      </c>
      <c r="B67" s="3">
        <f>'N1'!AT67+'N2'!AT67+'N3'!AT67+'P2'!AT67+'A2'!AT67+'A3'!AR67</f>
        <v>24.793626712328766</v>
      </c>
    </row>
    <row r="68" spans="1:2" x14ac:dyDescent="0.55000000000000004">
      <c r="A68" s="5">
        <v>44198.375</v>
      </c>
      <c r="B68" s="3">
        <f>'N1'!AT68+'N2'!AT68+'N3'!AT68+'P2'!AT68+'A2'!AT68+'A3'!AR68</f>
        <v>21.442573059360729</v>
      </c>
    </row>
    <row r="69" spans="1:2" x14ac:dyDescent="0.55000000000000004">
      <c r="A69" s="5">
        <v>44198.395833333336</v>
      </c>
      <c r="B69" s="3">
        <f>'N1'!AT69+'N2'!AT69+'N3'!AT69+'P2'!AT69+'A2'!AT69+'A3'!AR69</f>
        <v>52.097223744292236</v>
      </c>
    </row>
    <row r="70" spans="1:2" x14ac:dyDescent="0.55000000000000004">
      <c r="A70" s="5">
        <v>44198.416666666664</v>
      </c>
      <c r="B70" s="3">
        <f>'N1'!AT70+'N2'!AT70+'N3'!AT70+'P2'!AT70+'A2'!AT70+'A3'!AR70</f>
        <v>8.7523042237442912</v>
      </c>
    </row>
    <row r="71" spans="1:2" x14ac:dyDescent="0.55000000000000004">
      <c r="A71" s="5">
        <v>44198.4375</v>
      </c>
      <c r="B71" s="3">
        <f>'N1'!AT71+'N2'!AT71+'N3'!AT71+'P2'!AT71+'A2'!AT71+'A3'!AR71</f>
        <v>19.428236872146115</v>
      </c>
    </row>
    <row r="72" spans="1:2" x14ac:dyDescent="0.55000000000000004">
      <c r="A72" s="5">
        <v>44198.458333333336</v>
      </c>
      <c r="B72" s="3">
        <f>'N1'!AT72+'N2'!AT72+'N3'!AT72+'P2'!AT72+'A2'!AT72+'A3'!AR72</f>
        <v>62.746233447488578</v>
      </c>
    </row>
    <row r="73" spans="1:2" x14ac:dyDescent="0.55000000000000004">
      <c r="A73" s="5">
        <v>44198.479166666664</v>
      </c>
      <c r="B73" s="3">
        <f>'N1'!AT73+'N2'!AT73+'N3'!AT73+'P2'!AT73+'A2'!AT73+'A3'!AR73</f>
        <v>48.002947488584468</v>
      </c>
    </row>
    <row r="74" spans="1:2" x14ac:dyDescent="0.55000000000000004">
      <c r="A74" s="5">
        <v>44198.5</v>
      </c>
      <c r="B74" s="3">
        <f>'N1'!AT74+'N2'!AT74+'N3'!AT74+'P2'!AT74+'A2'!AT74+'A3'!AR74</f>
        <v>23.255760273972601</v>
      </c>
    </row>
    <row r="75" spans="1:2" x14ac:dyDescent="0.55000000000000004">
      <c r="A75" s="5">
        <v>44198.520833333336</v>
      </c>
      <c r="B75" s="3">
        <f>'N1'!AT75+'N2'!AT75+'N3'!AT75+'P2'!AT75+'A2'!AT75+'A3'!AR75</f>
        <v>44.286468607305935</v>
      </c>
    </row>
    <row r="76" spans="1:2" x14ac:dyDescent="0.55000000000000004">
      <c r="A76" s="5">
        <v>44198.541666666664</v>
      </c>
      <c r="B76" s="3">
        <f>'N1'!AT76+'N2'!AT76+'N3'!AT76+'P2'!AT76+'A2'!AT76+'A3'!AR76</f>
        <v>28.122855593607305</v>
      </c>
    </row>
    <row r="77" spans="1:2" x14ac:dyDescent="0.55000000000000004">
      <c r="A77" s="5">
        <v>44198.5625</v>
      </c>
      <c r="B77" s="3">
        <f>'N1'!AT77+'N2'!AT77+'N3'!AT77+'P2'!AT77+'A2'!AT77+'A3'!AR77</f>
        <v>54.14555764840182</v>
      </c>
    </row>
    <row r="78" spans="1:2" x14ac:dyDescent="0.55000000000000004">
      <c r="A78" s="5">
        <v>44198.583333333336</v>
      </c>
      <c r="B78" s="3">
        <f>'N1'!AT78+'N2'!AT78+'N3'!AT78+'P2'!AT78+'A2'!AT78+'A3'!AR78</f>
        <v>43.462144406392696</v>
      </c>
    </row>
    <row r="79" spans="1:2" x14ac:dyDescent="0.55000000000000004">
      <c r="A79" s="5">
        <v>44198.604166666664</v>
      </c>
      <c r="B79" s="3">
        <f>'N1'!AT79+'N2'!AT79+'N3'!AT79+'P2'!AT79+'A2'!AT79+'A3'!AR79</f>
        <v>60.562489726027394</v>
      </c>
    </row>
    <row r="80" spans="1:2" x14ac:dyDescent="0.55000000000000004">
      <c r="A80" s="5">
        <v>44198.625</v>
      </c>
      <c r="B80" s="3">
        <f>'N1'!AT80+'N2'!AT80+'N3'!AT80+'P2'!AT80+'A2'!AT80+'A3'!AR80</f>
        <v>54.345742579908674</v>
      </c>
    </row>
    <row r="81" spans="1:2" x14ac:dyDescent="0.55000000000000004">
      <c r="A81" s="5">
        <v>44198.645833333336</v>
      </c>
      <c r="B81" s="3">
        <f>'N1'!AT81+'N2'!AT81+'N3'!AT81+'P2'!AT81+'A2'!AT81+'A3'!AR81</f>
        <v>26.818768264840187</v>
      </c>
    </row>
    <row r="82" spans="1:2" x14ac:dyDescent="0.55000000000000004">
      <c r="A82" s="5">
        <v>44198.666666666664</v>
      </c>
      <c r="B82" s="3">
        <f>'N1'!AT82+'N2'!AT82+'N3'!AT82+'P2'!AT82+'A2'!AT82+'A3'!AR82</f>
        <v>50.99194006849315</v>
      </c>
    </row>
    <row r="83" spans="1:2" x14ac:dyDescent="0.55000000000000004">
      <c r="A83" s="5">
        <v>44198.6875</v>
      </c>
      <c r="B83" s="3">
        <f>'N1'!AT83+'N2'!AT83+'N3'!AT83+'P2'!AT83+'A2'!AT83+'A3'!AR83</f>
        <v>21.037082762557077</v>
      </c>
    </row>
    <row r="84" spans="1:2" x14ac:dyDescent="0.55000000000000004">
      <c r="A84" s="5">
        <v>44198.708333333336</v>
      </c>
      <c r="B84" s="3">
        <f>'N1'!AT84+'N2'!AT84+'N3'!AT84+'P2'!AT84+'A2'!AT84+'A3'!AR84</f>
        <v>41.782666095890406</v>
      </c>
    </row>
    <row r="85" spans="1:2" x14ac:dyDescent="0.55000000000000004">
      <c r="A85" s="5">
        <v>44198.729166666664</v>
      </c>
      <c r="B85" s="3">
        <f>'N1'!AT85+'N2'!AT85+'N3'!AT85+'P2'!AT85+'A2'!AT85+'A3'!AR85</f>
        <v>37.433153538812789</v>
      </c>
    </row>
    <row r="86" spans="1:2" x14ac:dyDescent="0.55000000000000004">
      <c r="A86" s="5">
        <v>44198.75</v>
      </c>
      <c r="B86" s="3">
        <f>'N1'!AT86+'N2'!AT86+'N3'!AT86+'P2'!AT86+'A2'!AT86+'A3'!AR86</f>
        <v>8.0301033105022839</v>
      </c>
    </row>
    <row r="87" spans="1:2" x14ac:dyDescent="0.55000000000000004">
      <c r="A87" s="5">
        <v>44198.770833333336</v>
      </c>
      <c r="B87" s="3">
        <f>'N1'!AT87+'N2'!AT87+'N3'!AT87+'P2'!AT87+'A2'!AT87+'A3'!AR87</f>
        <v>42.941771118721455</v>
      </c>
    </row>
    <row r="88" spans="1:2" x14ac:dyDescent="0.55000000000000004">
      <c r="A88" s="5">
        <v>44198.791666666664</v>
      </c>
      <c r="B88" s="3">
        <f>'N1'!AT88+'N2'!AT88+'N3'!AT88+'P2'!AT88+'A2'!AT88+'A3'!AR88</f>
        <v>22.550348744292236</v>
      </c>
    </row>
    <row r="89" spans="1:2" x14ac:dyDescent="0.55000000000000004">
      <c r="A89" s="5">
        <v>44198.8125</v>
      </c>
      <c r="B89" s="3">
        <f>'N1'!AT89+'N2'!AT89+'N3'!AT89+'P2'!AT89+'A2'!AT89+'A3'!AR89</f>
        <v>33.486547374429222</v>
      </c>
    </row>
    <row r="90" spans="1:2" x14ac:dyDescent="0.55000000000000004">
      <c r="A90" s="5">
        <v>44198.833333333336</v>
      </c>
      <c r="B90" s="3">
        <f>'N1'!AT90+'N2'!AT90+'N3'!AT90+'P2'!AT90+'A2'!AT90+'A3'!AR90</f>
        <v>51.083151255707762</v>
      </c>
    </row>
    <row r="91" spans="1:2" x14ac:dyDescent="0.55000000000000004">
      <c r="A91" s="5">
        <v>44198.854166666664</v>
      </c>
      <c r="B91" s="3">
        <f>'N1'!AT91+'N2'!AT91+'N3'!AT91+'P2'!AT91+'A2'!AT91+'A3'!AR91</f>
        <v>57.396771689497719</v>
      </c>
    </row>
    <row r="92" spans="1:2" x14ac:dyDescent="0.55000000000000004">
      <c r="A92" s="5">
        <v>44198.875</v>
      </c>
      <c r="B92" s="3">
        <f>'N1'!AT92+'N2'!AT92+'N3'!AT92+'P2'!AT92+'A2'!AT92+'A3'!AR92</f>
        <v>40.310999999999993</v>
      </c>
    </row>
    <row r="93" spans="1:2" x14ac:dyDescent="0.55000000000000004">
      <c r="A93" s="5">
        <v>44198.895833333336</v>
      </c>
      <c r="B93" s="3">
        <f>'N1'!AT93+'N2'!AT93+'N3'!AT93+'P2'!AT93+'A2'!AT93+'A3'!AR93</f>
        <v>39.010630707762559</v>
      </c>
    </row>
    <row r="94" spans="1:2" x14ac:dyDescent="0.55000000000000004">
      <c r="A94" s="5">
        <v>44198.916666666664</v>
      </c>
      <c r="B94" s="3">
        <f>'N1'!AT94+'N2'!AT94+'N3'!AT94+'P2'!AT94+'A2'!AT94+'A3'!AR94</f>
        <v>46.677628995433786</v>
      </c>
    </row>
    <row r="95" spans="1:2" x14ac:dyDescent="0.55000000000000004">
      <c r="A95" s="5">
        <v>44198.9375</v>
      </c>
      <c r="B95" s="3">
        <f>'N1'!AT95+'N2'!AT95+'N3'!AT95+'P2'!AT95+'A2'!AT95+'A3'!AR95</f>
        <v>50.796196917808217</v>
      </c>
    </row>
    <row r="96" spans="1:2" x14ac:dyDescent="0.55000000000000004">
      <c r="A96" s="5">
        <v>44198.958333333336</v>
      </c>
      <c r="B96" s="3">
        <f>'N1'!AT96+'N2'!AT96+'N3'!AT96+'P2'!AT96+'A2'!AT96+'A3'!AR96</f>
        <v>24.838269406392698</v>
      </c>
    </row>
    <row r="97" spans="1:2" x14ac:dyDescent="0.55000000000000004">
      <c r="A97" s="5">
        <v>44198.979166666664</v>
      </c>
      <c r="B97" s="3">
        <f>'N1'!AT97+'N2'!AT97+'N3'!AT97+'P2'!AT97+'A2'!AT97+'A3'!AR97</f>
        <v>25.210441780821917</v>
      </c>
    </row>
    <row r="98" spans="1:2" x14ac:dyDescent="0.55000000000000004">
      <c r="A98" s="5">
        <v>44199</v>
      </c>
      <c r="B98" s="3">
        <f>'N1'!AT98+'N2'!AT98+'N3'!AT98+'P2'!AT98+'A2'!AT98+'A3'!AR98</f>
        <v>51.343954337899547</v>
      </c>
    </row>
    <row r="99" spans="1:2" x14ac:dyDescent="0.55000000000000004">
      <c r="A99" s="5">
        <v>44199.020833333336</v>
      </c>
      <c r="B99" s="3">
        <f>'N1'!AT99+'N2'!AT99+'N3'!AT99+'P2'!AT99+'A2'!AT99+'A3'!AR99</f>
        <v>21.612472602739725</v>
      </c>
    </row>
    <row r="100" spans="1:2" x14ac:dyDescent="0.55000000000000004">
      <c r="A100" s="5">
        <v>44199.041666666664</v>
      </c>
      <c r="B100" s="3">
        <f>'N1'!AT100+'N2'!AT100+'N3'!AT100+'P2'!AT100+'A2'!AT100+'A3'!AR100</f>
        <v>21.849009132420093</v>
      </c>
    </row>
    <row r="101" spans="1:2" x14ac:dyDescent="0.55000000000000004">
      <c r="A101" s="5">
        <v>44199.0625</v>
      </c>
      <c r="B101" s="3">
        <f>'N1'!AT101+'N2'!AT101+'N3'!AT101+'P2'!AT101+'A2'!AT101+'A3'!AR101</f>
        <v>43.903047374429228</v>
      </c>
    </row>
    <row r="102" spans="1:2" x14ac:dyDescent="0.55000000000000004">
      <c r="A102" s="5">
        <v>44199.083333333336</v>
      </c>
      <c r="B102" s="3">
        <f>'N1'!AT102+'N2'!AT102+'N3'!AT102+'P2'!AT102+'A2'!AT102+'A3'!AR102</f>
        <v>21.659569634703196</v>
      </c>
    </row>
    <row r="103" spans="1:2" x14ac:dyDescent="0.55000000000000004">
      <c r="A103" s="5">
        <v>44199.104166666664</v>
      </c>
      <c r="B103" s="3">
        <f>'N1'!AT103+'N2'!AT103+'N3'!AT103+'P2'!AT103+'A2'!AT103+'A3'!AR103</f>
        <v>21.846528538812784</v>
      </c>
    </row>
    <row r="104" spans="1:2" x14ac:dyDescent="0.55000000000000004">
      <c r="A104" s="5">
        <v>44199.125</v>
      </c>
      <c r="B104" s="3">
        <f>'N1'!AT104+'N2'!AT104+'N3'!AT104+'P2'!AT104+'A2'!AT104+'A3'!AR104</f>
        <v>72.906298515981717</v>
      </c>
    </row>
    <row r="105" spans="1:2" x14ac:dyDescent="0.55000000000000004">
      <c r="A105" s="5">
        <v>44199.145833333336</v>
      </c>
      <c r="B105" s="3">
        <f>'N1'!AT105+'N2'!AT105+'N3'!AT105+'P2'!AT105+'A2'!AT105+'A3'!AR105</f>
        <v>49.103353310502271</v>
      </c>
    </row>
    <row r="106" spans="1:2" x14ac:dyDescent="0.55000000000000004">
      <c r="A106" s="5">
        <v>44199.166666666664</v>
      </c>
      <c r="B106" s="3">
        <f>'N1'!AT106+'N2'!AT106+'N3'!AT106+'P2'!AT106+'A2'!AT106+'A3'!AR106</f>
        <v>19.069003995433789</v>
      </c>
    </row>
    <row r="107" spans="1:2" x14ac:dyDescent="0.55000000000000004">
      <c r="A107" s="5">
        <v>44199.1875</v>
      </c>
      <c r="B107" s="3">
        <f>'N1'!AT107+'N2'!AT107+'N3'!AT107+'P2'!AT107+'A2'!AT107+'A3'!AR107</f>
        <v>66.265902397260277</v>
      </c>
    </row>
    <row r="108" spans="1:2" x14ac:dyDescent="0.55000000000000004">
      <c r="A108" s="5">
        <v>44199.208333333336</v>
      </c>
      <c r="B108" s="3">
        <f>'N1'!AT108+'N2'!AT108+'N3'!AT108+'P2'!AT108+'A2'!AT108+'A3'!AR108</f>
        <v>21.493255136986299</v>
      </c>
    </row>
    <row r="109" spans="1:2" x14ac:dyDescent="0.55000000000000004">
      <c r="A109" s="5">
        <v>44199.229166666664</v>
      </c>
      <c r="B109" s="3">
        <f>'N1'!AT109+'N2'!AT109+'N3'!AT109+'P2'!AT109+'A2'!AT109+'A3'!AR109</f>
        <v>23.707605593607308</v>
      </c>
    </row>
    <row r="110" spans="1:2" x14ac:dyDescent="0.55000000000000004">
      <c r="A110" s="5">
        <v>44199.25</v>
      </c>
      <c r="B110" s="3">
        <f>'N1'!AT110+'N2'!AT110+'N3'!AT110+'P2'!AT110+'A2'!AT110+'A3'!AR110</f>
        <v>59.95273744292237</v>
      </c>
    </row>
    <row r="111" spans="1:2" x14ac:dyDescent="0.55000000000000004">
      <c r="A111" s="5">
        <v>44199.270833333336</v>
      </c>
      <c r="B111" s="3">
        <f>'N1'!AT111+'N2'!AT111+'N3'!AT111+'P2'!AT111+'A2'!AT111+'A3'!AR111</f>
        <v>20.152473744292237</v>
      </c>
    </row>
    <row r="112" spans="1:2" x14ac:dyDescent="0.55000000000000004">
      <c r="A112" s="5">
        <v>44199.291666666664</v>
      </c>
      <c r="B112" s="3">
        <f>'N1'!AT112+'N2'!AT112+'N3'!AT112+'P2'!AT112+'A2'!AT112+'A3'!AR112</f>
        <v>22.398174657534248</v>
      </c>
    </row>
    <row r="113" spans="1:2" x14ac:dyDescent="0.55000000000000004">
      <c r="A113" s="5">
        <v>44199.3125</v>
      </c>
      <c r="B113" s="3">
        <f>'N1'!AT113+'N2'!AT113+'N3'!AT113+'P2'!AT113+'A2'!AT113+'A3'!AR113</f>
        <v>23.315800228310504</v>
      </c>
    </row>
    <row r="114" spans="1:2" x14ac:dyDescent="0.55000000000000004">
      <c r="A114" s="5">
        <v>44199.333333333336</v>
      </c>
      <c r="B114" s="3">
        <f>'N1'!AT114+'N2'!AT114+'N3'!AT114+'P2'!AT114+'A2'!AT114+'A3'!AR114</f>
        <v>25.353571917808225</v>
      </c>
    </row>
    <row r="115" spans="1:2" x14ac:dyDescent="0.55000000000000004">
      <c r="A115" s="5">
        <v>44199.354166666664</v>
      </c>
      <c r="B115" s="3">
        <f>'N1'!AT115+'N2'!AT115+'N3'!AT115+'P2'!AT115+'A2'!AT115+'A3'!AR115</f>
        <v>23.201968036529678</v>
      </c>
    </row>
    <row r="116" spans="1:2" x14ac:dyDescent="0.55000000000000004">
      <c r="A116" s="5">
        <v>44199.375</v>
      </c>
      <c r="B116" s="3">
        <f>'N1'!AT116+'N2'!AT116+'N3'!AT116+'P2'!AT116+'A2'!AT116+'A3'!AR116</f>
        <v>22.437386415525115</v>
      </c>
    </row>
    <row r="117" spans="1:2" x14ac:dyDescent="0.55000000000000004">
      <c r="A117" s="5">
        <v>44199.395833333336</v>
      </c>
      <c r="B117" s="3">
        <f>'N1'!AT117+'N2'!AT117+'N3'!AT117+'P2'!AT117+'A2'!AT117+'A3'!AR117</f>
        <v>18.182668949771688</v>
      </c>
    </row>
    <row r="118" spans="1:2" x14ac:dyDescent="0.55000000000000004">
      <c r="A118" s="5">
        <v>44199.416666666664</v>
      </c>
      <c r="B118" s="3">
        <f>'N1'!AT118+'N2'!AT118+'N3'!AT118+'P2'!AT118+'A2'!AT118+'A3'!AR118</f>
        <v>17.297714041095894</v>
      </c>
    </row>
    <row r="119" spans="1:2" x14ac:dyDescent="0.55000000000000004">
      <c r="A119" s="5">
        <v>44199.4375</v>
      </c>
      <c r="B119" s="3">
        <f>'N1'!AT119+'N2'!AT119+'N3'!AT119+'P2'!AT119+'A2'!AT119+'A3'!AR119</f>
        <v>23.914102739726026</v>
      </c>
    </row>
    <row r="120" spans="1:2" x14ac:dyDescent="0.55000000000000004">
      <c r="A120" s="5">
        <v>44199.458333333336</v>
      </c>
      <c r="B120" s="3">
        <f>'N1'!AT120+'N2'!AT120+'N3'!AT120+'P2'!AT120+'A2'!AT120+'A3'!AR120</f>
        <v>25.425284817351603</v>
      </c>
    </row>
    <row r="121" spans="1:2" x14ac:dyDescent="0.55000000000000004">
      <c r="A121" s="5">
        <v>44199.479166666664</v>
      </c>
      <c r="B121" s="3">
        <f>'N1'!AT121+'N2'!AT121+'N3'!AT121+'P2'!AT121+'A2'!AT121+'A3'!AR121</f>
        <v>23.128109018264841</v>
      </c>
    </row>
    <row r="122" spans="1:2" x14ac:dyDescent="0.55000000000000004">
      <c r="A122" s="5">
        <v>44199.5</v>
      </c>
      <c r="B122" s="3">
        <f>'N1'!AT122+'N2'!AT122+'N3'!AT122+'P2'!AT122+'A2'!AT122+'A3'!AR122</f>
        <v>8.046706050228309</v>
      </c>
    </row>
    <row r="123" spans="1:2" x14ac:dyDescent="0.55000000000000004">
      <c r="A123" s="5">
        <v>44199.520833333336</v>
      </c>
      <c r="B123" s="3">
        <f>'N1'!AT123+'N2'!AT123+'N3'!AT123+'P2'!AT123+'A2'!AT123+'A3'!AR123</f>
        <v>17.826751141552514</v>
      </c>
    </row>
    <row r="124" spans="1:2" x14ac:dyDescent="0.55000000000000004">
      <c r="A124" s="5">
        <v>44199.541666666664</v>
      </c>
      <c r="B124" s="3">
        <f>'N1'!AT124+'N2'!AT124+'N3'!AT124+'P2'!AT124+'A2'!AT124+'A3'!AR124</f>
        <v>18.900693493150683</v>
      </c>
    </row>
    <row r="125" spans="1:2" x14ac:dyDescent="0.55000000000000004">
      <c r="A125" s="5">
        <v>44199.5625</v>
      </c>
      <c r="B125" s="3">
        <f>'N1'!AT125+'N2'!AT125+'N3'!AT125+'P2'!AT125+'A2'!AT125+'A3'!AR125</f>
        <v>17.419404680365297</v>
      </c>
    </row>
    <row r="126" spans="1:2" x14ac:dyDescent="0.55000000000000004">
      <c r="A126" s="5">
        <v>44199.583333333336</v>
      </c>
      <c r="B126" s="3">
        <f>'N1'!AT126+'N2'!AT126+'N3'!AT126+'P2'!AT126+'A2'!AT126+'A3'!AR126</f>
        <v>8.0022180365296816</v>
      </c>
    </row>
    <row r="127" spans="1:2" x14ac:dyDescent="0.55000000000000004">
      <c r="A127" s="5">
        <v>44199.604166666664</v>
      </c>
      <c r="B127" s="3">
        <f>'N1'!AT127+'N2'!AT127+'N3'!AT127+'P2'!AT127+'A2'!AT127+'A3'!AR127</f>
        <v>21.76351712328767</v>
      </c>
    </row>
    <row r="128" spans="1:2" x14ac:dyDescent="0.55000000000000004">
      <c r="A128" s="5">
        <v>44199.625</v>
      </c>
      <c r="B128" s="3">
        <f>'N1'!AT128+'N2'!AT128+'N3'!AT128+'P2'!AT128+'A2'!AT128+'A3'!AR128</f>
        <v>17.559875000000002</v>
      </c>
    </row>
    <row r="129" spans="1:2" x14ac:dyDescent="0.55000000000000004">
      <c r="A129" s="5">
        <v>44199.645833333336</v>
      </c>
      <c r="B129" s="3">
        <f>'N1'!AT129+'N2'!AT129+'N3'!AT129+'P2'!AT129+'A2'!AT129+'A3'!AR129</f>
        <v>16.536580479452056</v>
      </c>
    </row>
    <row r="130" spans="1:2" x14ac:dyDescent="0.55000000000000004">
      <c r="A130" s="5">
        <v>44199.666666666664</v>
      </c>
      <c r="B130" s="3">
        <f>'N1'!AT130+'N2'!AT130+'N3'!AT130+'P2'!AT130+'A2'!AT130+'A3'!AR130</f>
        <v>44.951886415525124</v>
      </c>
    </row>
    <row r="131" spans="1:2" x14ac:dyDescent="0.55000000000000004">
      <c r="A131" s="5">
        <v>44199.6875</v>
      </c>
      <c r="B131" s="3">
        <f>'N1'!AT131+'N2'!AT131+'N3'!AT131+'P2'!AT131+'A2'!AT131+'A3'!AR131</f>
        <v>21.951506278538815</v>
      </c>
    </row>
    <row r="132" spans="1:2" x14ac:dyDescent="0.55000000000000004">
      <c r="A132" s="5">
        <v>44199.708333333336</v>
      </c>
      <c r="B132" s="3">
        <f>'N1'!AT132+'N2'!AT132+'N3'!AT132+'P2'!AT132+'A2'!AT132+'A3'!AR132</f>
        <v>41.866920091324197</v>
      </c>
    </row>
    <row r="133" spans="1:2" x14ac:dyDescent="0.55000000000000004">
      <c r="A133" s="5">
        <v>44199.729166666664</v>
      </c>
      <c r="B133" s="3">
        <f>'N1'!AT133+'N2'!AT133+'N3'!AT133+'P2'!AT133+'A2'!AT133+'A3'!AR133</f>
        <v>41.847979452054787</v>
      </c>
    </row>
    <row r="134" spans="1:2" x14ac:dyDescent="0.55000000000000004">
      <c r="A134" s="5">
        <v>44199.75</v>
      </c>
      <c r="B134" s="3">
        <f>'N1'!AT134+'N2'!AT134+'N3'!AT134+'P2'!AT134+'A2'!AT134+'A3'!AR134</f>
        <v>16.176750000000002</v>
      </c>
    </row>
    <row r="135" spans="1:2" x14ac:dyDescent="0.55000000000000004">
      <c r="A135" s="5">
        <v>44199.770833333336</v>
      </c>
      <c r="B135" s="3">
        <f>'N1'!AT135+'N2'!AT135+'N3'!AT135+'P2'!AT135+'A2'!AT135+'A3'!AR135</f>
        <v>21.510462899543377</v>
      </c>
    </row>
    <row r="136" spans="1:2" x14ac:dyDescent="0.55000000000000004">
      <c r="A136" s="5">
        <v>44199.791666666664</v>
      </c>
      <c r="B136" s="3">
        <f>'N1'!AT136+'N2'!AT136+'N3'!AT136+'P2'!AT136+'A2'!AT136+'A3'!AR136</f>
        <v>22.53576598173516</v>
      </c>
    </row>
    <row r="137" spans="1:2" x14ac:dyDescent="0.55000000000000004">
      <c r="A137" s="5">
        <v>44199.8125</v>
      </c>
      <c r="B137" s="3">
        <f>'N1'!AT137+'N2'!AT137+'N3'!AT137+'P2'!AT137+'A2'!AT137+'A3'!AR137</f>
        <v>20.295160388127854</v>
      </c>
    </row>
    <row r="138" spans="1:2" x14ac:dyDescent="0.55000000000000004">
      <c r="A138" s="5">
        <v>44199.833333333336</v>
      </c>
      <c r="B138" s="3">
        <f>'N1'!AT138+'N2'!AT138+'N3'!AT138+'P2'!AT138+'A2'!AT138+'A3'!AR138</f>
        <v>29.500356164383561</v>
      </c>
    </row>
    <row r="139" spans="1:2" x14ac:dyDescent="0.55000000000000004">
      <c r="A139" s="5">
        <v>44199.854166666664</v>
      </c>
      <c r="B139" s="3">
        <f>'N1'!AT139+'N2'!AT139+'N3'!AT139+'P2'!AT139+'A2'!AT139+'A3'!AR139</f>
        <v>40.560404680365295</v>
      </c>
    </row>
    <row r="140" spans="1:2" x14ac:dyDescent="0.55000000000000004">
      <c r="A140" s="5">
        <v>44199.875</v>
      </c>
      <c r="B140" s="3">
        <f>'N1'!AT140+'N2'!AT140+'N3'!AT140+'P2'!AT140+'A2'!AT140+'A3'!AR140</f>
        <v>40.986548515981738</v>
      </c>
    </row>
    <row r="141" spans="1:2" x14ac:dyDescent="0.55000000000000004">
      <c r="A141" s="5">
        <v>44199.895833333336</v>
      </c>
      <c r="B141" s="3">
        <f>'N1'!AT141+'N2'!AT141+'N3'!AT141+'P2'!AT141+'A2'!AT141+'A3'!AR141</f>
        <v>41.256658105022829</v>
      </c>
    </row>
    <row r="142" spans="1:2" x14ac:dyDescent="0.55000000000000004">
      <c r="A142" s="5">
        <v>44199.916666666664</v>
      </c>
      <c r="B142" s="3">
        <f>'N1'!AT142+'N2'!AT142+'N3'!AT142+'P2'!AT142+'A2'!AT142+'A3'!AR142</f>
        <v>37.102482305936071</v>
      </c>
    </row>
    <row r="143" spans="1:2" x14ac:dyDescent="0.55000000000000004">
      <c r="A143" s="5">
        <v>44199.9375</v>
      </c>
      <c r="B143" s="3">
        <f>'N1'!AT143+'N2'!AT143+'N3'!AT143+'P2'!AT143+'A2'!AT143+'A3'!AR143</f>
        <v>30.206111301369862</v>
      </c>
    </row>
    <row r="144" spans="1:2" x14ac:dyDescent="0.55000000000000004">
      <c r="A144" s="5">
        <v>44199.958333333336</v>
      </c>
      <c r="B144" s="3">
        <f>'N1'!AT144+'N2'!AT144+'N3'!AT144+'P2'!AT144+'A2'!AT144+'A3'!AR144</f>
        <v>37.721390981735155</v>
      </c>
    </row>
    <row r="145" spans="1:2" x14ac:dyDescent="0.55000000000000004">
      <c r="A145" s="5">
        <v>44199.979166666664</v>
      </c>
      <c r="B145" s="3">
        <f>'N1'!AT145+'N2'!AT145+'N3'!AT145+'P2'!AT145+'A2'!AT145+'A3'!AR145</f>
        <v>22.434686643835615</v>
      </c>
    </row>
    <row r="146" spans="1:2" x14ac:dyDescent="0.55000000000000004">
      <c r="A146" s="5">
        <v>44200</v>
      </c>
      <c r="B146" s="3">
        <f>'N1'!AT146+'N2'!AT146+'N3'!AT146+'P2'!AT146+'A2'!AT146+'A3'!AR146</f>
        <v>38.617022831050228</v>
      </c>
    </row>
    <row r="147" spans="1:2" x14ac:dyDescent="0.55000000000000004">
      <c r="A147" s="5">
        <v>44200.020833333336</v>
      </c>
      <c r="B147" s="3">
        <f>'N1'!AT147+'N2'!AT147+'N3'!AT147+'P2'!AT147+'A2'!AT147+'A3'!AR147</f>
        <v>32.816853310502282</v>
      </c>
    </row>
    <row r="148" spans="1:2" x14ac:dyDescent="0.55000000000000004">
      <c r="A148" s="5">
        <v>44200.041666666664</v>
      </c>
      <c r="B148" s="3">
        <f>'N1'!AT148+'N2'!AT148+'N3'!AT148+'P2'!AT148+'A2'!AT148+'A3'!AR148</f>
        <v>25.301450913242007</v>
      </c>
    </row>
    <row r="149" spans="1:2" x14ac:dyDescent="0.55000000000000004">
      <c r="A149" s="5">
        <v>44200.0625</v>
      </c>
      <c r="B149" s="3">
        <f>'N1'!AT149+'N2'!AT149+'N3'!AT149+'P2'!AT149+'A2'!AT149+'A3'!AR149</f>
        <v>30.762158675799089</v>
      </c>
    </row>
    <row r="150" spans="1:2" x14ac:dyDescent="0.55000000000000004">
      <c r="A150" s="5">
        <v>44200.083333333336</v>
      </c>
      <c r="B150" s="3">
        <f>'N1'!AT150+'N2'!AT150+'N3'!AT150+'P2'!AT150+'A2'!AT150+'A3'!AR150</f>
        <v>29.489022260273977</v>
      </c>
    </row>
    <row r="151" spans="1:2" x14ac:dyDescent="0.55000000000000004">
      <c r="A151" s="5">
        <v>44200.104166666664</v>
      </c>
      <c r="B151" s="3">
        <f>'N1'!AT151+'N2'!AT151+'N3'!AT151+'P2'!AT151+'A2'!AT151+'A3'!AR151</f>
        <v>27.714078196347032</v>
      </c>
    </row>
    <row r="152" spans="1:2" x14ac:dyDescent="0.55000000000000004">
      <c r="A152" s="5">
        <v>44200.125</v>
      </c>
      <c r="B152" s="3">
        <f>'N1'!AT152+'N2'!AT152+'N3'!AT152+'P2'!AT152+'A2'!AT152+'A3'!AR152</f>
        <v>34.15348515981735</v>
      </c>
    </row>
    <row r="153" spans="1:2" x14ac:dyDescent="0.55000000000000004">
      <c r="A153" s="5">
        <v>44200.145833333336</v>
      </c>
      <c r="B153" s="3">
        <f>'N1'!AT153+'N2'!AT153+'N3'!AT153+'P2'!AT153+'A2'!AT153+'A3'!AR153</f>
        <v>43.069965182648403</v>
      </c>
    </row>
    <row r="154" spans="1:2" x14ac:dyDescent="0.55000000000000004">
      <c r="A154" s="5">
        <v>44200.166666666664</v>
      </c>
      <c r="B154" s="3">
        <f>'N1'!AT154+'N2'!AT154+'N3'!AT154+'P2'!AT154+'A2'!AT154+'A3'!AR154</f>
        <v>30.476749429223748</v>
      </c>
    </row>
    <row r="155" spans="1:2" x14ac:dyDescent="0.55000000000000004">
      <c r="A155" s="5">
        <v>44200.1875</v>
      </c>
      <c r="B155" s="3">
        <f>'N1'!AT155+'N2'!AT155+'N3'!AT155+'P2'!AT155+'A2'!AT155+'A3'!AR155</f>
        <v>31.018575913242007</v>
      </c>
    </row>
    <row r="156" spans="1:2" x14ac:dyDescent="0.55000000000000004">
      <c r="A156" s="5">
        <v>44200.208333333336</v>
      </c>
      <c r="B156" s="3">
        <f>'N1'!AT156+'N2'!AT156+'N3'!AT156+'P2'!AT156+'A2'!AT156+'A3'!AR156</f>
        <v>27.279705479452055</v>
      </c>
    </row>
    <row r="157" spans="1:2" x14ac:dyDescent="0.55000000000000004">
      <c r="A157" s="5">
        <v>44200.229166666664</v>
      </c>
      <c r="B157" s="3">
        <f>'N1'!AT157+'N2'!AT157+'N3'!AT157+'P2'!AT157+'A2'!AT157+'A3'!AR157</f>
        <v>29.434495433789955</v>
      </c>
    </row>
    <row r="158" spans="1:2" x14ac:dyDescent="0.55000000000000004">
      <c r="A158" s="5">
        <v>44200.25</v>
      </c>
      <c r="B158" s="3">
        <f>'N1'!AT158+'N2'!AT158+'N3'!AT158+'P2'!AT158+'A2'!AT158+'A3'!AR158</f>
        <v>50.538347602739734</v>
      </c>
    </row>
    <row r="159" spans="1:2" x14ac:dyDescent="0.55000000000000004">
      <c r="A159" s="5">
        <v>44200.270833333336</v>
      </c>
      <c r="B159" s="3">
        <f>'N1'!AT159+'N2'!AT159+'N3'!AT159+'P2'!AT159+'A2'!AT159+'A3'!AR159</f>
        <v>27.574418378995436</v>
      </c>
    </row>
    <row r="160" spans="1:2" x14ac:dyDescent="0.55000000000000004">
      <c r="A160" s="5">
        <v>44200.291666666664</v>
      </c>
      <c r="B160" s="3">
        <f>'N1'!AT160+'N2'!AT160+'N3'!AT160+'P2'!AT160+'A2'!AT160+'A3'!AR160</f>
        <v>29.05529223744292</v>
      </c>
    </row>
    <row r="161" spans="1:2" x14ac:dyDescent="0.55000000000000004">
      <c r="A161" s="5">
        <v>44200.3125</v>
      </c>
      <c r="B161" s="3">
        <f>'N1'!AT161+'N2'!AT161+'N3'!AT161+'P2'!AT161+'A2'!AT161+'A3'!AR161</f>
        <v>53.748498287671225</v>
      </c>
    </row>
    <row r="162" spans="1:2" x14ac:dyDescent="0.55000000000000004">
      <c r="A162" s="5">
        <v>44200.333333333336</v>
      </c>
      <c r="B162" s="3">
        <f>'N1'!AT162+'N2'!AT162+'N3'!AT162+'P2'!AT162+'A2'!AT162+'A3'!AR162</f>
        <v>16.233134132420094</v>
      </c>
    </row>
    <row r="163" spans="1:2" x14ac:dyDescent="0.55000000000000004">
      <c r="A163" s="5">
        <v>44200.354166666664</v>
      </c>
      <c r="B163" s="3">
        <f>'N1'!AT163+'N2'!AT163+'N3'!AT163+'P2'!AT163+'A2'!AT163+'A3'!AR163</f>
        <v>20.855275684931506</v>
      </c>
    </row>
    <row r="164" spans="1:2" x14ac:dyDescent="0.55000000000000004">
      <c r="A164" s="5">
        <v>44200.375</v>
      </c>
      <c r="B164" s="3">
        <f>'N1'!AT164+'N2'!AT164+'N3'!AT164+'P2'!AT164+'A2'!AT164+'A3'!AR164</f>
        <v>30.977265981735158</v>
      </c>
    </row>
    <row r="165" spans="1:2" x14ac:dyDescent="0.55000000000000004">
      <c r="A165" s="5">
        <v>44200.395833333336</v>
      </c>
      <c r="B165" s="3">
        <f>'N1'!AT165+'N2'!AT165+'N3'!AT165+'P2'!AT165+'A2'!AT165+'A3'!AR165</f>
        <v>14.755457191780824</v>
      </c>
    </row>
    <row r="166" spans="1:2" x14ac:dyDescent="0.55000000000000004">
      <c r="A166" s="5">
        <v>44200.416666666664</v>
      </c>
      <c r="B166" s="3">
        <f>'N1'!AT166+'N2'!AT166+'N3'!AT166+'P2'!AT166+'A2'!AT166+'A3'!AR166</f>
        <v>39.756144406392693</v>
      </c>
    </row>
    <row r="167" spans="1:2" x14ac:dyDescent="0.55000000000000004">
      <c r="A167" s="5">
        <v>44200.4375</v>
      </c>
      <c r="B167" s="3">
        <f>'N1'!AT167+'N2'!AT167+'N3'!AT167+'P2'!AT167+'A2'!AT167+'A3'!AR167</f>
        <v>10.390284817351599</v>
      </c>
    </row>
    <row r="168" spans="1:2" x14ac:dyDescent="0.55000000000000004">
      <c r="A168" s="5">
        <v>44200.458333333336</v>
      </c>
      <c r="B168" s="3">
        <f>'N1'!AT168+'N2'!AT168+'N3'!AT168+'P2'!AT168+'A2'!AT168+'A3'!AR168</f>
        <v>22.427804794520547</v>
      </c>
    </row>
    <row r="169" spans="1:2" x14ac:dyDescent="0.55000000000000004">
      <c r="A169" s="5">
        <v>44200.479166666664</v>
      </c>
      <c r="B169" s="3">
        <f>'N1'!AT169+'N2'!AT169+'N3'!AT169+'P2'!AT169+'A2'!AT169+'A3'!AR169</f>
        <v>34.327139840182646</v>
      </c>
    </row>
    <row r="170" spans="1:2" x14ac:dyDescent="0.55000000000000004">
      <c r="A170" s="5">
        <v>44200.5</v>
      </c>
      <c r="B170" s="3">
        <f>'N1'!AT170+'N2'!AT170+'N3'!AT170+'P2'!AT170+'A2'!AT170+'A3'!AR170</f>
        <v>41.615742009132418</v>
      </c>
    </row>
    <row r="171" spans="1:2" x14ac:dyDescent="0.55000000000000004">
      <c r="A171" s="5">
        <v>44200.520833333336</v>
      </c>
      <c r="B171" s="3">
        <f>'N1'!AT171+'N2'!AT171+'N3'!AT171+'P2'!AT171+'A2'!AT171+'A3'!AR171</f>
        <v>24.560332191780827</v>
      </c>
    </row>
    <row r="172" spans="1:2" x14ac:dyDescent="0.55000000000000004">
      <c r="A172" s="5">
        <v>44200.541666666664</v>
      </c>
      <c r="B172" s="3">
        <f>'N1'!AT172+'N2'!AT172+'N3'!AT172+'P2'!AT172+'A2'!AT172+'A3'!AR172</f>
        <v>19.766273401826481</v>
      </c>
    </row>
    <row r="173" spans="1:2" x14ac:dyDescent="0.55000000000000004">
      <c r="A173" s="5">
        <v>44200.5625</v>
      </c>
      <c r="B173" s="3">
        <f>'N1'!AT173+'N2'!AT173+'N3'!AT173+'P2'!AT173+'A2'!AT173+'A3'!AR173</f>
        <v>21.827053652968036</v>
      </c>
    </row>
    <row r="174" spans="1:2" x14ac:dyDescent="0.55000000000000004">
      <c r="A174" s="5">
        <v>44200.583333333336</v>
      </c>
      <c r="B174" s="3">
        <f>'N1'!AT174+'N2'!AT174+'N3'!AT174+'P2'!AT174+'A2'!AT174+'A3'!AR174</f>
        <v>22.093035958904107</v>
      </c>
    </row>
    <row r="175" spans="1:2" x14ac:dyDescent="0.55000000000000004">
      <c r="A175" s="5">
        <v>44200.604166666664</v>
      </c>
      <c r="B175" s="3">
        <f>'N1'!AT175+'N2'!AT175+'N3'!AT175+'P2'!AT175+'A2'!AT175+'A3'!AR175</f>
        <v>20.705718036529685</v>
      </c>
    </row>
    <row r="176" spans="1:2" x14ac:dyDescent="0.55000000000000004">
      <c r="A176" s="5">
        <v>44200.625</v>
      </c>
      <c r="B176" s="3">
        <f>'N1'!AT176+'N2'!AT176+'N3'!AT176+'P2'!AT176+'A2'!AT176+'A3'!AR176</f>
        <v>23.054655821917809</v>
      </c>
    </row>
    <row r="177" spans="1:2" x14ac:dyDescent="0.55000000000000004">
      <c r="A177" s="5">
        <v>44200.645833333336</v>
      </c>
      <c r="B177" s="3">
        <f>'N1'!AT177+'N2'!AT177+'N3'!AT177+'P2'!AT177+'A2'!AT177+'A3'!AR177</f>
        <v>20.066028538812787</v>
      </c>
    </row>
    <row r="178" spans="1:2" x14ac:dyDescent="0.55000000000000004">
      <c r="A178" s="5">
        <v>44200.666666666664</v>
      </c>
      <c r="B178" s="3">
        <f>'N1'!AT178+'N2'!AT178+'N3'!AT178+'P2'!AT178+'A2'!AT178+'A3'!AR178</f>
        <v>21.266373858447487</v>
      </c>
    </row>
    <row r="179" spans="1:2" x14ac:dyDescent="0.55000000000000004">
      <c r="A179" s="5">
        <v>44200.6875</v>
      </c>
      <c r="B179" s="3">
        <f>'N1'!AT179+'N2'!AT179+'N3'!AT179+'P2'!AT179+'A2'!AT179+'A3'!AR179</f>
        <v>23.964336187214609</v>
      </c>
    </row>
    <row r="180" spans="1:2" x14ac:dyDescent="0.55000000000000004">
      <c r="A180" s="5">
        <v>44200.708333333336</v>
      </c>
      <c r="B180" s="3">
        <f>'N1'!AT180+'N2'!AT180+'N3'!AT180+'P2'!AT180+'A2'!AT180+'A3'!AR180</f>
        <v>24.201023972602734</v>
      </c>
    </row>
    <row r="181" spans="1:2" x14ac:dyDescent="0.55000000000000004">
      <c r="A181" s="5">
        <v>44200.729166666664</v>
      </c>
      <c r="B181" s="3">
        <f>'N1'!AT181+'N2'!AT181+'N3'!AT181+'P2'!AT181+'A2'!AT181+'A3'!AR181</f>
        <v>20.668486872146119</v>
      </c>
    </row>
    <row r="182" spans="1:2" x14ac:dyDescent="0.55000000000000004">
      <c r="A182" s="5">
        <v>44200.75</v>
      </c>
      <c r="B182" s="3">
        <f>'N1'!AT182+'N2'!AT182+'N3'!AT182+'P2'!AT182+'A2'!AT182+'A3'!AR182</f>
        <v>12.890998287671234</v>
      </c>
    </row>
    <row r="183" spans="1:2" x14ac:dyDescent="0.55000000000000004">
      <c r="A183" s="5">
        <v>44200.770833333336</v>
      </c>
      <c r="B183" s="3">
        <f>'N1'!AT183+'N2'!AT183+'N3'!AT183+'P2'!AT183+'A2'!AT183+'A3'!AR183</f>
        <v>33.917377853881277</v>
      </c>
    </row>
    <row r="184" spans="1:2" x14ac:dyDescent="0.55000000000000004">
      <c r="A184" s="5">
        <v>44200.791666666664</v>
      </c>
      <c r="B184" s="3">
        <f>'N1'!AT184+'N2'!AT184+'N3'!AT184+'P2'!AT184+'A2'!AT184+'A3'!AR184</f>
        <v>30.360825342465752</v>
      </c>
    </row>
    <row r="185" spans="1:2" x14ac:dyDescent="0.55000000000000004">
      <c r="A185" s="5">
        <v>44200.8125</v>
      </c>
      <c r="B185" s="3">
        <f>'N1'!AT185+'N2'!AT185+'N3'!AT185+'P2'!AT185+'A2'!AT185+'A3'!AR185</f>
        <v>32.068957762557076</v>
      </c>
    </row>
    <row r="186" spans="1:2" x14ac:dyDescent="0.55000000000000004">
      <c r="A186" s="5">
        <v>44200.833333333336</v>
      </c>
      <c r="B186" s="3">
        <f>'N1'!AT186+'N2'!AT186+'N3'!AT186+'P2'!AT186+'A2'!AT186+'A3'!AR186</f>
        <v>17.26062614155251</v>
      </c>
    </row>
    <row r="187" spans="1:2" x14ac:dyDescent="0.55000000000000004">
      <c r="A187" s="5">
        <v>44200.854166666664</v>
      </c>
      <c r="B187" s="3">
        <f>'N1'!AT187+'N2'!AT187+'N3'!AT187+'P2'!AT187+'A2'!AT187+'A3'!AR187</f>
        <v>17.518157534246576</v>
      </c>
    </row>
    <row r="188" spans="1:2" x14ac:dyDescent="0.55000000000000004">
      <c r="A188" s="5">
        <v>44200.875</v>
      </c>
      <c r="B188" s="3">
        <f>'N1'!AT188+'N2'!AT188+'N3'!AT188+'P2'!AT188+'A2'!AT188+'A3'!AR188</f>
        <v>13.229309360730596</v>
      </c>
    </row>
    <row r="189" spans="1:2" x14ac:dyDescent="0.55000000000000004">
      <c r="A189" s="5">
        <v>44200.895833333336</v>
      </c>
      <c r="B189" s="3">
        <f>'N1'!AT189+'N2'!AT189+'N3'!AT189+'P2'!AT189+'A2'!AT189+'A3'!AR189</f>
        <v>13.542631849315066</v>
      </c>
    </row>
    <row r="190" spans="1:2" x14ac:dyDescent="0.55000000000000004">
      <c r="A190" s="5">
        <v>44200.916666666664</v>
      </c>
      <c r="B190" s="3">
        <f>'N1'!AT190+'N2'!AT190+'N3'!AT190+'P2'!AT190+'A2'!AT190+'A3'!AR190</f>
        <v>28.612304794520544</v>
      </c>
    </row>
    <row r="191" spans="1:2" x14ac:dyDescent="0.55000000000000004">
      <c r="A191" s="5">
        <v>44200.9375</v>
      </c>
      <c r="B191" s="3">
        <f>'N1'!AT191+'N2'!AT191+'N3'!AT191+'P2'!AT191+'A2'!AT191+'A3'!AR191</f>
        <v>8.3372425799086791</v>
      </c>
    </row>
    <row r="192" spans="1:2" x14ac:dyDescent="0.55000000000000004">
      <c r="A192" s="5">
        <v>44200.958333333336</v>
      </c>
      <c r="B192" s="3">
        <f>'N1'!AT192+'N2'!AT192+'N3'!AT192+'P2'!AT192+'A2'!AT192+'A3'!AR192</f>
        <v>20.483536529680361</v>
      </c>
    </row>
    <row r="193" spans="1:2" x14ac:dyDescent="0.55000000000000004">
      <c r="A193" s="5">
        <v>44200.979166666664</v>
      </c>
      <c r="B193" s="3">
        <f>'N1'!AT193+'N2'!AT193+'N3'!AT193+'P2'!AT193+'A2'!AT193+'A3'!AR193</f>
        <v>33.341497146118726</v>
      </c>
    </row>
    <row r="194" spans="1:2" x14ac:dyDescent="0.55000000000000004">
      <c r="A194" s="5">
        <v>44201</v>
      </c>
      <c r="B194" s="3">
        <f>'N1'!AT194+'N2'!AT194+'N3'!AT194+'P2'!AT194+'A2'!AT194+'A3'!AR194</f>
        <v>16.025475456621002</v>
      </c>
    </row>
    <row r="195" spans="1:2" x14ac:dyDescent="0.55000000000000004">
      <c r="A195" s="5">
        <v>44201.020833333336</v>
      </c>
      <c r="B195" s="3">
        <f>'N1'!AT195+'N2'!AT195+'N3'!AT195+'P2'!AT195+'A2'!AT195+'A3'!AR195</f>
        <v>29.175929223744291</v>
      </c>
    </row>
    <row r="196" spans="1:2" x14ac:dyDescent="0.55000000000000004">
      <c r="A196" s="5">
        <v>44201.041666666664</v>
      </c>
      <c r="B196" s="3">
        <f>'N1'!AT196+'N2'!AT196+'N3'!AT196+'P2'!AT196+'A2'!AT196+'A3'!AR196</f>
        <v>9.1240017123287682</v>
      </c>
    </row>
    <row r="197" spans="1:2" x14ac:dyDescent="0.55000000000000004">
      <c r="A197" s="5">
        <v>44201.0625</v>
      </c>
      <c r="B197" s="3">
        <f>'N1'!AT197+'N2'!AT197+'N3'!AT197+'P2'!AT197+'A2'!AT197+'A3'!AR197</f>
        <v>15.26733219178082</v>
      </c>
    </row>
    <row r="198" spans="1:2" x14ac:dyDescent="0.55000000000000004">
      <c r="A198" s="5">
        <v>44201.083333333336</v>
      </c>
      <c r="B198" s="3">
        <f>'N1'!AT198+'N2'!AT198+'N3'!AT198+'P2'!AT198+'A2'!AT198+'A3'!AR198</f>
        <v>13.534536529680363</v>
      </c>
    </row>
    <row r="199" spans="1:2" x14ac:dyDescent="0.55000000000000004">
      <c r="A199" s="5">
        <v>44201.104166666664</v>
      </c>
      <c r="B199" s="3">
        <f>'N1'!AT199+'N2'!AT199+'N3'!AT199+'P2'!AT199+'A2'!AT199+'A3'!AR199</f>
        <v>26.96422203196347</v>
      </c>
    </row>
    <row r="200" spans="1:2" x14ac:dyDescent="0.55000000000000004">
      <c r="A200" s="5">
        <v>44201.125</v>
      </c>
      <c r="B200" s="3">
        <f>'N1'!AT200+'N2'!AT200+'N3'!AT200+'P2'!AT200+'A2'!AT200+'A3'!AR200</f>
        <v>13.693168949771687</v>
      </c>
    </row>
    <row r="201" spans="1:2" x14ac:dyDescent="0.55000000000000004">
      <c r="A201" s="5">
        <v>44201.145833333336</v>
      </c>
      <c r="B201" s="3">
        <f>'N1'!AT201+'N2'!AT201+'N3'!AT201+'P2'!AT201+'A2'!AT201+'A3'!AR201</f>
        <v>34.129353881278533</v>
      </c>
    </row>
    <row r="202" spans="1:2" x14ac:dyDescent="0.55000000000000004">
      <c r="A202" s="5">
        <v>44201.166666666664</v>
      </c>
      <c r="B202" s="3">
        <f>'N1'!AT202+'N2'!AT202+'N3'!AT202+'P2'!AT202+'A2'!AT202+'A3'!AR202</f>
        <v>21.059106735159812</v>
      </c>
    </row>
    <row r="203" spans="1:2" x14ac:dyDescent="0.55000000000000004">
      <c r="A203" s="5">
        <v>44201.1875</v>
      </c>
      <c r="B203" s="3">
        <f>'N1'!AT203+'N2'!AT203+'N3'!AT203+'P2'!AT203+'A2'!AT203+'A3'!AR203</f>
        <v>28.559557077625573</v>
      </c>
    </row>
    <row r="204" spans="1:2" x14ac:dyDescent="0.55000000000000004">
      <c r="A204" s="5">
        <v>44201.208333333336</v>
      </c>
      <c r="B204" s="3">
        <f>'N1'!AT204+'N2'!AT204+'N3'!AT204+'P2'!AT204+'A2'!AT204+'A3'!AR204</f>
        <v>32.058357876712321</v>
      </c>
    </row>
    <row r="205" spans="1:2" x14ac:dyDescent="0.55000000000000004">
      <c r="A205" s="5">
        <v>44201.229166666664</v>
      </c>
      <c r="B205" s="3">
        <f>'N1'!AT205+'N2'!AT205+'N3'!AT205+'P2'!AT205+'A2'!AT205+'A3'!AR205</f>
        <v>9.5124514840182677</v>
      </c>
    </row>
    <row r="206" spans="1:2" x14ac:dyDescent="0.55000000000000004">
      <c r="A206" s="5">
        <v>44201.25</v>
      </c>
      <c r="B206" s="3">
        <f>'N1'!AT206+'N2'!AT206+'N3'!AT206+'P2'!AT206+'A2'!AT206+'A3'!AR206</f>
        <v>15.127658675799083</v>
      </c>
    </row>
    <row r="207" spans="1:2" x14ac:dyDescent="0.55000000000000004">
      <c r="A207" s="5">
        <v>44201.270833333336</v>
      </c>
      <c r="B207" s="3">
        <f>'N1'!AT207+'N2'!AT207+'N3'!AT207+'P2'!AT207+'A2'!AT207+'A3'!AR207</f>
        <v>23.63786815068493</v>
      </c>
    </row>
    <row r="208" spans="1:2" x14ac:dyDescent="0.55000000000000004">
      <c r="A208" s="5">
        <v>44201.291666666664</v>
      </c>
      <c r="B208" s="3">
        <f>'N1'!AT208+'N2'!AT208+'N3'!AT208+'P2'!AT208+'A2'!AT208+'A3'!AR208</f>
        <v>34.956577054794515</v>
      </c>
    </row>
    <row r="209" spans="1:2" x14ac:dyDescent="0.55000000000000004">
      <c r="A209" s="5">
        <v>44201.3125</v>
      </c>
      <c r="B209" s="3">
        <f>'N1'!AT209+'N2'!AT209+'N3'!AT209+'P2'!AT209+'A2'!AT209+'A3'!AR209</f>
        <v>15.170176940639269</v>
      </c>
    </row>
    <row r="210" spans="1:2" x14ac:dyDescent="0.55000000000000004">
      <c r="A210" s="5">
        <v>44201.333333333336</v>
      </c>
      <c r="B210" s="3">
        <f>'N1'!AT210+'N2'!AT210+'N3'!AT210+'P2'!AT210+'A2'!AT210+'A3'!AR210</f>
        <v>37.190188926940642</v>
      </c>
    </row>
    <row r="211" spans="1:2" x14ac:dyDescent="0.55000000000000004">
      <c r="A211" s="5">
        <v>44201.354166666664</v>
      </c>
      <c r="B211" s="3">
        <f>'N1'!AT211+'N2'!AT211+'N3'!AT211+'P2'!AT211+'A2'!AT211+'A3'!AR211</f>
        <v>22.684828767123285</v>
      </c>
    </row>
    <row r="212" spans="1:2" x14ac:dyDescent="0.55000000000000004">
      <c r="A212" s="5">
        <v>44201.375</v>
      </c>
      <c r="B212" s="3">
        <f>'N1'!AT212+'N2'!AT212+'N3'!AT212+'P2'!AT212+'A2'!AT212+'A3'!AR212</f>
        <v>30.375295662100456</v>
      </c>
    </row>
    <row r="213" spans="1:2" x14ac:dyDescent="0.55000000000000004">
      <c r="A213" s="5">
        <v>44201.395833333336</v>
      </c>
      <c r="B213" s="3">
        <f>'N1'!AT213+'N2'!AT213+'N3'!AT213+'P2'!AT213+'A2'!AT213+'A3'!AR213</f>
        <v>20.116985730593608</v>
      </c>
    </row>
    <row r="214" spans="1:2" x14ac:dyDescent="0.55000000000000004">
      <c r="A214" s="5">
        <v>44201.416666666664</v>
      </c>
      <c r="B214" s="3">
        <f>'N1'!AT214+'N2'!AT214+'N3'!AT214+'P2'!AT214+'A2'!AT214+'A3'!AR214</f>
        <v>27.442103310502279</v>
      </c>
    </row>
    <row r="215" spans="1:2" x14ac:dyDescent="0.55000000000000004">
      <c r="A215" s="5">
        <v>44201.4375</v>
      </c>
      <c r="B215" s="3">
        <f>'N1'!AT215+'N2'!AT215+'N3'!AT215+'P2'!AT215+'A2'!AT215+'A3'!AR215</f>
        <v>30.613399543378989</v>
      </c>
    </row>
    <row r="216" spans="1:2" x14ac:dyDescent="0.55000000000000004">
      <c r="A216" s="5">
        <v>44201.458333333336</v>
      </c>
      <c r="B216" s="3">
        <f>'N1'!AT216+'N2'!AT216+'N3'!AT216+'P2'!AT216+'A2'!AT216+'A3'!AR216</f>
        <v>22.322984018264844</v>
      </c>
    </row>
    <row r="217" spans="1:2" x14ac:dyDescent="0.55000000000000004">
      <c r="A217" s="5">
        <v>44201.479166666664</v>
      </c>
      <c r="B217" s="3">
        <f>'N1'!AT217+'N2'!AT217+'N3'!AT217+'P2'!AT217+'A2'!AT217+'A3'!AR217</f>
        <v>37.193384132420093</v>
      </c>
    </row>
    <row r="218" spans="1:2" x14ac:dyDescent="0.55000000000000004">
      <c r="A218" s="5">
        <v>44201.5</v>
      </c>
      <c r="B218" s="3">
        <f>'N1'!AT218+'N2'!AT218+'N3'!AT218+'P2'!AT218+'A2'!AT218+'A3'!AR218</f>
        <v>22.798946347031961</v>
      </c>
    </row>
    <row r="219" spans="1:2" x14ac:dyDescent="0.55000000000000004">
      <c r="A219" s="5">
        <v>44201.520833333336</v>
      </c>
      <c r="B219" s="3">
        <f>'N1'!AT219+'N2'!AT219+'N3'!AT219+'P2'!AT219+'A2'!AT219+'A3'!AR219</f>
        <v>16.628187785388128</v>
      </c>
    </row>
    <row r="220" spans="1:2" x14ac:dyDescent="0.55000000000000004">
      <c r="A220" s="5">
        <v>44201.541666666664</v>
      </c>
      <c r="B220" s="3">
        <f>'N1'!AT220+'N2'!AT220+'N3'!AT220+'P2'!AT220+'A2'!AT220+'A3'!AR220</f>
        <v>28.852857876712328</v>
      </c>
    </row>
    <row r="221" spans="1:2" x14ac:dyDescent="0.55000000000000004">
      <c r="A221" s="5">
        <v>44201.5625</v>
      </c>
      <c r="B221" s="3">
        <f>'N1'!AT221+'N2'!AT221+'N3'!AT221+'P2'!AT221+'A2'!AT221+'A3'!AR221</f>
        <v>29.287680365296801</v>
      </c>
    </row>
    <row r="222" spans="1:2" x14ac:dyDescent="0.55000000000000004">
      <c r="A222" s="5">
        <v>44201.583333333336</v>
      </c>
      <c r="B222" s="3">
        <f>'N1'!AT222+'N2'!AT222+'N3'!AT222+'P2'!AT222+'A2'!AT222+'A3'!AR222</f>
        <v>8.1842728310502295</v>
      </c>
    </row>
    <row r="223" spans="1:2" x14ac:dyDescent="0.55000000000000004">
      <c r="A223" s="5">
        <v>44201.604166666664</v>
      </c>
      <c r="B223" s="3">
        <f>'N1'!AT223+'N2'!AT223+'N3'!AT223+'P2'!AT223+'A2'!AT223+'A3'!AR223</f>
        <v>9.3339640410958911</v>
      </c>
    </row>
    <row r="224" spans="1:2" x14ac:dyDescent="0.55000000000000004">
      <c r="A224" s="5">
        <v>44201.625</v>
      </c>
      <c r="B224" s="3">
        <f>'N1'!AT224+'N2'!AT224+'N3'!AT224+'P2'!AT224+'A2'!AT224+'A3'!AR224</f>
        <v>16.383597602739723</v>
      </c>
    </row>
    <row r="225" spans="1:2" x14ac:dyDescent="0.55000000000000004">
      <c r="A225" s="5">
        <v>44201.645833333336</v>
      </c>
      <c r="B225" s="3">
        <f>'N1'!AT225+'N2'!AT225+'N3'!AT225+'P2'!AT225+'A2'!AT225+'A3'!AR225</f>
        <v>22.401122146118723</v>
      </c>
    </row>
    <row r="226" spans="1:2" x14ac:dyDescent="0.55000000000000004">
      <c r="A226" s="5">
        <v>44201.666666666664</v>
      </c>
      <c r="B226" s="3">
        <f>'N1'!AT226+'N2'!AT226+'N3'!AT226+'P2'!AT226+'A2'!AT226+'A3'!AR226</f>
        <v>18.090954337899543</v>
      </c>
    </row>
    <row r="227" spans="1:2" x14ac:dyDescent="0.55000000000000004">
      <c r="A227" s="5">
        <v>44201.6875</v>
      </c>
      <c r="B227" s="3">
        <f>'N1'!AT227+'N2'!AT227+'N3'!AT227+'P2'!AT227+'A2'!AT227+'A3'!AR227</f>
        <v>15.40128595890411</v>
      </c>
    </row>
    <row r="228" spans="1:2" x14ac:dyDescent="0.55000000000000004">
      <c r="A228" s="5">
        <v>44201.708333333336</v>
      </c>
      <c r="B228" s="3">
        <f>'N1'!AT228+'N2'!AT228+'N3'!AT228+'P2'!AT228+'A2'!AT228+'A3'!AR228</f>
        <v>5.7538698630136951</v>
      </c>
    </row>
    <row r="229" spans="1:2" x14ac:dyDescent="0.55000000000000004">
      <c r="A229" s="5">
        <v>44201.729166666664</v>
      </c>
      <c r="B229" s="3">
        <f>'N1'!AT229+'N2'!AT229+'N3'!AT229+'P2'!AT229+'A2'!AT229+'A3'!AR229</f>
        <v>20.309805936073062</v>
      </c>
    </row>
    <row r="230" spans="1:2" x14ac:dyDescent="0.55000000000000004">
      <c r="A230" s="5">
        <v>44201.75</v>
      </c>
      <c r="B230" s="3">
        <f>'N1'!AT230+'N2'!AT230+'N3'!AT230+'P2'!AT230+'A2'!AT230+'A3'!AR230</f>
        <v>21.436575913242013</v>
      </c>
    </row>
    <row r="231" spans="1:2" x14ac:dyDescent="0.55000000000000004">
      <c r="A231" s="5">
        <v>44201.770833333336</v>
      </c>
      <c r="B231" s="3">
        <f>'N1'!AT231+'N2'!AT231+'N3'!AT231+'P2'!AT231+'A2'!AT231+'A3'!AR231</f>
        <v>11.278224315068494</v>
      </c>
    </row>
    <row r="232" spans="1:2" x14ac:dyDescent="0.55000000000000004">
      <c r="A232" s="5">
        <v>44201.791666666664</v>
      </c>
      <c r="B232" s="3">
        <f>'N1'!AT232+'N2'!AT232+'N3'!AT232+'P2'!AT232+'A2'!AT232+'A3'!AR232</f>
        <v>24.014789383561645</v>
      </c>
    </row>
    <row r="233" spans="1:2" x14ac:dyDescent="0.55000000000000004">
      <c r="A233" s="5">
        <v>44201.8125</v>
      </c>
      <c r="B233" s="3">
        <f>'N1'!AT233+'N2'!AT233+'N3'!AT233+'P2'!AT233+'A2'!AT233+'A3'!AR233</f>
        <v>16.242989726027396</v>
      </c>
    </row>
    <row r="234" spans="1:2" x14ac:dyDescent="0.55000000000000004">
      <c r="A234" s="5">
        <v>44201.833333333336</v>
      </c>
      <c r="B234" s="3">
        <f>'N1'!AT234+'N2'!AT234+'N3'!AT234+'P2'!AT234+'A2'!AT234+'A3'!AR234</f>
        <v>9.7792060502283107</v>
      </c>
    </row>
    <row r="235" spans="1:2" x14ac:dyDescent="0.55000000000000004">
      <c r="A235" s="5">
        <v>44201.854166666664</v>
      </c>
      <c r="B235" s="3">
        <f>'N1'!AT235+'N2'!AT235+'N3'!AT235+'P2'!AT235+'A2'!AT235+'A3'!AR235</f>
        <v>21.711882990867579</v>
      </c>
    </row>
    <row r="236" spans="1:2" x14ac:dyDescent="0.55000000000000004">
      <c r="A236" s="5">
        <v>44201.875</v>
      </c>
      <c r="B236" s="3">
        <f>'N1'!AT236+'N2'!AT236+'N3'!AT236+'P2'!AT236+'A2'!AT236+'A3'!AR236</f>
        <v>9.4187688356164401</v>
      </c>
    </row>
    <row r="237" spans="1:2" x14ac:dyDescent="0.55000000000000004">
      <c r="A237" s="5">
        <v>44201.895833333336</v>
      </c>
      <c r="B237" s="3">
        <f>'N1'!AT237+'N2'!AT237+'N3'!AT237+'P2'!AT237+'A2'!AT237+'A3'!AR237</f>
        <v>18.12036187214612</v>
      </c>
    </row>
    <row r="238" spans="1:2" x14ac:dyDescent="0.55000000000000004">
      <c r="A238" s="5">
        <v>44201.916666666664</v>
      </c>
      <c r="B238" s="3">
        <f>'N1'!AT238+'N2'!AT238+'N3'!AT238+'P2'!AT238+'A2'!AT238+'A3'!AR238</f>
        <v>21.137871575342462</v>
      </c>
    </row>
    <row r="239" spans="1:2" x14ac:dyDescent="0.55000000000000004">
      <c r="A239" s="5">
        <v>44201.9375</v>
      </c>
      <c r="B239" s="3">
        <f>'N1'!AT239+'N2'!AT239+'N3'!AT239+'P2'!AT239+'A2'!AT239+'A3'!AR239</f>
        <v>12.032328196347033</v>
      </c>
    </row>
    <row r="240" spans="1:2" x14ac:dyDescent="0.55000000000000004">
      <c r="A240" s="5">
        <v>44201.958333333336</v>
      </c>
      <c r="B240" s="3">
        <f>'N1'!AT240+'N2'!AT240+'N3'!AT240+'P2'!AT240+'A2'!AT240+'A3'!AR240</f>
        <v>10.971606164383561</v>
      </c>
    </row>
    <row r="241" spans="1:2" x14ac:dyDescent="0.55000000000000004">
      <c r="A241" s="5">
        <v>44201.979166666664</v>
      </c>
      <c r="B241" s="3">
        <f>'N1'!AT241+'N2'!AT241+'N3'!AT241+'P2'!AT241+'A2'!AT241+'A3'!AR241</f>
        <v>33.344201484018264</v>
      </c>
    </row>
    <row r="242" spans="1:2" x14ac:dyDescent="0.55000000000000004">
      <c r="A242" s="5">
        <v>44202</v>
      </c>
      <c r="B242" s="3">
        <f>'N1'!AT242+'N2'!AT242+'N3'!AT242+'P2'!AT242+'A2'!AT242+'A3'!AR242</f>
        <v>33.616960616438355</v>
      </c>
    </row>
    <row r="243" spans="1:2" x14ac:dyDescent="0.55000000000000004">
      <c r="A243" s="5">
        <v>44202.020833333336</v>
      </c>
      <c r="B243" s="3">
        <f>'N1'!AT243+'N2'!AT243+'N3'!AT243+'P2'!AT243+'A2'!AT243+'A3'!AR243</f>
        <v>28.906043949771693</v>
      </c>
    </row>
    <row r="244" spans="1:2" x14ac:dyDescent="0.55000000000000004">
      <c r="A244" s="5">
        <v>44202.041666666664</v>
      </c>
      <c r="B244" s="3">
        <f>'N1'!AT244+'N2'!AT244+'N3'!AT244+'P2'!AT244+'A2'!AT244+'A3'!AR244</f>
        <v>23.663701484018262</v>
      </c>
    </row>
    <row r="245" spans="1:2" x14ac:dyDescent="0.55000000000000004">
      <c r="A245" s="5">
        <v>44202.0625</v>
      </c>
      <c r="B245" s="3">
        <f>'N1'!AT245+'N2'!AT245+'N3'!AT245+'P2'!AT245+'A2'!AT245+'A3'!AR245</f>
        <v>38.681099315068494</v>
      </c>
    </row>
    <row r="246" spans="1:2" x14ac:dyDescent="0.55000000000000004">
      <c r="A246" s="5">
        <v>44202.083333333336</v>
      </c>
      <c r="B246" s="3">
        <f>'N1'!AT246+'N2'!AT246+'N3'!AT246+'P2'!AT246+'A2'!AT246+'A3'!AR246</f>
        <v>16.60689269406393</v>
      </c>
    </row>
    <row r="247" spans="1:2" x14ac:dyDescent="0.55000000000000004">
      <c r="A247" s="5">
        <v>44202.104166666664</v>
      </c>
      <c r="B247" s="3">
        <f>'N1'!AT247+'N2'!AT247+'N3'!AT247+'P2'!AT247+'A2'!AT247+'A3'!AR247</f>
        <v>26.69004223744292</v>
      </c>
    </row>
    <row r="248" spans="1:2" x14ac:dyDescent="0.55000000000000004">
      <c r="A248" s="5">
        <v>44202.125</v>
      </c>
      <c r="B248" s="3">
        <f>'N1'!AT248+'N2'!AT248+'N3'!AT248+'P2'!AT248+'A2'!AT248+'A3'!AR248</f>
        <v>37.642957191780823</v>
      </c>
    </row>
    <row r="249" spans="1:2" x14ac:dyDescent="0.55000000000000004">
      <c r="A249" s="5">
        <v>44202.145833333336</v>
      </c>
      <c r="B249" s="3">
        <f>'N1'!AT249+'N2'!AT249+'N3'!AT249+'P2'!AT249+'A2'!AT249+'A3'!AR249</f>
        <v>48.426910958904116</v>
      </c>
    </row>
    <row r="250" spans="1:2" x14ac:dyDescent="0.55000000000000004">
      <c r="A250" s="5">
        <v>44202.166666666664</v>
      </c>
      <c r="B250" s="3">
        <f>'N1'!AT250+'N2'!AT250+'N3'!AT250+'P2'!AT250+'A2'!AT250+'A3'!AR250</f>
        <v>46.777134132420095</v>
      </c>
    </row>
    <row r="251" spans="1:2" x14ac:dyDescent="0.55000000000000004">
      <c r="A251" s="5">
        <v>44202.1875</v>
      </c>
      <c r="B251" s="3">
        <f>'N1'!AT251+'N2'!AT251+'N3'!AT251+'P2'!AT251+'A2'!AT251+'A3'!AR251</f>
        <v>47.49946632420091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51"/>
  <sheetViews>
    <sheetView tabSelected="1" topLeftCell="AO229" workbookViewId="0">
      <selection activeCell="AT2" sqref="AT2"/>
    </sheetView>
  </sheetViews>
  <sheetFormatPr defaultRowHeight="14.4" x14ac:dyDescent="0.55000000000000004"/>
  <cols>
    <col min="5" max="8" width="11.68359375" bestFit="1" customWidth="1"/>
    <col min="10" max="10" width="14.3125" bestFit="1" customWidth="1"/>
    <col min="11" max="11" width="11.15625" bestFit="1" customWidth="1"/>
    <col min="12" max="12" width="11.26171875" bestFit="1" customWidth="1"/>
    <col min="13" max="13" width="14.578125" bestFit="1" customWidth="1"/>
    <col min="41" max="41" width="11.41796875" bestFit="1" customWidth="1"/>
    <col min="42" max="42" width="20.41796875" bestFit="1" customWidth="1"/>
    <col min="43" max="43" width="17.89453125" bestFit="1" customWidth="1"/>
    <col min="44" max="44" width="54.3125" bestFit="1" customWidth="1"/>
    <col min="46" max="46" width="9.89453125" bestFit="1" customWidth="1"/>
    <col min="47" max="47" width="12.41796875" bestFit="1" customWidth="1"/>
  </cols>
  <sheetData>
    <row r="1" spans="1:4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2757</v>
      </c>
      <c r="F1" s="1" t="s">
        <v>2756</v>
      </c>
      <c r="G1" s="1" t="s">
        <v>2755</v>
      </c>
      <c r="H1" s="1" t="s">
        <v>2754</v>
      </c>
      <c r="I1" s="1" t="s">
        <v>8</v>
      </c>
      <c r="J1" s="1" t="s">
        <v>9</v>
      </c>
      <c r="K1" s="1" t="s">
        <v>2752</v>
      </c>
      <c r="L1" s="1" t="s">
        <v>2751</v>
      </c>
      <c r="M1" s="1" t="s">
        <v>2753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2" t="s">
        <v>2741</v>
      </c>
      <c r="AT1" s="7">
        <f>SUM(AT2:AT251)</f>
        <v>2612.0230485159809</v>
      </c>
      <c r="AU1" s="2" t="s">
        <v>2743</v>
      </c>
    </row>
    <row r="2" spans="1:48" x14ac:dyDescent="0.55000000000000004">
      <c r="A2">
        <v>20.76</v>
      </c>
      <c r="B2">
        <v>30.37</v>
      </c>
      <c r="C2">
        <v>5924.33</v>
      </c>
      <c r="D2">
        <v>7.61</v>
      </c>
      <c r="E2" t="s">
        <v>42</v>
      </c>
      <c r="F2" t="s">
        <v>287</v>
      </c>
      <c r="G2" t="s">
        <v>531</v>
      </c>
      <c r="H2" t="s">
        <v>679</v>
      </c>
      <c r="I2">
        <v>0</v>
      </c>
      <c r="J2">
        <v>906.05</v>
      </c>
      <c r="K2">
        <f>IF(E2=0,0,
VALUE(MID(E2,2,FIND(",",E2)-2))+
VALUE(MID(F2,2,FIND(",",F2)-2))+
VALUE(MID(G2,2,FIND(",",G2)-2))
)</f>
        <v>71.890000000000015</v>
      </c>
      <c r="L2">
        <f>IF(E2=0,0,
VALUE(MID(E2,FIND(",",E2)+1,FIND("]",E2)-FIND(",",E2)-1))+
VALUE(MID(F2,FIND(",",F2)+1,FIND("]",F2)-FIND(",",F2)-1))+
VALUE(MID(G2,FIND(",",G2)+1,FIND("]",G2)-FIND(",",G2)-1))
)</f>
        <v>74.27</v>
      </c>
      <c r="M2">
        <f>(K2-L2)</f>
        <v>-2.3799999999999812</v>
      </c>
      <c r="N2">
        <v>7.3</v>
      </c>
      <c r="O2">
        <v>91.61</v>
      </c>
      <c r="P2">
        <v>59</v>
      </c>
      <c r="Q2">
        <v>21.1</v>
      </c>
      <c r="R2">
        <v>9.61</v>
      </c>
      <c r="S2">
        <v>15.87</v>
      </c>
      <c r="T2">
        <v>4.8899999999999997</v>
      </c>
      <c r="U2">
        <v>6.54</v>
      </c>
      <c r="V2">
        <v>3791.57</v>
      </c>
      <c r="W2">
        <v>1118.6300000000001</v>
      </c>
      <c r="X2">
        <v>1256.1099999999999</v>
      </c>
      <c r="Y2">
        <v>782.42</v>
      </c>
      <c r="Z2">
        <v>5.81</v>
      </c>
      <c r="AA2">
        <v>1.63</v>
      </c>
      <c r="AB2">
        <v>4.3499999999999996</v>
      </c>
      <c r="AC2">
        <v>66.28</v>
      </c>
      <c r="AD2">
        <v>490</v>
      </c>
      <c r="AE2">
        <v>4700</v>
      </c>
      <c r="AF2">
        <v>69.14</v>
      </c>
      <c r="AG2">
        <v>0.47</v>
      </c>
      <c r="AH2">
        <v>12.48</v>
      </c>
      <c r="AI2">
        <v>27.43</v>
      </c>
      <c r="AJ2">
        <v>60</v>
      </c>
      <c r="AK2">
        <v>9</v>
      </c>
      <c r="AL2">
        <v>9</v>
      </c>
      <c r="AM2">
        <v>0.83</v>
      </c>
      <c r="AN2">
        <v>294</v>
      </c>
      <c r="AO2">
        <v>301.43</v>
      </c>
      <c r="AP2">
        <v>449634.83</v>
      </c>
      <c r="AQ2">
        <v>253017.12</v>
      </c>
      <c r="AR2" t="s">
        <v>914</v>
      </c>
      <c r="AT2" s="6">
        <f>(AP2-AQ2)/(365*24*2)</f>
        <v>11.222472031963472</v>
      </c>
      <c r="AU2" s="3">
        <f>SUM(AT2:AT251)</f>
        <v>2612.0230485159809</v>
      </c>
      <c r="AV2" s="3">
        <f>250/48</f>
        <v>5.208333333333333</v>
      </c>
    </row>
    <row r="3" spans="1:48" x14ac:dyDescent="0.55000000000000004">
      <c r="A3">
        <v>19.760000000000002</v>
      </c>
      <c r="B3">
        <v>29.44</v>
      </c>
      <c r="C3">
        <v>5732.92</v>
      </c>
      <c r="D3">
        <v>7.59</v>
      </c>
      <c r="E3" t="s">
        <v>43</v>
      </c>
      <c r="F3" t="s">
        <v>288</v>
      </c>
      <c r="G3" t="s">
        <v>532</v>
      </c>
      <c r="H3" t="s">
        <v>680</v>
      </c>
      <c r="I3">
        <v>0</v>
      </c>
      <c r="J3">
        <v>997.95</v>
      </c>
      <c r="K3">
        <f t="shared" ref="K3:K66" si="0">IF(E3=0,0,
VALUE(MID(E3,2,FIND(",",E3)-2))+
VALUE(MID(F3,2,FIND(",",F3)-2))+
VALUE(MID(G3,2,FIND(",",G3)-2))
)</f>
        <v>83.429999999999993</v>
      </c>
      <c r="L3">
        <f t="shared" ref="L3:L66" si="1">IF(E3=0,0,
VALUE(MID(E3,FIND(",",E3)+1,FIND("]",E3)-FIND(",",E3)-1))+
VALUE(MID(F3,FIND(",",F3)+1,FIND("]",F3)-FIND(",",F3)-1))+
VALUE(MID(G3,FIND(",",G3)+1,FIND("]",G3)-FIND(",",G3)-1))
)</f>
        <v>85.66</v>
      </c>
      <c r="M3">
        <f t="shared" ref="M3:M66" si="2">(K3-L3)</f>
        <v>-2.230000000000004</v>
      </c>
      <c r="N3">
        <v>7.37</v>
      </c>
      <c r="O3">
        <v>92.04</v>
      </c>
      <c r="P3">
        <v>67</v>
      </c>
      <c r="Q3">
        <v>18.3</v>
      </c>
      <c r="R3">
        <v>9.68</v>
      </c>
      <c r="S3">
        <v>14.33</v>
      </c>
      <c r="T3">
        <v>5.42</v>
      </c>
      <c r="U3">
        <v>5.74</v>
      </c>
      <c r="V3">
        <v>3669.07</v>
      </c>
      <c r="W3">
        <v>1080.77</v>
      </c>
      <c r="X3">
        <v>1193.48</v>
      </c>
      <c r="Y3">
        <v>752.1</v>
      </c>
      <c r="Z3">
        <v>6.82</v>
      </c>
      <c r="AA3">
        <v>1.56</v>
      </c>
      <c r="AB3">
        <v>4.4800000000000004</v>
      </c>
      <c r="AC3">
        <v>64.099999999999994</v>
      </c>
      <c r="AD3">
        <v>490</v>
      </c>
      <c r="AE3">
        <v>4700</v>
      </c>
      <c r="AF3">
        <v>69.63</v>
      </c>
      <c r="AG3">
        <v>0.47</v>
      </c>
      <c r="AH3">
        <v>14.68</v>
      </c>
      <c r="AI3">
        <v>27.75</v>
      </c>
      <c r="AJ3">
        <v>60</v>
      </c>
      <c r="AK3">
        <v>9</v>
      </c>
      <c r="AL3">
        <v>9</v>
      </c>
      <c r="AM3">
        <v>0.82</v>
      </c>
      <c r="AN3">
        <v>294</v>
      </c>
      <c r="AO3">
        <v>301.33999999999997</v>
      </c>
      <c r="AP3">
        <v>459321.39</v>
      </c>
      <c r="AQ3">
        <v>404056.38</v>
      </c>
      <c r="AR3" t="s">
        <v>915</v>
      </c>
      <c r="AT3" s="6">
        <f t="shared" ref="AT3:AT66" si="3">(AP3-AQ3)/(365*24*2)</f>
        <v>3.1543955479452062</v>
      </c>
    </row>
    <row r="4" spans="1:48" x14ac:dyDescent="0.55000000000000004">
      <c r="A4">
        <v>21.42</v>
      </c>
      <c r="B4">
        <v>30.97</v>
      </c>
      <c r="C4">
        <v>5976.4</v>
      </c>
      <c r="D4">
        <v>7.6</v>
      </c>
      <c r="E4" t="s">
        <v>44</v>
      </c>
      <c r="F4" t="s">
        <v>289</v>
      </c>
      <c r="G4" t="s">
        <v>533</v>
      </c>
      <c r="H4" t="s">
        <v>681</v>
      </c>
      <c r="I4">
        <v>0</v>
      </c>
      <c r="J4">
        <v>843.47</v>
      </c>
      <c r="K4">
        <f t="shared" si="0"/>
        <v>64.989999999999995</v>
      </c>
      <c r="L4">
        <f t="shared" si="1"/>
        <v>65.97999999999999</v>
      </c>
      <c r="M4">
        <f t="shared" si="2"/>
        <v>-0.98999999999999488</v>
      </c>
      <c r="N4">
        <v>7.24</v>
      </c>
      <c r="O4">
        <v>92.01</v>
      </c>
      <c r="P4">
        <v>63</v>
      </c>
      <c r="Q4">
        <v>21.3</v>
      </c>
      <c r="R4">
        <v>9.56</v>
      </c>
      <c r="S4">
        <v>16.579999999999998</v>
      </c>
      <c r="T4">
        <v>4.84</v>
      </c>
      <c r="U4">
        <v>7.09</v>
      </c>
      <c r="V4">
        <v>3824.9</v>
      </c>
      <c r="W4">
        <v>1129.3699999999999</v>
      </c>
      <c r="X4">
        <v>1281.78</v>
      </c>
      <c r="Y4">
        <v>792.27</v>
      </c>
      <c r="Z4">
        <v>5.91</v>
      </c>
      <c r="AA4">
        <v>1.64</v>
      </c>
      <c r="AB4">
        <v>4.3099999999999996</v>
      </c>
      <c r="AC4">
        <v>66.37</v>
      </c>
      <c r="AD4">
        <v>490</v>
      </c>
      <c r="AE4">
        <v>4700</v>
      </c>
      <c r="AF4">
        <v>68.709999999999994</v>
      </c>
      <c r="AG4">
        <v>0.47</v>
      </c>
      <c r="AH4">
        <v>11.29</v>
      </c>
      <c r="AI4">
        <v>30.88</v>
      </c>
      <c r="AJ4">
        <v>60</v>
      </c>
      <c r="AK4">
        <v>9</v>
      </c>
      <c r="AL4">
        <v>9</v>
      </c>
      <c r="AM4">
        <v>0.73</v>
      </c>
      <c r="AN4">
        <v>294</v>
      </c>
      <c r="AO4">
        <v>300.60000000000002</v>
      </c>
      <c r="AP4">
        <v>443334.66</v>
      </c>
      <c r="AQ4">
        <v>218955.23</v>
      </c>
      <c r="AR4" t="s">
        <v>916</v>
      </c>
      <c r="AT4" s="6">
        <f t="shared" si="3"/>
        <v>12.807045091324198</v>
      </c>
    </row>
    <row r="5" spans="1:48" x14ac:dyDescent="0.55000000000000004">
      <c r="A5">
        <v>20.75</v>
      </c>
      <c r="B5">
        <v>30.47</v>
      </c>
      <c r="C5">
        <v>5878.94</v>
      </c>
      <c r="D5">
        <v>7.58</v>
      </c>
      <c r="E5" t="s">
        <v>45</v>
      </c>
      <c r="F5" t="s">
        <v>290</v>
      </c>
      <c r="G5" t="s">
        <v>533</v>
      </c>
      <c r="H5" t="s">
        <v>682</v>
      </c>
      <c r="I5">
        <v>0</v>
      </c>
      <c r="J5">
        <v>912.54</v>
      </c>
      <c r="K5">
        <f t="shared" si="0"/>
        <v>72</v>
      </c>
      <c r="L5">
        <f t="shared" si="1"/>
        <v>70.28</v>
      </c>
      <c r="M5">
        <f t="shared" si="2"/>
        <v>1.7199999999999989</v>
      </c>
      <c r="N5">
        <v>7.3</v>
      </c>
      <c r="O5">
        <v>91.46</v>
      </c>
      <c r="P5">
        <v>59</v>
      </c>
      <c r="Q5">
        <v>20</v>
      </c>
      <c r="R5">
        <v>9.7200000000000006</v>
      </c>
      <c r="S5">
        <v>14.88</v>
      </c>
      <c r="T5">
        <v>5.87</v>
      </c>
      <c r="U5">
        <v>6.44</v>
      </c>
      <c r="V5">
        <v>3762.52</v>
      </c>
      <c r="W5">
        <v>1109.68</v>
      </c>
      <c r="X5">
        <v>1242.95</v>
      </c>
      <c r="Y5">
        <v>775.45</v>
      </c>
      <c r="Z5">
        <v>8.7100000000000009</v>
      </c>
      <c r="AA5">
        <v>1.59</v>
      </c>
      <c r="AB5">
        <v>4.4000000000000004</v>
      </c>
      <c r="AC5">
        <v>62.36</v>
      </c>
      <c r="AD5">
        <v>490</v>
      </c>
      <c r="AE5">
        <v>4700</v>
      </c>
      <c r="AF5">
        <v>69.91</v>
      </c>
      <c r="AG5">
        <v>0.47</v>
      </c>
      <c r="AH5">
        <v>12.85</v>
      </c>
      <c r="AI5">
        <v>41.07</v>
      </c>
      <c r="AJ5">
        <v>60</v>
      </c>
      <c r="AK5">
        <v>9</v>
      </c>
      <c r="AL5">
        <v>9</v>
      </c>
      <c r="AM5">
        <v>0.55000000000000004</v>
      </c>
      <c r="AN5">
        <v>294</v>
      </c>
      <c r="AO5">
        <v>298.95999999999998</v>
      </c>
      <c r="AP5">
        <v>448674.97</v>
      </c>
      <c r="AQ5">
        <v>403895.05</v>
      </c>
      <c r="AR5" t="s">
        <v>917</v>
      </c>
      <c r="AT5" s="6">
        <f t="shared" si="3"/>
        <v>2.5559315068493142</v>
      </c>
    </row>
    <row r="6" spans="1:48" x14ac:dyDescent="0.55000000000000004">
      <c r="A6">
        <v>21.17</v>
      </c>
      <c r="B6">
        <v>30.7</v>
      </c>
      <c r="C6">
        <v>5916.9</v>
      </c>
      <c r="D6">
        <v>7.6</v>
      </c>
      <c r="E6" t="s">
        <v>46</v>
      </c>
      <c r="F6" t="s">
        <v>291</v>
      </c>
      <c r="G6" t="s">
        <v>534</v>
      </c>
      <c r="H6" t="s">
        <v>683</v>
      </c>
      <c r="I6">
        <v>0</v>
      </c>
      <c r="J6">
        <v>523.08000000000004</v>
      </c>
      <c r="K6">
        <f t="shared" si="0"/>
        <v>44.64</v>
      </c>
      <c r="L6">
        <f t="shared" si="1"/>
        <v>41.559999999999995</v>
      </c>
      <c r="M6">
        <f t="shared" si="2"/>
        <v>3.0800000000000054</v>
      </c>
      <c r="N6">
        <v>6.99</v>
      </c>
      <c r="O6">
        <v>91.91</v>
      </c>
      <c r="P6">
        <v>85</v>
      </c>
      <c r="Q6">
        <v>18.899999999999999</v>
      </c>
      <c r="R6">
        <v>9.5299999999999994</v>
      </c>
      <c r="S6">
        <v>17.079999999999998</v>
      </c>
      <c r="T6">
        <v>4.09</v>
      </c>
      <c r="U6">
        <v>11.31</v>
      </c>
      <c r="V6">
        <v>3786.82</v>
      </c>
      <c r="W6">
        <v>1129.1400000000001</v>
      </c>
      <c r="X6">
        <v>1419.45</v>
      </c>
      <c r="Y6">
        <v>817.61</v>
      </c>
      <c r="Z6">
        <v>6.44</v>
      </c>
      <c r="AA6">
        <v>1.69</v>
      </c>
      <c r="AB6">
        <v>4.2300000000000004</v>
      </c>
      <c r="AC6">
        <v>69.989999999999995</v>
      </c>
      <c r="AD6">
        <v>490</v>
      </c>
      <c r="AE6">
        <v>4700</v>
      </c>
      <c r="AF6">
        <v>68.56</v>
      </c>
      <c r="AG6">
        <v>0.47</v>
      </c>
      <c r="AH6">
        <v>6.65</v>
      </c>
      <c r="AI6">
        <v>49.02</v>
      </c>
      <c r="AJ6">
        <v>60</v>
      </c>
      <c r="AK6">
        <v>9</v>
      </c>
      <c r="AL6">
        <v>9</v>
      </c>
      <c r="AM6">
        <v>0.46</v>
      </c>
      <c r="AN6">
        <v>294</v>
      </c>
      <c r="AO6">
        <v>298.16000000000003</v>
      </c>
      <c r="AP6">
        <v>425136.63</v>
      </c>
      <c r="AQ6">
        <v>110138.14</v>
      </c>
      <c r="AR6" t="s">
        <v>918</v>
      </c>
      <c r="AT6" s="6">
        <f t="shared" si="3"/>
        <v>17.979365867579908</v>
      </c>
    </row>
    <row r="7" spans="1:48" x14ac:dyDescent="0.55000000000000004">
      <c r="A7">
        <v>20.21</v>
      </c>
      <c r="B7">
        <v>29.67</v>
      </c>
      <c r="C7">
        <v>5811.62</v>
      </c>
      <c r="D7">
        <v>7.6</v>
      </c>
      <c r="E7" t="s">
        <v>47</v>
      </c>
      <c r="F7" t="s">
        <v>292</v>
      </c>
      <c r="G7" t="s">
        <v>535</v>
      </c>
      <c r="H7" t="s">
        <v>684</v>
      </c>
      <c r="I7">
        <v>0</v>
      </c>
      <c r="J7">
        <v>1001.5</v>
      </c>
      <c r="K7">
        <f t="shared" si="0"/>
        <v>84.1</v>
      </c>
      <c r="L7">
        <f t="shared" si="1"/>
        <v>84.1</v>
      </c>
      <c r="M7">
        <f t="shared" si="2"/>
        <v>0</v>
      </c>
      <c r="N7">
        <v>7.37</v>
      </c>
      <c r="O7">
        <v>92.17</v>
      </c>
      <c r="P7">
        <v>64</v>
      </c>
      <c r="Q7">
        <v>19.7</v>
      </c>
      <c r="R7">
        <v>9.4600000000000009</v>
      </c>
      <c r="S7">
        <v>15.25</v>
      </c>
      <c r="T7">
        <v>4.96</v>
      </c>
      <c r="U7">
        <v>5.8</v>
      </c>
      <c r="V7">
        <v>3719.44</v>
      </c>
      <c r="W7">
        <v>1095.6099999999999</v>
      </c>
      <c r="X7">
        <v>1209.55</v>
      </c>
      <c r="Y7">
        <v>762.4</v>
      </c>
      <c r="Z7">
        <v>8.41</v>
      </c>
      <c r="AA7">
        <v>1.59</v>
      </c>
      <c r="AB7">
        <v>4.43</v>
      </c>
      <c r="AC7">
        <v>65.59</v>
      </c>
      <c r="AD7">
        <v>490</v>
      </c>
      <c r="AE7">
        <v>4700</v>
      </c>
      <c r="AF7">
        <v>68.010000000000005</v>
      </c>
      <c r="AG7">
        <v>0.47</v>
      </c>
      <c r="AH7">
        <v>14.16</v>
      </c>
      <c r="AI7">
        <v>33.96</v>
      </c>
      <c r="AJ7">
        <v>60</v>
      </c>
      <c r="AK7">
        <v>9</v>
      </c>
      <c r="AL7">
        <v>9</v>
      </c>
      <c r="AM7">
        <v>0.67</v>
      </c>
      <c r="AN7">
        <v>294</v>
      </c>
      <c r="AO7">
        <v>300</v>
      </c>
      <c r="AP7">
        <v>459901.71</v>
      </c>
      <c r="AQ7">
        <v>459901.71</v>
      </c>
      <c r="AR7" t="s">
        <v>919</v>
      </c>
      <c r="AT7" s="6">
        <f t="shared" si="3"/>
        <v>0</v>
      </c>
    </row>
    <row r="8" spans="1:48" x14ac:dyDescent="0.55000000000000004">
      <c r="A8">
        <v>19.46</v>
      </c>
      <c r="B8">
        <v>29.22</v>
      </c>
      <c r="C8">
        <v>5725.12</v>
      </c>
      <c r="D8">
        <v>7.6</v>
      </c>
      <c r="E8" t="s">
        <v>48</v>
      </c>
      <c r="F8" t="s">
        <v>293</v>
      </c>
      <c r="G8" t="s">
        <v>536</v>
      </c>
      <c r="H8" t="s">
        <v>685</v>
      </c>
      <c r="I8">
        <v>0</v>
      </c>
      <c r="J8">
        <v>888.87</v>
      </c>
      <c r="K8">
        <f t="shared" si="0"/>
        <v>69.56</v>
      </c>
      <c r="L8">
        <f t="shared" si="1"/>
        <v>71.459999999999994</v>
      </c>
      <c r="M8">
        <f t="shared" si="2"/>
        <v>-1.8999999999999915</v>
      </c>
      <c r="N8">
        <v>7.28</v>
      </c>
      <c r="O8">
        <v>91.76</v>
      </c>
      <c r="P8">
        <v>66</v>
      </c>
      <c r="Q8">
        <v>18.2</v>
      </c>
      <c r="R8">
        <v>9.76</v>
      </c>
      <c r="S8">
        <v>14.12</v>
      </c>
      <c r="T8">
        <v>5.34</v>
      </c>
      <c r="U8">
        <v>6.44</v>
      </c>
      <c r="V8">
        <v>3664.08</v>
      </c>
      <c r="W8">
        <v>1080.93</v>
      </c>
      <c r="X8">
        <v>1215.21</v>
      </c>
      <c r="Y8">
        <v>756.11</v>
      </c>
      <c r="Z8">
        <v>5.84</v>
      </c>
      <c r="AA8">
        <v>1.56</v>
      </c>
      <c r="AB8">
        <v>4.47</v>
      </c>
      <c r="AC8">
        <v>64.63</v>
      </c>
      <c r="AD8">
        <v>490</v>
      </c>
      <c r="AE8">
        <v>4700</v>
      </c>
      <c r="AF8">
        <v>70.19</v>
      </c>
      <c r="AG8">
        <v>0.47</v>
      </c>
      <c r="AH8">
        <v>12.9</v>
      </c>
      <c r="AI8">
        <v>28.51</v>
      </c>
      <c r="AJ8">
        <v>60</v>
      </c>
      <c r="AK8">
        <v>9</v>
      </c>
      <c r="AL8">
        <v>9</v>
      </c>
      <c r="AM8">
        <v>0.79</v>
      </c>
      <c r="AN8">
        <v>294</v>
      </c>
      <c r="AO8">
        <v>301.14999999999998</v>
      </c>
      <c r="AP8">
        <v>448105.4</v>
      </c>
      <c r="AQ8">
        <v>243772.76</v>
      </c>
      <c r="AR8" t="s">
        <v>920</v>
      </c>
      <c r="AT8" s="6">
        <f t="shared" si="3"/>
        <v>11.66282191780822</v>
      </c>
    </row>
    <row r="9" spans="1:48" x14ac:dyDescent="0.55000000000000004">
      <c r="A9">
        <v>20.399999999999999</v>
      </c>
      <c r="B9">
        <v>29.86</v>
      </c>
      <c r="C9">
        <v>5787.74</v>
      </c>
      <c r="D9">
        <v>7.6</v>
      </c>
      <c r="E9" t="s">
        <v>49</v>
      </c>
      <c r="F9" t="s">
        <v>294</v>
      </c>
      <c r="G9" t="s">
        <v>537</v>
      </c>
      <c r="H9" t="s">
        <v>686</v>
      </c>
      <c r="I9">
        <v>0</v>
      </c>
      <c r="J9">
        <v>874.01</v>
      </c>
      <c r="K9">
        <f t="shared" si="0"/>
        <v>68.260000000000005</v>
      </c>
      <c r="L9">
        <f t="shared" si="1"/>
        <v>68.84</v>
      </c>
      <c r="M9">
        <f t="shared" si="2"/>
        <v>-0.57999999999999829</v>
      </c>
      <c r="N9">
        <v>7.27</v>
      </c>
      <c r="O9">
        <v>91.91</v>
      </c>
      <c r="P9">
        <v>73</v>
      </c>
      <c r="Q9">
        <v>18.399999999999999</v>
      </c>
      <c r="R9">
        <v>9.4700000000000006</v>
      </c>
      <c r="S9">
        <v>15.15</v>
      </c>
      <c r="T9">
        <v>5.24</v>
      </c>
      <c r="U9">
        <v>6.62</v>
      </c>
      <c r="V9">
        <v>3704.15</v>
      </c>
      <c r="W9">
        <v>1093.2</v>
      </c>
      <c r="X9">
        <v>1233.58</v>
      </c>
      <c r="Y9">
        <v>765.62</v>
      </c>
      <c r="Z9">
        <v>6.44</v>
      </c>
      <c r="AA9">
        <v>1.59</v>
      </c>
      <c r="AB9">
        <v>4.41</v>
      </c>
      <c r="AC9">
        <v>64.349999999999994</v>
      </c>
      <c r="AD9">
        <v>490</v>
      </c>
      <c r="AE9">
        <v>4700</v>
      </c>
      <c r="AF9">
        <v>68.06</v>
      </c>
      <c r="AG9">
        <v>0.47</v>
      </c>
      <c r="AH9">
        <v>12.11</v>
      </c>
      <c r="AI9">
        <v>32.06</v>
      </c>
      <c r="AJ9">
        <v>60</v>
      </c>
      <c r="AK9">
        <v>9</v>
      </c>
      <c r="AL9">
        <v>9</v>
      </c>
      <c r="AM9">
        <v>0.71</v>
      </c>
      <c r="AN9">
        <v>294</v>
      </c>
      <c r="AO9">
        <v>300.36</v>
      </c>
      <c r="AP9">
        <v>447109.41</v>
      </c>
      <c r="AQ9">
        <v>273378.74</v>
      </c>
      <c r="AR9" t="s">
        <v>921</v>
      </c>
      <c r="AT9" s="6">
        <f t="shared" si="3"/>
        <v>9.9161341324200905</v>
      </c>
    </row>
    <row r="10" spans="1:48" x14ac:dyDescent="0.55000000000000004">
      <c r="A10">
        <v>20.91</v>
      </c>
      <c r="B10">
        <v>30.52</v>
      </c>
      <c r="C10">
        <v>5912.7</v>
      </c>
      <c r="D10">
        <v>7.6</v>
      </c>
      <c r="E10" t="s">
        <v>50</v>
      </c>
      <c r="F10" t="s">
        <v>295</v>
      </c>
      <c r="G10" t="s">
        <v>538</v>
      </c>
      <c r="H10" t="s">
        <v>687</v>
      </c>
      <c r="I10">
        <v>0</v>
      </c>
      <c r="J10">
        <v>951.86</v>
      </c>
      <c r="K10">
        <f t="shared" si="0"/>
        <v>76.92</v>
      </c>
      <c r="L10">
        <f t="shared" si="1"/>
        <v>81.8</v>
      </c>
      <c r="M10">
        <f t="shared" si="2"/>
        <v>-4.8799999999999955</v>
      </c>
      <c r="N10">
        <v>7.33</v>
      </c>
      <c r="O10">
        <v>91.99</v>
      </c>
      <c r="P10">
        <v>58</v>
      </c>
      <c r="Q10">
        <v>21</v>
      </c>
      <c r="R10">
        <v>9.61</v>
      </c>
      <c r="S10">
        <v>15.64</v>
      </c>
      <c r="T10">
        <v>5.27</v>
      </c>
      <c r="U10">
        <v>6.21</v>
      </c>
      <c r="V10">
        <v>3784.13</v>
      </c>
      <c r="W10">
        <v>1115.51</v>
      </c>
      <c r="X10">
        <v>1241.77</v>
      </c>
      <c r="Y10">
        <v>778.17</v>
      </c>
      <c r="Z10">
        <v>5.17</v>
      </c>
      <c r="AA10">
        <v>1.61</v>
      </c>
      <c r="AB10">
        <v>4.37</v>
      </c>
      <c r="AC10">
        <v>64.59</v>
      </c>
      <c r="AD10">
        <v>490</v>
      </c>
      <c r="AE10">
        <v>4700</v>
      </c>
      <c r="AF10">
        <v>69.08</v>
      </c>
      <c r="AG10">
        <v>0.47</v>
      </c>
      <c r="AH10">
        <v>13.25</v>
      </c>
      <c r="AI10">
        <v>22.83</v>
      </c>
      <c r="AJ10">
        <v>60</v>
      </c>
      <c r="AK10">
        <v>9</v>
      </c>
      <c r="AL10">
        <v>9</v>
      </c>
      <c r="AM10">
        <v>0.99</v>
      </c>
      <c r="AN10">
        <v>294</v>
      </c>
      <c r="AO10">
        <v>302.92</v>
      </c>
      <c r="AP10">
        <v>452729.93</v>
      </c>
      <c r="AQ10">
        <v>227913.5</v>
      </c>
      <c r="AR10" t="s">
        <v>922</v>
      </c>
      <c r="AT10" s="6">
        <f t="shared" si="3"/>
        <v>12.831988013698631</v>
      </c>
    </row>
    <row r="11" spans="1:48" x14ac:dyDescent="0.55000000000000004">
      <c r="A11">
        <v>19.87</v>
      </c>
      <c r="B11">
        <v>29.6</v>
      </c>
      <c r="C11">
        <v>5759.2</v>
      </c>
      <c r="D11">
        <v>7.59</v>
      </c>
      <c r="E11" t="s">
        <v>51</v>
      </c>
      <c r="F11" t="s">
        <v>296</v>
      </c>
      <c r="G11" t="s">
        <v>539</v>
      </c>
      <c r="H11" t="s">
        <v>688</v>
      </c>
      <c r="I11">
        <v>0</v>
      </c>
      <c r="J11">
        <v>784.45</v>
      </c>
      <c r="K11">
        <f t="shared" si="0"/>
        <v>59.79</v>
      </c>
      <c r="L11">
        <f t="shared" si="1"/>
        <v>59.76</v>
      </c>
      <c r="M11">
        <f t="shared" si="2"/>
        <v>3.0000000000001137E-2</v>
      </c>
      <c r="N11">
        <v>7.19</v>
      </c>
      <c r="O11">
        <v>91.87</v>
      </c>
      <c r="P11">
        <v>72</v>
      </c>
      <c r="Q11">
        <v>18.2</v>
      </c>
      <c r="R11">
        <v>9.73</v>
      </c>
      <c r="S11">
        <v>14.84</v>
      </c>
      <c r="T11">
        <v>5.03</v>
      </c>
      <c r="U11">
        <v>7.34</v>
      </c>
      <c r="V11">
        <v>3685.89</v>
      </c>
      <c r="W11">
        <v>1089.57</v>
      </c>
      <c r="X11">
        <v>1252.6500000000001</v>
      </c>
      <c r="Y11">
        <v>767.28</v>
      </c>
      <c r="Z11">
        <v>6</v>
      </c>
      <c r="AA11">
        <v>1.59</v>
      </c>
      <c r="AB11">
        <v>4.42</v>
      </c>
      <c r="AC11">
        <v>65.95</v>
      </c>
      <c r="AD11">
        <v>490</v>
      </c>
      <c r="AE11">
        <v>4700</v>
      </c>
      <c r="AF11">
        <v>70</v>
      </c>
      <c r="AG11">
        <v>0.47</v>
      </c>
      <c r="AH11">
        <v>11.04</v>
      </c>
      <c r="AI11">
        <v>34.1</v>
      </c>
      <c r="AJ11">
        <v>60</v>
      </c>
      <c r="AK11">
        <v>9</v>
      </c>
      <c r="AL11">
        <v>9</v>
      </c>
      <c r="AM11">
        <v>0.66</v>
      </c>
      <c r="AN11">
        <v>294</v>
      </c>
      <c r="AO11">
        <v>299.98</v>
      </c>
      <c r="AP11">
        <v>438166.94</v>
      </c>
      <c r="AQ11">
        <v>191761.92000000001</v>
      </c>
      <c r="AR11" t="s">
        <v>923</v>
      </c>
      <c r="AT11" s="6">
        <f t="shared" si="3"/>
        <v>14.064213470319634</v>
      </c>
    </row>
    <row r="12" spans="1:48" x14ac:dyDescent="0.55000000000000004">
      <c r="A12">
        <v>20.7</v>
      </c>
      <c r="B12">
        <v>30.3</v>
      </c>
      <c r="C12">
        <v>5882.47</v>
      </c>
      <c r="D12">
        <v>7.6</v>
      </c>
      <c r="E12" t="s">
        <v>52</v>
      </c>
      <c r="F12" t="s">
        <v>297</v>
      </c>
      <c r="G12" t="s">
        <v>540</v>
      </c>
      <c r="H12" t="s">
        <v>689</v>
      </c>
      <c r="I12">
        <v>0</v>
      </c>
      <c r="J12">
        <v>1038.24</v>
      </c>
      <c r="K12">
        <f t="shared" si="0"/>
        <v>90.309999999999988</v>
      </c>
      <c r="L12">
        <f t="shared" si="1"/>
        <v>98.17</v>
      </c>
      <c r="M12">
        <f t="shared" si="2"/>
        <v>-7.8600000000000136</v>
      </c>
      <c r="N12">
        <v>7.4</v>
      </c>
      <c r="O12">
        <v>91.8</v>
      </c>
      <c r="P12">
        <v>59</v>
      </c>
      <c r="Q12">
        <v>21.2</v>
      </c>
      <c r="R12">
        <v>9.6</v>
      </c>
      <c r="S12">
        <v>15.95</v>
      </c>
      <c r="T12">
        <v>4.75</v>
      </c>
      <c r="U12">
        <v>5.67</v>
      </c>
      <c r="V12">
        <v>3764.78</v>
      </c>
      <c r="W12">
        <v>1108.47</v>
      </c>
      <c r="X12">
        <v>1217.32</v>
      </c>
      <c r="Y12">
        <v>770.18</v>
      </c>
      <c r="Z12">
        <v>5.0599999999999996</v>
      </c>
      <c r="AA12">
        <v>1.6</v>
      </c>
      <c r="AB12">
        <v>4.4000000000000004</v>
      </c>
      <c r="AC12">
        <v>66.900000000000006</v>
      </c>
      <c r="AD12">
        <v>490</v>
      </c>
      <c r="AE12">
        <v>4700</v>
      </c>
      <c r="AF12">
        <v>69.010000000000005</v>
      </c>
      <c r="AG12">
        <v>0.47</v>
      </c>
      <c r="AH12">
        <v>14.79</v>
      </c>
      <c r="AI12">
        <v>19.03</v>
      </c>
      <c r="AJ12">
        <v>60</v>
      </c>
      <c r="AK12">
        <v>9</v>
      </c>
      <c r="AL12">
        <v>9</v>
      </c>
      <c r="AM12">
        <v>1.19</v>
      </c>
      <c r="AN12">
        <v>294</v>
      </c>
      <c r="AO12">
        <v>304.70999999999998</v>
      </c>
      <c r="AP12">
        <v>465393.42</v>
      </c>
      <c r="AQ12">
        <v>288290.62</v>
      </c>
      <c r="AR12" t="s">
        <v>924</v>
      </c>
      <c r="AT12" s="6">
        <f t="shared" si="3"/>
        <v>10.108607305936072</v>
      </c>
    </row>
    <row r="13" spans="1:48" x14ac:dyDescent="0.55000000000000004">
      <c r="A13">
        <v>21</v>
      </c>
      <c r="B13">
        <v>30.55</v>
      </c>
      <c r="C13">
        <v>5924.62</v>
      </c>
      <c r="D13">
        <v>7.61</v>
      </c>
      <c r="E13" t="s">
        <v>53</v>
      </c>
      <c r="F13" t="s">
        <v>298</v>
      </c>
      <c r="G13" t="s">
        <v>541</v>
      </c>
      <c r="H13" t="s">
        <v>690</v>
      </c>
      <c r="I13">
        <v>0</v>
      </c>
      <c r="J13">
        <v>903.02</v>
      </c>
      <c r="K13">
        <f t="shared" si="0"/>
        <v>71.069999999999993</v>
      </c>
      <c r="L13">
        <f t="shared" si="1"/>
        <v>74.63</v>
      </c>
      <c r="M13">
        <f t="shared" si="2"/>
        <v>-3.5600000000000023</v>
      </c>
      <c r="N13">
        <v>7.29</v>
      </c>
      <c r="O13">
        <v>92.14</v>
      </c>
      <c r="P13">
        <v>62</v>
      </c>
      <c r="Q13">
        <v>21.1</v>
      </c>
      <c r="R13">
        <v>9.5500000000000007</v>
      </c>
      <c r="S13">
        <v>16.260000000000002</v>
      </c>
      <c r="T13">
        <v>4.74</v>
      </c>
      <c r="U13">
        <v>6.56</v>
      </c>
      <c r="V13">
        <v>3791.76</v>
      </c>
      <c r="W13">
        <v>1118.2</v>
      </c>
      <c r="X13">
        <v>1253</v>
      </c>
      <c r="Y13">
        <v>781.36</v>
      </c>
      <c r="Z13">
        <v>5.24</v>
      </c>
      <c r="AA13">
        <v>1.63</v>
      </c>
      <c r="AB13">
        <v>4.34</v>
      </c>
      <c r="AC13">
        <v>66.83</v>
      </c>
      <c r="AD13">
        <v>490</v>
      </c>
      <c r="AE13">
        <v>4700</v>
      </c>
      <c r="AF13">
        <v>68.67</v>
      </c>
      <c r="AG13">
        <v>0.47</v>
      </c>
      <c r="AH13">
        <v>12.35</v>
      </c>
      <c r="AI13">
        <v>25.03</v>
      </c>
      <c r="AJ13">
        <v>60</v>
      </c>
      <c r="AK13">
        <v>9</v>
      </c>
      <c r="AL13">
        <v>9</v>
      </c>
      <c r="AM13">
        <v>0.9</v>
      </c>
      <c r="AN13">
        <v>294</v>
      </c>
      <c r="AO13">
        <v>302.14</v>
      </c>
      <c r="AP13">
        <v>449916.72</v>
      </c>
      <c r="AQ13">
        <v>204225.54</v>
      </c>
      <c r="AR13" t="s">
        <v>925</v>
      </c>
      <c r="AT13" s="6">
        <f t="shared" si="3"/>
        <v>14.023469178082189</v>
      </c>
    </row>
    <row r="14" spans="1:48" x14ac:dyDescent="0.55000000000000004">
      <c r="A14">
        <v>20.13</v>
      </c>
      <c r="B14">
        <v>29.76</v>
      </c>
      <c r="C14">
        <v>5843.46</v>
      </c>
      <c r="D14">
        <v>7.6</v>
      </c>
      <c r="E14" t="s">
        <v>54</v>
      </c>
      <c r="F14" t="s">
        <v>299</v>
      </c>
      <c r="G14" t="s">
        <v>542</v>
      </c>
      <c r="H14" t="s">
        <v>684</v>
      </c>
      <c r="I14">
        <v>0</v>
      </c>
      <c r="J14">
        <v>1000.48</v>
      </c>
      <c r="K14">
        <f t="shared" si="0"/>
        <v>84.53</v>
      </c>
      <c r="L14">
        <f t="shared" si="1"/>
        <v>84.53</v>
      </c>
      <c r="M14">
        <f t="shared" si="2"/>
        <v>0</v>
      </c>
      <c r="N14">
        <v>7.37</v>
      </c>
      <c r="O14">
        <v>91.64</v>
      </c>
      <c r="P14">
        <v>55</v>
      </c>
      <c r="Q14">
        <v>20.3</v>
      </c>
      <c r="R14">
        <v>9.6300000000000008</v>
      </c>
      <c r="S14">
        <v>14.63</v>
      </c>
      <c r="T14">
        <v>5.5</v>
      </c>
      <c r="U14">
        <v>5.84</v>
      </c>
      <c r="V14">
        <v>3739.81</v>
      </c>
      <c r="W14">
        <v>1101.83</v>
      </c>
      <c r="X14">
        <v>1217.8699999999999</v>
      </c>
      <c r="Y14">
        <v>767.1</v>
      </c>
      <c r="Z14">
        <v>8.4499999999999993</v>
      </c>
      <c r="AA14">
        <v>1.59</v>
      </c>
      <c r="AB14">
        <v>4.42</v>
      </c>
      <c r="AC14">
        <v>63.65</v>
      </c>
      <c r="AD14">
        <v>490</v>
      </c>
      <c r="AE14">
        <v>4700</v>
      </c>
      <c r="AF14">
        <v>69.28</v>
      </c>
      <c r="AG14">
        <v>0.47</v>
      </c>
      <c r="AH14">
        <v>14.31</v>
      </c>
      <c r="AI14">
        <v>33.950000000000003</v>
      </c>
      <c r="AJ14">
        <v>60</v>
      </c>
      <c r="AK14">
        <v>9</v>
      </c>
      <c r="AL14">
        <v>9</v>
      </c>
      <c r="AM14">
        <v>0.67</v>
      </c>
      <c r="AN14">
        <v>294</v>
      </c>
      <c r="AO14">
        <v>300</v>
      </c>
      <c r="AP14">
        <v>460795.85</v>
      </c>
      <c r="AQ14">
        <v>460795.85</v>
      </c>
      <c r="AR14" t="s">
        <v>926</v>
      </c>
      <c r="AT14" s="6">
        <f t="shared" si="3"/>
        <v>0</v>
      </c>
    </row>
    <row r="15" spans="1:48" x14ac:dyDescent="0.55000000000000004">
      <c r="A15">
        <v>21.06</v>
      </c>
      <c r="B15">
        <v>30.45</v>
      </c>
      <c r="C15">
        <v>5885.91</v>
      </c>
      <c r="D15">
        <v>7.61</v>
      </c>
      <c r="E15" t="s">
        <v>55</v>
      </c>
      <c r="F15" t="s">
        <v>300</v>
      </c>
      <c r="G15" t="s">
        <v>543</v>
      </c>
      <c r="H15" t="s">
        <v>691</v>
      </c>
      <c r="I15">
        <v>0</v>
      </c>
      <c r="J15">
        <v>686.22</v>
      </c>
      <c r="K15">
        <f t="shared" si="0"/>
        <v>53.349999999999994</v>
      </c>
      <c r="L15">
        <f t="shared" si="1"/>
        <v>52.01</v>
      </c>
      <c r="M15">
        <f t="shared" si="2"/>
        <v>1.3399999999999963</v>
      </c>
      <c r="N15">
        <v>7.12</v>
      </c>
      <c r="O15">
        <v>92.65</v>
      </c>
      <c r="P15">
        <v>87</v>
      </c>
      <c r="Q15">
        <v>17.899999999999999</v>
      </c>
      <c r="R15">
        <v>9.3800000000000008</v>
      </c>
      <c r="S15">
        <v>16.34</v>
      </c>
      <c r="T15">
        <v>4.72</v>
      </c>
      <c r="U15">
        <v>8.58</v>
      </c>
      <c r="V15">
        <v>3766.98</v>
      </c>
      <c r="W15">
        <v>1116.56</v>
      </c>
      <c r="X15">
        <v>1319.74</v>
      </c>
      <c r="Y15">
        <v>793.09</v>
      </c>
      <c r="Z15">
        <v>6.15</v>
      </c>
      <c r="AA15">
        <v>1.66</v>
      </c>
      <c r="AB15">
        <v>4.29</v>
      </c>
      <c r="AC15">
        <v>66.53</v>
      </c>
      <c r="AD15">
        <v>490</v>
      </c>
      <c r="AE15">
        <v>4700</v>
      </c>
      <c r="AF15">
        <v>67.47</v>
      </c>
      <c r="AG15">
        <v>0.47</v>
      </c>
      <c r="AH15">
        <v>8.9</v>
      </c>
      <c r="AI15">
        <v>39.17</v>
      </c>
      <c r="AJ15">
        <v>60</v>
      </c>
      <c r="AK15">
        <v>9</v>
      </c>
      <c r="AL15">
        <v>9</v>
      </c>
      <c r="AM15">
        <v>0.57999999999999996</v>
      </c>
      <c r="AN15">
        <v>294</v>
      </c>
      <c r="AO15">
        <v>299.2</v>
      </c>
      <c r="AP15">
        <v>433589.27</v>
      </c>
      <c r="AQ15">
        <v>155620.25</v>
      </c>
      <c r="AR15" t="s">
        <v>927</v>
      </c>
      <c r="AT15" s="6">
        <f t="shared" si="3"/>
        <v>15.865811643835617</v>
      </c>
    </row>
    <row r="16" spans="1:48" x14ac:dyDescent="0.55000000000000004">
      <c r="A16">
        <v>20.059999999999999</v>
      </c>
      <c r="B16">
        <v>29.67</v>
      </c>
      <c r="C16">
        <v>5767.43</v>
      </c>
      <c r="D16">
        <v>7.6</v>
      </c>
      <c r="E16" t="s">
        <v>56</v>
      </c>
      <c r="F16" t="s">
        <v>301</v>
      </c>
      <c r="G16" t="s">
        <v>544</v>
      </c>
      <c r="H16" t="s">
        <v>692</v>
      </c>
      <c r="I16">
        <v>0</v>
      </c>
      <c r="J16">
        <v>786.29</v>
      </c>
      <c r="K16">
        <f t="shared" si="0"/>
        <v>60.26</v>
      </c>
      <c r="L16">
        <f t="shared" si="1"/>
        <v>60.290000000000006</v>
      </c>
      <c r="M16">
        <f t="shared" si="2"/>
        <v>-3.0000000000008242E-2</v>
      </c>
      <c r="N16">
        <v>7.2</v>
      </c>
      <c r="O16">
        <v>91.88</v>
      </c>
      <c r="P16">
        <v>72</v>
      </c>
      <c r="Q16">
        <v>18.5</v>
      </c>
      <c r="R16">
        <v>9.61</v>
      </c>
      <c r="S16">
        <v>15.12</v>
      </c>
      <c r="T16">
        <v>4.9400000000000004</v>
      </c>
      <c r="U16">
        <v>7.33</v>
      </c>
      <c r="V16">
        <v>3691.16</v>
      </c>
      <c r="W16">
        <v>1091.47</v>
      </c>
      <c r="X16">
        <v>1256.6199999999999</v>
      </c>
      <c r="Y16">
        <v>769.14</v>
      </c>
      <c r="Z16">
        <v>6</v>
      </c>
      <c r="AA16">
        <v>1.6</v>
      </c>
      <c r="AB16">
        <v>4.41</v>
      </c>
      <c r="AC16">
        <v>66.05</v>
      </c>
      <c r="AD16">
        <v>490</v>
      </c>
      <c r="AE16">
        <v>4700</v>
      </c>
      <c r="AF16">
        <v>69.099999999999994</v>
      </c>
      <c r="AG16">
        <v>0.47</v>
      </c>
      <c r="AH16">
        <v>10.91</v>
      </c>
      <c r="AI16">
        <v>33.799999999999997</v>
      </c>
      <c r="AJ16">
        <v>60</v>
      </c>
      <c r="AK16">
        <v>9</v>
      </c>
      <c r="AL16">
        <v>9</v>
      </c>
      <c r="AM16">
        <v>0.67</v>
      </c>
      <c r="AN16">
        <v>294</v>
      </c>
      <c r="AO16">
        <v>300.02999999999997</v>
      </c>
      <c r="AP16">
        <v>438638.3</v>
      </c>
      <c r="AQ16">
        <v>191816.27</v>
      </c>
      <c r="AR16" t="s">
        <v>928</v>
      </c>
      <c r="AT16" s="6">
        <f t="shared" si="3"/>
        <v>14.088015410958905</v>
      </c>
    </row>
    <row r="17" spans="1:46" x14ac:dyDescent="0.55000000000000004">
      <c r="A17">
        <v>20.99</v>
      </c>
      <c r="B17">
        <v>30.35</v>
      </c>
      <c r="C17">
        <v>5874.5</v>
      </c>
      <c r="D17">
        <v>7.59</v>
      </c>
      <c r="E17" t="s">
        <v>57</v>
      </c>
      <c r="F17" t="s">
        <v>302</v>
      </c>
      <c r="G17" t="s">
        <v>532</v>
      </c>
      <c r="H17" t="s">
        <v>693</v>
      </c>
      <c r="I17">
        <v>0</v>
      </c>
      <c r="J17">
        <v>889.66</v>
      </c>
      <c r="K17">
        <f t="shared" si="0"/>
        <v>69.599999999999994</v>
      </c>
      <c r="L17">
        <f t="shared" si="1"/>
        <v>71.52</v>
      </c>
      <c r="M17">
        <f t="shared" si="2"/>
        <v>-1.9200000000000017</v>
      </c>
      <c r="N17">
        <v>7.28</v>
      </c>
      <c r="O17">
        <v>92.6</v>
      </c>
      <c r="P17">
        <v>74</v>
      </c>
      <c r="Q17">
        <v>19.8</v>
      </c>
      <c r="R17">
        <v>9.36</v>
      </c>
      <c r="S17">
        <v>16.59</v>
      </c>
      <c r="T17">
        <v>4.3899999999999997</v>
      </c>
      <c r="U17">
        <v>6.6</v>
      </c>
      <c r="V17">
        <v>3759.68</v>
      </c>
      <c r="W17">
        <v>1109.19</v>
      </c>
      <c r="X17">
        <v>1247.27</v>
      </c>
      <c r="Y17">
        <v>775.97</v>
      </c>
      <c r="Z17">
        <v>5.84</v>
      </c>
      <c r="AA17">
        <v>1.61</v>
      </c>
      <c r="AB17">
        <v>4.37</v>
      </c>
      <c r="AC17">
        <v>68.06</v>
      </c>
      <c r="AD17">
        <v>490</v>
      </c>
      <c r="AE17">
        <v>4700</v>
      </c>
      <c r="AF17">
        <v>67.33</v>
      </c>
      <c r="AG17">
        <v>0.47</v>
      </c>
      <c r="AH17">
        <v>12.02</v>
      </c>
      <c r="AI17">
        <v>28.48</v>
      </c>
      <c r="AJ17">
        <v>60</v>
      </c>
      <c r="AK17">
        <v>9</v>
      </c>
      <c r="AL17">
        <v>9</v>
      </c>
      <c r="AM17">
        <v>0.79</v>
      </c>
      <c r="AN17">
        <v>294</v>
      </c>
      <c r="AO17">
        <v>301.14999999999998</v>
      </c>
      <c r="AP17">
        <v>447436.65</v>
      </c>
      <c r="AQ17">
        <v>243626.96</v>
      </c>
      <c r="AR17" t="s">
        <v>929</v>
      </c>
      <c r="AT17" s="6">
        <f t="shared" si="3"/>
        <v>11.632973173515984</v>
      </c>
    </row>
    <row r="18" spans="1:46" x14ac:dyDescent="0.55000000000000004">
      <c r="A18">
        <v>21.06</v>
      </c>
      <c r="B18">
        <v>30.66</v>
      </c>
      <c r="C18">
        <v>5948.04</v>
      </c>
      <c r="D18">
        <v>7.6</v>
      </c>
      <c r="E18" t="s">
        <v>58</v>
      </c>
      <c r="F18" t="s">
        <v>303</v>
      </c>
      <c r="G18" t="s">
        <v>539</v>
      </c>
      <c r="H18" t="s">
        <v>694</v>
      </c>
      <c r="I18">
        <v>0</v>
      </c>
      <c r="J18">
        <v>984.8</v>
      </c>
      <c r="K18">
        <f t="shared" si="0"/>
        <v>81.13</v>
      </c>
      <c r="L18">
        <f t="shared" si="1"/>
        <v>86.94</v>
      </c>
      <c r="M18">
        <f t="shared" si="2"/>
        <v>-5.8100000000000023</v>
      </c>
      <c r="N18">
        <v>7.36</v>
      </c>
      <c r="O18">
        <v>91.79</v>
      </c>
      <c r="P18">
        <v>57</v>
      </c>
      <c r="Q18">
        <v>21.3</v>
      </c>
      <c r="R18">
        <v>9.6</v>
      </c>
      <c r="S18">
        <v>15.78</v>
      </c>
      <c r="T18">
        <v>5.28</v>
      </c>
      <c r="U18">
        <v>6.04</v>
      </c>
      <c r="V18">
        <v>3806.75</v>
      </c>
      <c r="W18">
        <v>1121.57</v>
      </c>
      <c r="X18">
        <v>1241.3499999999999</v>
      </c>
      <c r="Y18">
        <v>781.04</v>
      </c>
      <c r="Z18">
        <v>5.13</v>
      </c>
      <c r="AA18">
        <v>1.62</v>
      </c>
      <c r="AB18">
        <v>4.3600000000000003</v>
      </c>
      <c r="AC18">
        <v>64.5</v>
      </c>
      <c r="AD18">
        <v>490</v>
      </c>
      <c r="AE18">
        <v>4700</v>
      </c>
      <c r="AF18">
        <v>69.03</v>
      </c>
      <c r="AG18">
        <v>0.47</v>
      </c>
      <c r="AH18">
        <v>13.7</v>
      </c>
      <c r="AI18">
        <v>21.48</v>
      </c>
      <c r="AJ18">
        <v>60</v>
      </c>
      <c r="AK18">
        <v>9</v>
      </c>
      <c r="AL18">
        <v>9</v>
      </c>
      <c r="AM18">
        <v>1.05</v>
      </c>
      <c r="AN18">
        <v>294</v>
      </c>
      <c r="AO18">
        <v>303.48</v>
      </c>
      <c r="AP18">
        <v>455716.14</v>
      </c>
      <c r="AQ18">
        <v>247800.36</v>
      </c>
      <c r="AR18" t="s">
        <v>930</v>
      </c>
      <c r="AT18" s="6">
        <f t="shared" si="3"/>
        <v>11.867339041095892</v>
      </c>
    </row>
    <row r="19" spans="1:46" x14ac:dyDescent="0.55000000000000004">
      <c r="A19">
        <v>20.2</v>
      </c>
      <c r="B19">
        <v>29.67</v>
      </c>
      <c r="C19">
        <v>5797.88</v>
      </c>
      <c r="D19">
        <v>7.61</v>
      </c>
      <c r="E19" t="s">
        <v>59</v>
      </c>
      <c r="F19" t="s">
        <v>304</v>
      </c>
      <c r="G19" t="s">
        <v>537</v>
      </c>
      <c r="H19" t="s">
        <v>695</v>
      </c>
      <c r="I19">
        <v>0</v>
      </c>
      <c r="J19">
        <v>848.84</v>
      </c>
      <c r="K19">
        <f t="shared" si="0"/>
        <v>65.350000000000009</v>
      </c>
      <c r="L19">
        <f t="shared" si="1"/>
        <v>63.87</v>
      </c>
      <c r="M19">
        <f t="shared" si="2"/>
        <v>1.4800000000000111</v>
      </c>
      <c r="N19">
        <v>7.25</v>
      </c>
      <c r="O19">
        <v>92.16</v>
      </c>
      <c r="P19">
        <v>68</v>
      </c>
      <c r="Q19">
        <v>18.899999999999999</v>
      </c>
      <c r="R19">
        <v>9.48</v>
      </c>
      <c r="S19">
        <v>15.01</v>
      </c>
      <c r="T19">
        <v>5.19</v>
      </c>
      <c r="U19">
        <v>6.83</v>
      </c>
      <c r="V19">
        <v>3710.64</v>
      </c>
      <c r="W19">
        <v>1095.67</v>
      </c>
      <c r="X19">
        <v>1243.02</v>
      </c>
      <c r="Y19">
        <v>768.61</v>
      </c>
      <c r="Z19">
        <v>7.67</v>
      </c>
      <c r="AA19">
        <v>1.61</v>
      </c>
      <c r="AB19">
        <v>4.3899999999999997</v>
      </c>
      <c r="AC19">
        <v>64.64</v>
      </c>
      <c r="AD19">
        <v>490</v>
      </c>
      <c r="AE19">
        <v>4700</v>
      </c>
      <c r="AF19">
        <v>68.16</v>
      </c>
      <c r="AG19">
        <v>0.47</v>
      </c>
      <c r="AH19">
        <v>11.69</v>
      </c>
      <c r="AI19">
        <v>39.869999999999997</v>
      </c>
      <c r="AJ19">
        <v>60</v>
      </c>
      <c r="AK19">
        <v>9</v>
      </c>
      <c r="AL19">
        <v>9</v>
      </c>
      <c r="AM19">
        <v>0.56999999999999995</v>
      </c>
      <c r="AN19">
        <v>294</v>
      </c>
      <c r="AO19">
        <v>299.11</v>
      </c>
      <c r="AP19">
        <v>442179.96</v>
      </c>
      <c r="AQ19">
        <v>311616.65000000002</v>
      </c>
      <c r="AR19" t="s">
        <v>931</v>
      </c>
      <c r="AT19" s="6">
        <f t="shared" si="3"/>
        <v>7.452243721461187</v>
      </c>
    </row>
    <row r="20" spans="1:46" x14ac:dyDescent="0.55000000000000004">
      <c r="A20">
        <v>20.16</v>
      </c>
      <c r="B20">
        <v>29.71</v>
      </c>
      <c r="C20">
        <v>5766.11</v>
      </c>
      <c r="D20">
        <v>7.6</v>
      </c>
      <c r="E20" t="s">
        <v>60</v>
      </c>
      <c r="F20" t="s">
        <v>305</v>
      </c>
      <c r="G20" t="s">
        <v>544</v>
      </c>
      <c r="H20" t="s">
        <v>696</v>
      </c>
      <c r="I20">
        <v>0</v>
      </c>
      <c r="J20">
        <v>881.07</v>
      </c>
      <c r="K20">
        <f t="shared" si="0"/>
        <v>69.069999999999993</v>
      </c>
      <c r="L20">
        <f t="shared" si="1"/>
        <v>70.89</v>
      </c>
      <c r="M20">
        <f t="shared" si="2"/>
        <v>-1.8200000000000074</v>
      </c>
      <c r="N20">
        <v>7.28</v>
      </c>
      <c r="O20">
        <v>92.14</v>
      </c>
      <c r="P20">
        <v>70</v>
      </c>
      <c r="Q20">
        <v>18.600000000000001</v>
      </c>
      <c r="R20">
        <v>9.5500000000000007</v>
      </c>
      <c r="S20">
        <v>14.98</v>
      </c>
      <c r="T20">
        <v>5.18</v>
      </c>
      <c r="U20">
        <v>6.54</v>
      </c>
      <c r="V20">
        <v>3690.31</v>
      </c>
      <c r="W20">
        <v>1089.19</v>
      </c>
      <c r="X20">
        <v>1228.6500000000001</v>
      </c>
      <c r="Y20">
        <v>762.84</v>
      </c>
      <c r="Z20">
        <v>5.85</v>
      </c>
      <c r="AA20">
        <v>1.59</v>
      </c>
      <c r="AB20">
        <v>4.42</v>
      </c>
      <c r="AC20">
        <v>64.83</v>
      </c>
      <c r="AD20">
        <v>490</v>
      </c>
      <c r="AE20">
        <v>4700</v>
      </c>
      <c r="AF20">
        <v>68.680000000000007</v>
      </c>
      <c r="AG20">
        <v>0.47</v>
      </c>
      <c r="AH20">
        <v>12.39</v>
      </c>
      <c r="AI20">
        <v>28.74</v>
      </c>
      <c r="AJ20">
        <v>60</v>
      </c>
      <c r="AK20">
        <v>9</v>
      </c>
      <c r="AL20">
        <v>9</v>
      </c>
      <c r="AM20">
        <v>0.79</v>
      </c>
      <c r="AN20">
        <v>294</v>
      </c>
      <c r="AO20">
        <v>301.08999999999997</v>
      </c>
      <c r="AP20">
        <v>446822.64</v>
      </c>
      <c r="AQ20">
        <v>238439.37</v>
      </c>
      <c r="AR20" t="s">
        <v>932</v>
      </c>
      <c r="AT20" s="6">
        <f t="shared" si="3"/>
        <v>11.894022260273974</v>
      </c>
    </row>
    <row r="21" spans="1:46" x14ac:dyDescent="0.55000000000000004">
      <c r="A21">
        <v>19.64</v>
      </c>
      <c r="B21">
        <v>29.29</v>
      </c>
      <c r="C21">
        <v>5726.18</v>
      </c>
      <c r="D21">
        <v>7.61</v>
      </c>
      <c r="E21" t="s">
        <v>61</v>
      </c>
      <c r="F21" t="s">
        <v>306</v>
      </c>
      <c r="G21" t="s">
        <v>544</v>
      </c>
      <c r="H21" t="s">
        <v>697</v>
      </c>
      <c r="I21">
        <v>0</v>
      </c>
      <c r="J21">
        <v>826.25</v>
      </c>
      <c r="K21">
        <f t="shared" si="0"/>
        <v>63.73</v>
      </c>
      <c r="L21">
        <f t="shared" si="1"/>
        <v>64.489999999999995</v>
      </c>
      <c r="M21">
        <f t="shared" si="2"/>
        <v>-0.75999999999999801</v>
      </c>
      <c r="N21">
        <v>7.23</v>
      </c>
      <c r="O21">
        <v>92.16</v>
      </c>
      <c r="P21">
        <v>67</v>
      </c>
      <c r="Q21">
        <v>18.399999999999999</v>
      </c>
      <c r="R21">
        <v>9.65</v>
      </c>
      <c r="S21">
        <v>14.43</v>
      </c>
      <c r="T21">
        <v>5.22</v>
      </c>
      <c r="U21">
        <v>6.93</v>
      </c>
      <c r="V21">
        <v>3664.76</v>
      </c>
      <c r="W21">
        <v>1082.75</v>
      </c>
      <c r="X21">
        <v>1235.28</v>
      </c>
      <c r="Y21">
        <v>760.91</v>
      </c>
      <c r="Z21">
        <v>5.93</v>
      </c>
      <c r="AA21">
        <v>1.59</v>
      </c>
      <c r="AB21">
        <v>4.43</v>
      </c>
      <c r="AC21">
        <v>64.91</v>
      </c>
      <c r="AD21">
        <v>490</v>
      </c>
      <c r="AE21">
        <v>4700</v>
      </c>
      <c r="AF21">
        <v>69.38</v>
      </c>
      <c r="AG21">
        <v>0.47</v>
      </c>
      <c r="AH21">
        <v>11.7</v>
      </c>
      <c r="AI21">
        <v>31.59</v>
      </c>
      <c r="AJ21">
        <v>60</v>
      </c>
      <c r="AK21">
        <v>9</v>
      </c>
      <c r="AL21">
        <v>9</v>
      </c>
      <c r="AM21">
        <v>0.72</v>
      </c>
      <c r="AN21">
        <v>294</v>
      </c>
      <c r="AO21">
        <v>300.45</v>
      </c>
      <c r="AP21">
        <v>441960.42</v>
      </c>
      <c r="AQ21">
        <v>210239.43</v>
      </c>
      <c r="AR21" t="s">
        <v>933</v>
      </c>
      <c r="AT21" s="6">
        <f t="shared" si="3"/>
        <v>13.226083904109588</v>
      </c>
    </row>
    <row r="22" spans="1:46" x14ac:dyDescent="0.55000000000000004">
      <c r="A22">
        <v>19</v>
      </c>
      <c r="B22">
        <v>28.7</v>
      </c>
      <c r="C22">
        <v>5656.49</v>
      </c>
      <c r="D22">
        <v>7.6</v>
      </c>
      <c r="E22" t="s">
        <v>62</v>
      </c>
      <c r="F22" t="s">
        <v>307</v>
      </c>
      <c r="G22" t="s">
        <v>543</v>
      </c>
      <c r="H22" t="s">
        <v>698</v>
      </c>
      <c r="I22">
        <v>0</v>
      </c>
      <c r="J22">
        <v>851.16</v>
      </c>
      <c r="K22">
        <f t="shared" si="0"/>
        <v>65.850000000000009</v>
      </c>
      <c r="L22">
        <f t="shared" si="1"/>
        <v>67.03</v>
      </c>
      <c r="M22">
        <f t="shared" si="2"/>
        <v>-1.1799999999999926</v>
      </c>
      <c r="N22">
        <v>7.25</v>
      </c>
      <c r="O22">
        <v>91.83</v>
      </c>
      <c r="P22">
        <v>64</v>
      </c>
      <c r="Q22">
        <v>18</v>
      </c>
      <c r="R22">
        <v>9.7100000000000009</v>
      </c>
      <c r="S22">
        <v>13.7</v>
      </c>
      <c r="T22">
        <v>5.3</v>
      </c>
      <c r="U22">
        <v>6.65</v>
      </c>
      <c r="V22">
        <v>3620.15</v>
      </c>
      <c r="W22">
        <v>1069.05</v>
      </c>
      <c r="X22">
        <v>1213.1600000000001</v>
      </c>
      <c r="Y22">
        <v>750.07</v>
      </c>
      <c r="Z22">
        <v>5.89</v>
      </c>
      <c r="AA22">
        <v>1.56</v>
      </c>
      <c r="AB22">
        <v>4.49</v>
      </c>
      <c r="AC22">
        <v>64.680000000000007</v>
      </c>
      <c r="AD22">
        <v>490</v>
      </c>
      <c r="AE22">
        <v>4700</v>
      </c>
      <c r="AF22">
        <v>69.790000000000006</v>
      </c>
      <c r="AG22">
        <v>0.47</v>
      </c>
      <c r="AH22">
        <v>12.36</v>
      </c>
      <c r="AI22">
        <v>30.4</v>
      </c>
      <c r="AJ22">
        <v>60</v>
      </c>
      <c r="AK22">
        <v>9</v>
      </c>
      <c r="AL22">
        <v>9</v>
      </c>
      <c r="AM22">
        <v>0.74</v>
      </c>
      <c r="AN22">
        <v>294</v>
      </c>
      <c r="AO22">
        <v>300.7</v>
      </c>
      <c r="AP22">
        <v>443081.67</v>
      </c>
      <c r="AQ22">
        <v>221673.59</v>
      </c>
      <c r="AR22" t="s">
        <v>934</v>
      </c>
      <c r="AT22" s="6">
        <f t="shared" si="3"/>
        <v>12.637447488584474</v>
      </c>
    </row>
    <row r="23" spans="1:46" x14ac:dyDescent="0.55000000000000004">
      <c r="A23">
        <v>18.18</v>
      </c>
      <c r="B23">
        <v>28.29</v>
      </c>
      <c r="C23">
        <v>5646.71</v>
      </c>
      <c r="D23">
        <v>7.6</v>
      </c>
      <c r="E23" t="s">
        <v>63</v>
      </c>
      <c r="F23" t="s">
        <v>308</v>
      </c>
      <c r="G23" t="s">
        <v>545</v>
      </c>
      <c r="H23" t="s">
        <v>699</v>
      </c>
      <c r="I23">
        <v>0</v>
      </c>
      <c r="J23">
        <v>448.43</v>
      </c>
      <c r="K23">
        <f t="shared" si="0"/>
        <v>41.55</v>
      </c>
      <c r="L23">
        <f t="shared" si="1"/>
        <v>37.29</v>
      </c>
      <c r="M23">
        <f t="shared" si="2"/>
        <v>4.259999999999998</v>
      </c>
      <c r="N23">
        <v>6.93</v>
      </c>
      <c r="O23">
        <v>89.96</v>
      </c>
      <c r="P23">
        <v>72</v>
      </c>
      <c r="Q23">
        <v>16.600000000000001</v>
      </c>
      <c r="R23">
        <v>10.11</v>
      </c>
      <c r="S23">
        <v>13.34</v>
      </c>
      <c r="T23">
        <v>4.84</v>
      </c>
      <c r="U23">
        <v>12.59</v>
      </c>
      <c r="V23">
        <v>3613.89</v>
      </c>
      <c r="W23">
        <v>1082.44</v>
      </c>
      <c r="X23">
        <v>1419.38</v>
      </c>
      <c r="Y23">
        <v>794.76</v>
      </c>
      <c r="Z23">
        <v>7.24</v>
      </c>
      <c r="AA23">
        <v>1.61</v>
      </c>
      <c r="AB23">
        <v>4.38</v>
      </c>
      <c r="AC23">
        <v>67.64</v>
      </c>
      <c r="AD23">
        <v>490</v>
      </c>
      <c r="AE23">
        <v>4700</v>
      </c>
      <c r="AF23">
        <v>72.69</v>
      </c>
      <c r="AG23">
        <v>0.47</v>
      </c>
      <c r="AH23">
        <v>6.27</v>
      </c>
      <c r="AI23">
        <v>59.17</v>
      </c>
      <c r="AJ23">
        <v>60</v>
      </c>
      <c r="AK23">
        <v>9</v>
      </c>
      <c r="AL23">
        <v>9</v>
      </c>
      <c r="AM23">
        <v>0.38</v>
      </c>
      <c r="AN23">
        <v>294</v>
      </c>
      <c r="AO23">
        <v>297.44</v>
      </c>
      <c r="AP23">
        <v>421496.85</v>
      </c>
      <c r="AQ23">
        <v>113786.69</v>
      </c>
      <c r="AR23" t="s">
        <v>935</v>
      </c>
      <c r="AT23" s="6">
        <f t="shared" si="3"/>
        <v>17.563365296803653</v>
      </c>
    </row>
    <row r="24" spans="1:46" x14ac:dyDescent="0.55000000000000004">
      <c r="A24">
        <v>17.89</v>
      </c>
      <c r="B24">
        <v>27.73</v>
      </c>
      <c r="C24">
        <v>5618.29</v>
      </c>
      <c r="D24">
        <v>7.6</v>
      </c>
      <c r="E24" t="s">
        <v>64</v>
      </c>
      <c r="F24" t="s">
        <v>309</v>
      </c>
      <c r="G24" t="s">
        <v>546</v>
      </c>
      <c r="H24" t="s">
        <v>700</v>
      </c>
      <c r="I24">
        <v>0</v>
      </c>
      <c r="J24">
        <v>723.03</v>
      </c>
      <c r="K24">
        <f t="shared" si="0"/>
        <v>55.59</v>
      </c>
      <c r="L24">
        <f t="shared" si="1"/>
        <v>54.7</v>
      </c>
      <c r="M24">
        <f t="shared" si="2"/>
        <v>0.89000000000000057</v>
      </c>
      <c r="N24">
        <v>7.15</v>
      </c>
      <c r="O24">
        <v>91.23</v>
      </c>
      <c r="P24">
        <v>72</v>
      </c>
      <c r="Q24">
        <v>16.100000000000001</v>
      </c>
      <c r="R24">
        <v>9.84</v>
      </c>
      <c r="S24">
        <v>12.87</v>
      </c>
      <c r="T24">
        <v>5.0199999999999996</v>
      </c>
      <c r="U24">
        <v>7.77</v>
      </c>
      <c r="V24">
        <v>3595.71</v>
      </c>
      <c r="W24">
        <v>1064.6300000000001</v>
      </c>
      <c r="X24">
        <v>1244.45</v>
      </c>
      <c r="Y24">
        <v>753.58</v>
      </c>
      <c r="Z24">
        <v>6.1</v>
      </c>
      <c r="AA24">
        <v>1.54</v>
      </c>
      <c r="AB24">
        <v>4.5199999999999996</v>
      </c>
      <c r="AC24">
        <v>66.22</v>
      </c>
      <c r="AD24">
        <v>490</v>
      </c>
      <c r="AE24">
        <v>4700</v>
      </c>
      <c r="AF24">
        <v>70.739999999999995</v>
      </c>
      <c r="AG24">
        <v>0.47</v>
      </c>
      <c r="AH24">
        <v>10.45</v>
      </c>
      <c r="AI24">
        <v>37.24</v>
      </c>
      <c r="AJ24">
        <v>60</v>
      </c>
      <c r="AK24">
        <v>9</v>
      </c>
      <c r="AL24">
        <v>9</v>
      </c>
      <c r="AM24">
        <v>0.61</v>
      </c>
      <c r="AN24">
        <v>294</v>
      </c>
      <c r="AO24">
        <v>299.47000000000003</v>
      </c>
      <c r="AP24">
        <v>435147.55</v>
      </c>
      <c r="AQ24">
        <v>168163.39</v>
      </c>
      <c r="AR24" t="s">
        <v>936</v>
      </c>
      <c r="AT24" s="6">
        <f t="shared" si="3"/>
        <v>15.238821917808218</v>
      </c>
    </row>
    <row r="25" spans="1:46" x14ac:dyDescent="0.55000000000000004">
      <c r="A25">
        <v>19.25</v>
      </c>
      <c r="B25">
        <v>28.99</v>
      </c>
      <c r="C25">
        <v>5692.25</v>
      </c>
      <c r="D25">
        <v>7.6</v>
      </c>
      <c r="E25" t="s">
        <v>65</v>
      </c>
      <c r="F25" t="s">
        <v>310</v>
      </c>
      <c r="G25" t="s">
        <v>544</v>
      </c>
      <c r="H25" t="s">
        <v>701</v>
      </c>
      <c r="I25">
        <v>0</v>
      </c>
      <c r="J25">
        <v>1007.44</v>
      </c>
      <c r="K25">
        <f t="shared" si="0"/>
        <v>85.41</v>
      </c>
      <c r="L25">
        <f t="shared" si="1"/>
        <v>92.179999999999993</v>
      </c>
      <c r="M25">
        <f t="shared" si="2"/>
        <v>-6.769999999999996</v>
      </c>
      <c r="N25">
        <v>7.38</v>
      </c>
      <c r="O25">
        <v>92.01</v>
      </c>
      <c r="P25">
        <v>64</v>
      </c>
      <c r="Q25">
        <v>18.2</v>
      </c>
      <c r="R25">
        <v>9.74</v>
      </c>
      <c r="S25">
        <v>13.88</v>
      </c>
      <c r="T25">
        <v>5.37</v>
      </c>
      <c r="U25">
        <v>5.65</v>
      </c>
      <c r="V25">
        <v>3643.04</v>
      </c>
      <c r="W25">
        <v>1073.18</v>
      </c>
      <c r="X25">
        <v>1184.72</v>
      </c>
      <c r="Y25">
        <v>746.86</v>
      </c>
      <c r="Z25">
        <v>5.0999999999999996</v>
      </c>
      <c r="AA25">
        <v>1.55</v>
      </c>
      <c r="AB25">
        <v>4.5</v>
      </c>
      <c r="AC25">
        <v>64.45</v>
      </c>
      <c r="AD25">
        <v>490</v>
      </c>
      <c r="AE25">
        <v>4700</v>
      </c>
      <c r="AF25">
        <v>70.040000000000006</v>
      </c>
      <c r="AG25">
        <v>0.47</v>
      </c>
      <c r="AH25">
        <v>15.06</v>
      </c>
      <c r="AI25">
        <v>20.260000000000002</v>
      </c>
      <c r="AJ25">
        <v>60</v>
      </c>
      <c r="AK25">
        <v>9</v>
      </c>
      <c r="AL25">
        <v>9</v>
      </c>
      <c r="AM25">
        <v>1.1200000000000001</v>
      </c>
      <c r="AN25">
        <v>294</v>
      </c>
      <c r="AO25">
        <v>304.06</v>
      </c>
      <c r="AP25">
        <v>460955.23</v>
      </c>
      <c r="AQ25">
        <v>264775.12</v>
      </c>
      <c r="AR25" t="s">
        <v>937</v>
      </c>
      <c r="AT25" s="6">
        <f t="shared" si="3"/>
        <v>11.197494863013699</v>
      </c>
    </row>
    <row r="26" spans="1:46" x14ac:dyDescent="0.55000000000000004">
      <c r="A26">
        <v>18.25</v>
      </c>
      <c r="B26">
        <v>28.44</v>
      </c>
      <c r="C26">
        <v>5615.71</v>
      </c>
      <c r="D26">
        <v>7.59</v>
      </c>
      <c r="E26" t="s">
        <v>66</v>
      </c>
      <c r="F26" t="s">
        <v>311</v>
      </c>
      <c r="G26" t="s">
        <v>547</v>
      </c>
      <c r="H26" t="s">
        <v>702</v>
      </c>
      <c r="I26">
        <v>0</v>
      </c>
      <c r="J26">
        <v>954.58</v>
      </c>
      <c r="K26">
        <f t="shared" si="0"/>
        <v>78.289999999999992</v>
      </c>
      <c r="L26">
        <f t="shared" si="1"/>
        <v>81.97</v>
      </c>
      <c r="M26">
        <f t="shared" si="2"/>
        <v>-3.6800000000000068</v>
      </c>
      <c r="N26">
        <v>7.34</v>
      </c>
      <c r="O26">
        <v>89.84</v>
      </c>
      <c r="P26">
        <v>70</v>
      </c>
      <c r="Q26">
        <v>17.2</v>
      </c>
      <c r="R26">
        <v>10.19</v>
      </c>
      <c r="S26">
        <v>13.67</v>
      </c>
      <c r="T26">
        <v>4.58</v>
      </c>
      <c r="U26">
        <v>5.88</v>
      </c>
      <c r="V26">
        <v>3594.05</v>
      </c>
      <c r="W26">
        <v>1059.78</v>
      </c>
      <c r="X26">
        <v>1181.32</v>
      </c>
      <c r="Y26">
        <v>739.76</v>
      </c>
      <c r="Z26">
        <v>5.73</v>
      </c>
      <c r="AA26">
        <v>1.51</v>
      </c>
      <c r="AB26">
        <v>4.5599999999999996</v>
      </c>
      <c r="AC26">
        <v>68.98</v>
      </c>
      <c r="AD26">
        <v>490</v>
      </c>
      <c r="AE26">
        <v>4700</v>
      </c>
      <c r="AF26">
        <v>73.260000000000005</v>
      </c>
      <c r="AG26">
        <v>0.47</v>
      </c>
      <c r="AH26">
        <v>15</v>
      </c>
      <c r="AI26">
        <v>24.86</v>
      </c>
      <c r="AJ26">
        <v>60</v>
      </c>
      <c r="AK26">
        <v>9</v>
      </c>
      <c r="AL26">
        <v>9</v>
      </c>
      <c r="AM26">
        <v>0.91</v>
      </c>
      <c r="AN26">
        <v>294</v>
      </c>
      <c r="AO26">
        <v>302.2</v>
      </c>
      <c r="AP26">
        <v>455203.09</v>
      </c>
      <c r="AQ26">
        <v>284566.27</v>
      </c>
      <c r="AR26" t="s">
        <v>938</v>
      </c>
      <c r="AT26" s="6">
        <f t="shared" si="3"/>
        <v>9.7395445205479447</v>
      </c>
    </row>
    <row r="27" spans="1:46" x14ac:dyDescent="0.55000000000000004">
      <c r="A27">
        <v>18.21</v>
      </c>
      <c r="B27">
        <v>28.23</v>
      </c>
      <c r="C27">
        <v>5660.25</v>
      </c>
      <c r="D27">
        <v>7.58</v>
      </c>
      <c r="E27" t="s">
        <v>67</v>
      </c>
      <c r="F27" t="s">
        <v>312</v>
      </c>
      <c r="G27" t="s">
        <v>548</v>
      </c>
      <c r="H27" t="s">
        <v>703</v>
      </c>
      <c r="I27">
        <v>0</v>
      </c>
      <c r="J27">
        <v>365.17</v>
      </c>
      <c r="K27">
        <f t="shared" si="0"/>
        <v>38.380000000000003</v>
      </c>
      <c r="L27">
        <f t="shared" si="1"/>
        <v>33.520000000000003</v>
      </c>
      <c r="M27">
        <f t="shared" si="2"/>
        <v>4.8599999999999994</v>
      </c>
      <c r="N27">
        <v>6.86</v>
      </c>
      <c r="O27">
        <v>91.29</v>
      </c>
      <c r="P27">
        <v>63</v>
      </c>
      <c r="Q27">
        <v>17.7</v>
      </c>
      <c r="R27">
        <v>10.02</v>
      </c>
      <c r="S27">
        <v>13.3</v>
      </c>
      <c r="T27">
        <v>4.9000000000000004</v>
      </c>
      <c r="U27">
        <v>15.5</v>
      </c>
      <c r="V27">
        <v>3622.56</v>
      </c>
      <c r="W27">
        <v>1090.47</v>
      </c>
      <c r="X27">
        <v>1509.5</v>
      </c>
      <c r="Y27">
        <v>814.41</v>
      </c>
      <c r="Z27">
        <v>7.44</v>
      </c>
      <c r="AA27">
        <v>1.62</v>
      </c>
      <c r="AB27">
        <v>4.34</v>
      </c>
      <c r="AC27">
        <v>67.14</v>
      </c>
      <c r="AD27">
        <v>490</v>
      </c>
      <c r="AE27">
        <v>4700</v>
      </c>
      <c r="AF27">
        <v>72.06</v>
      </c>
      <c r="AG27">
        <v>0.47</v>
      </c>
      <c r="AH27">
        <v>4.97</v>
      </c>
      <c r="AI27">
        <v>65.86</v>
      </c>
      <c r="AJ27">
        <v>60</v>
      </c>
      <c r="AK27">
        <v>9</v>
      </c>
      <c r="AL27">
        <v>9</v>
      </c>
      <c r="AM27">
        <v>0.34</v>
      </c>
      <c r="AN27">
        <v>294</v>
      </c>
      <c r="AO27">
        <v>297.08999999999997</v>
      </c>
      <c r="AP27">
        <v>419770.69</v>
      </c>
      <c r="AQ27">
        <v>98110.91</v>
      </c>
      <c r="AR27" t="s">
        <v>939</v>
      </c>
      <c r="AT27" s="6">
        <f t="shared" si="3"/>
        <v>18.359576484018266</v>
      </c>
    </row>
    <row r="28" spans="1:46" x14ac:dyDescent="0.55000000000000004">
      <c r="A28">
        <v>19.010000000000002</v>
      </c>
      <c r="B28">
        <v>28.66</v>
      </c>
      <c r="C28">
        <v>5665.9</v>
      </c>
      <c r="D28">
        <v>7.6</v>
      </c>
      <c r="E28" t="s">
        <v>68</v>
      </c>
      <c r="F28" t="s">
        <v>313</v>
      </c>
      <c r="G28" t="s">
        <v>549</v>
      </c>
      <c r="H28" t="s">
        <v>704</v>
      </c>
      <c r="I28">
        <v>0</v>
      </c>
      <c r="J28">
        <v>918.04</v>
      </c>
      <c r="K28">
        <f t="shared" si="0"/>
        <v>73.14</v>
      </c>
      <c r="L28">
        <f t="shared" si="1"/>
        <v>77.17</v>
      </c>
      <c r="M28">
        <f t="shared" si="2"/>
        <v>-4.0300000000000011</v>
      </c>
      <c r="N28">
        <v>7.3</v>
      </c>
      <c r="O28">
        <v>91.99</v>
      </c>
      <c r="P28">
        <v>59</v>
      </c>
      <c r="Q28">
        <v>18.399999999999999</v>
      </c>
      <c r="R28">
        <v>9.66</v>
      </c>
      <c r="S28">
        <v>13.45</v>
      </c>
      <c r="T28">
        <v>5.56</v>
      </c>
      <c r="U28">
        <v>6.17</v>
      </c>
      <c r="V28">
        <v>3626.18</v>
      </c>
      <c r="W28">
        <v>1069.54</v>
      </c>
      <c r="X28">
        <v>1197.81</v>
      </c>
      <c r="Y28">
        <v>747.45</v>
      </c>
      <c r="Z28">
        <v>5.21</v>
      </c>
      <c r="AA28">
        <v>1.55</v>
      </c>
      <c r="AB28">
        <v>4.5</v>
      </c>
      <c r="AC28">
        <v>63.47</v>
      </c>
      <c r="AD28">
        <v>490</v>
      </c>
      <c r="AE28">
        <v>4700</v>
      </c>
      <c r="AF28">
        <v>69.44</v>
      </c>
      <c r="AG28">
        <v>0.47</v>
      </c>
      <c r="AH28">
        <v>13.43</v>
      </c>
      <c r="AI28">
        <v>24.2</v>
      </c>
      <c r="AJ28">
        <v>60</v>
      </c>
      <c r="AK28">
        <v>9</v>
      </c>
      <c r="AL28">
        <v>9</v>
      </c>
      <c r="AM28">
        <v>0.94</v>
      </c>
      <c r="AN28">
        <v>294</v>
      </c>
      <c r="AO28">
        <v>302.42</v>
      </c>
      <c r="AP28">
        <v>450730.9</v>
      </c>
      <c r="AQ28">
        <v>210258.62</v>
      </c>
      <c r="AR28" t="s">
        <v>940</v>
      </c>
      <c r="AT28" s="6">
        <f t="shared" si="3"/>
        <v>13.72558675799087</v>
      </c>
    </row>
    <row r="29" spans="1:46" x14ac:dyDescent="0.55000000000000004">
      <c r="A29">
        <v>18.55</v>
      </c>
      <c r="B29">
        <v>28.48</v>
      </c>
      <c r="C29">
        <v>5552.4</v>
      </c>
      <c r="D29">
        <v>7.61</v>
      </c>
      <c r="E29" t="s">
        <v>69</v>
      </c>
      <c r="F29" t="s">
        <v>314</v>
      </c>
      <c r="G29" t="s">
        <v>542</v>
      </c>
      <c r="H29" t="s">
        <v>705</v>
      </c>
      <c r="I29">
        <v>0</v>
      </c>
      <c r="J29">
        <v>941.84</v>
      </c>
      <c r="K29">
        <f t="shared" si="0"/>
        <v>76.149999999999991</v>
      </c>
      <c r="L29">
        <f t="shared" si="1"/>
        <v>80.849999999999994</v>
      </c>
      <c r="M29">
        <f t="shared" si="2"/>
        <v>-4.7000000000000028</v>
      </c>
      <c r="N29">
        <v>7.32</v>
      </c>
      <c r="O29">
        <v>90.09</v>
      </c>
      <c r="P29">
        <v>65</v>
      </c>
      <c r="Q29">
        <v>17.8</v>
      </c>
      <c r="R29">
        <v>9.93</v>
      </c>
      <c r="S29">
        <v>13.63</v>
      </c>
      <c r="T29">
        <v>4.92</v>
      </c>
      <c r="U29">
        <v>5.9</v>
      </c>
      <c r="V29">
        <v>3553.54</v>
      </c>
      <c r="W29">
        <v>1047.8499999999999</v>
      </c>
      <c r="X29">
        <v>1169.3800000000001</v>
      </c>
      <c r="Y29">
        <v>731.59</v>
      </c>
      <c r="Z29">
        <v>5.18</v>
      </c>
      <c r="AA29">
        <v>1.53</v>
      </c>
      <c r="AB29">
        <v>4.55</v>
      </c>
      <c r="AC29">
        <v>66.87</v>
      </c>
      <c r="AD29">
        <v>490</v>
      </c>
      <c r="AE29">
        <v>4700</v>
      </c>
      <c r="AF29">
        <v>71.41</v>
      </c>
      <c r="AG29">
        <v>0.47</v>
      </c>
      <c r="AH29">
        <v>14.59</v>
      </c>
      <c r="AI29">
        <v>23.1</v>
      </c>
      <c r="AJ29">
        <v>60</v>
      </c>
      <c r="AK29">
        <v>9</v>
      </c>
      <c r="AL29">
        <v>9</v>
      </c>
      <c r="AM29">
        <v>0.98</v>
      </c>
      <c r="AN29">
        <v>294</v>
      </c>
      <c r="AO29">
        <v>302.82</v>
      </c>
      <c r="AP29">
        <v>453172.89</v>
      </c>
      <c r="AQ29">
        <v>222669.03</v>
      </c>
      <c r="AR29" t="s">
        <v>941</v>
      </c>
      <c r="AT29" s="6">
        <f t="shared" si="3"/>
        <v>13.156613013698632</v>
      </c>
    </row>
    <row r="30" spans="1:46" x14ac:dyDescent="0.55000000000000004">
      <c r="A30">
        <v>18.38</v>
      </c>
      <c r="B30">
        <v>28.39</v>
      </c>
      <c r="C30">
        <v>5641.3</v>
      </c>
      <c r="D30">
        <v>7.6</v>
      </c>
      <c r="E30" t="s">
        <v>70</v>
      </c>
      <c r="F30" t="s">
        <v>315</v>
      </c>
      <c r="G30" t="s">
        <v>550</v>
      </c>
      <c r="H30" t="s">
        <v>706</v>
      </c>
      <c r="I30">
        <v>0</v>
      </c>
      <c r="J30">
        <v>444.28</v>
      </c>
      <c r="K30">
        <f t="shared" si="0"/>
        <v>41.41</v>
      </c>
      <c r="L30">
        <f t="shared" si="1"/>
        <v>37.119999999999997</v>
      </c>
      <c r="M30">
        <f t="shared" si="2"/>
        <v>4.2899999999999991</v>
      </c>
      <c r="N30">
        <v>6.93</v>
      </c>
      <c r="O30">
        <v>92.14</v>
      </c>
      <c r="P30">
        <v>64</v>
      </c>
      <c r="Q30">
        <v>17.600000000000001</v>
      </c>
      <c r="R30">
        <v>10.01</v>
      </c>
      <c r="S30">
        <v>13.33</v>
      </c>
      <c r="T30">
        <v>5.05</v>
      </c>
      <c r="U30">
        <v>12.7</v>
      </c>
      <c r="V30">
        <v>3610.43</v>
      </c>
      <c r="W30">
        <v>1081.33</v>
      </c>
      <c r="X30">
        <v>1419.45</v>
      </c>
      <c r="Y30">
        <v>794.04</v>
      </c>
      <c r="Z30">
        <v>7.25</v>
      </c>
      <c r="AA30">
        <v>1.62</v>
      </c>
      <c r="AB30">
        <v>4.37</v>
      </c>
      <c r="AC30">
        <v>66.459999999999994</v>
      </c>
      <c r="AD30">
        <v>490</v>
      </c>
      <c r="AE30">
        <v>4700</v>
      </c>
      <c r="AF30">
        <v>71.95</v>
      </c>
      <c r="AG30">
        <v>0.47</v>
      </c>
      <c r="AH30">
        <v>6.15</v>
      </c>
      <c r="AI30">
        <v>59.45</v>
      </c>
      <c r="AJ30">
        <v>60</v>
      </c>
      <c r="AK30">
        <v>9</v>
      </c>
      <c r="AL30">
        <v>9</v>
      </c>
      <c r="AM30">
        <v>0.38</v>
      </c>
      <c r="AN30">
        <v>294</v>
      </c>
      <c r="AO30">
        <v>297.43</v>
      </c>
      <c r="AP30">
        <v>422241</v>
      </c>
      <c r="AQ30">
        <v>113610.67</v>
      </c>
      <c r="AR30" t="s">
        <v>942</v>
      </c>
      <c r="AT30" s="6">
        <f t="shared" si="3"/>
        <v>17.615886415525114</v>
      </c>
    </row>
    <row r="31" spans="1:46" x14ac:dyDescent="0.55000000000000004">
      <c r="A31">
        <v>17.95</v>
      </c>
      <c r="B31">
        <v>28.36</v>
      </c>
      <c r="C31">
        <v>5659.86</v>
      </c>
      <c r="D31">
        <v>7.59</v>
      </c>
      <c r="E31" t="s">
        <v>71</v>
      </c>
      <c r="F31" t="s">
        <v>316</v>
      </c>
      <c r="G31" t="s">
        <v>551</v>
      </c>
      <c r="H31" t="s">
        <v>707</v>
      </c>
      <c r="I31">
        <v>0</v>
      </c>
      <c r="J31">
        <v>944.7</v>
      </c>
      <c r="K31">
        <f t="shared" si="0"/>
        <v>76.150000000000006</v>
      </c>
      <c r="L31">
        <f t="shared" si="1"/>
        <v>80.8</v>
      </c>
      <c r="M31">
        <f t="shared" si="2"/>
        <v>-4.6499999999999915</v>
      </c>
      <c r="N31">
        <v>7.32</v>
      </c>
      <c r="O31">
        <v>90.48</v>
      </c>
      <c r="P31">
        <v>71</v>
      </c>
      <c r="Q31">
        <v>16.399999999999999</v>
      </c>
      <c r="R31">
        <v>10.42</v>
      </c>
      <c r="S31">
        <v>13.04</v>
      </c>
      <c r="T31">
        <v>4.91</v>
      </c>
      <c r="U31">
        <v>5.99</v>
      </c>
      <c r="V31">
        <v>3622.31</v>
      </c>
      <c r="W31">
        <v>1067.92</v>
      </c>
      <c r="X31">
        <v>1190.2</v>
      </c>
      <c r="Y31">
        <v>745.23</v>
      </c>
      <c r="Z31">
        <v>5.18</v>
      </c>
      <c r="AA31">
        <v>1.52</v>
      </c>
      <c r="AB31">
        <v>4.5599999999999996</v>
      </c>
      <c r="AC31">
        <v>67.98</v>
      </c>
      <c r="AD31">
        <v>490</v>
      </c>
      <c r="AE31">
        <v>4700</v>
      </c>
      <c r="AF31">
        <v>74.900000000000006</v>
      </c>
      <c r="AG31">
        <v>0.47</v>
      </c>
      <c r="AH31">
        <v>15.01</v>
      </c>
      <c r="AI31">
        <v>23.11</v>
      </c>
      <c r="AJ31">
        <v>60</v>
      </c>
      <c r="AK31">
        <v>9</v>
      </c>
      <c r="AL31">
        <v>9</v>
      </c>
      <c r="AM31">
        <v>0.98</v>
      </c>
      <c r="AN31">
        <v>294</v>
      </c>
      <c r="AO31">
        <v>302.81</v>
      </c>
      <c r="AP31">
        <v>453006.2</v>
      </c>
      <c r="AQ31">
        <v>224130.12</v>
      </c>
      <c r="AR31" t="s">
        <v>943</v>
      </c>
      <c r="AT31" s="6">
        <f t="shared" si="3"/>
        <v>13.063703196347033</v>
      </c>
    </row>
    <row r="32" spans="1:46" x14ac:dyDescent="0.55000000000000004">
      <c r="A32">
        <v>18.39</v>
      </c>
      <c r="B32">
        <v>28.47</v>
      </c>
      <c r="C32">
        <v>5580.56</v>
      </c>
      <c r="D32">
        <v>7.6</v>
      </c>
      <c r="E32" t="s">
        <v>72</v>
      </c>
      <c r="F32" t="s">
        <v>317</v>
      </c>
      <c r="G32" t="s">
        <v>552</v>
      </c>
      <c r="H32" t="s">
        <v>708</v>
      </c>
      <c r="I32">
        <v>0</v>
      </c>
      <c r="J32">
        <v>961.18</v>
      </c>
      <c r="K32">
        <f t="shared" si="0"/>
        <v>79.400000000000006</v>
      </c>
      <c r="L32">
        <f t="shared" si="1"/>
        <v>84.81</v>
      </c>
      <c r="M32">
        <f t="shared" si="2"/>
        <v>-5.4099999999999966</v>
      </c>
      <c r="N32">
        <v>7.34</v>
      </c>
      <c r="O32">
        <v>90.55</v>
      </c>
      <c r="P32">
        <v>67</v>
      </c>
      <c r="Q32">
        <v>17.600000000000001</v>
      </c>
      <c r="R32">
        <v>10.08</v>
      </c>
      <c r="S32">
        <v>13.69</v>
      </c>
      <c r="T32">
        <v>4.7</v>
      </c>
      <c r="U32">
        <v>5.81</v>
      </c>
      <c r="V32">
        <v>3571.56</v>
      </c>
      <c r="W32">
        <v>1053.17</v>
      </c>
      <c r="X32">
        <v>1173.45</v>
      </c>
      <c r="Y32">
        <v>735.11</v>
      </c>
      <c r="Z32">
        <v>5.15</v>
      </c>
      <c r="AA32">
        <v>1.52</v>
      </c>
      <c r="AB32">
        <v>4.55</v>
      </c>
      <c r="AC32">
        <v>68.2</v>
      </c>
      <c r="AD32">
        <v>490</v>
      </c>
      <c r="AE32">
        <v>4700</v>
      </c>
      <c r="AF32">
        <v>72.5</v>
      </c>
      <c r="AG32">
        <v>0.47</v>
      </c>
      <c r="AH32">
        <v>15.09</v>
      </c>
      <c r="AI32">
        <v>22.02</v>
      </c>
      <c r="AJ32">
        <v>60</v>
      </c>
      <c r="AK32">
        <v>9</v>
      </c>
      <c r="AL32">
        <v>9</v>
      </c>
      <c r="AM32">
        <v>1.03</v>
      </c>
      <c r="AN32">
        <v>294</v>
      </c>
      <c r="AO32">
        <v>303.25</v>
      </c>
      <c r="AP32">
        <v>456322.2</v>
      </c>
      <c r="AQ32">
        <v>233903.96</v>
      </c>
      <c r="AR32" t="s">
        <v>944</v>
      </c>
      <c r="AT32" s="6">
        <f t="shared" si="3"/>
        <v>12.695105022831051</v>
      </c>
    </row>
    <row r="33" spans="1:46" x14ac:dyDescent="0.55000000000000004">
      <c r="A33">
        <v>18.95</v>
      </c>
      <c r="B33">
        <v>28.66</v>
      </c>
      <c r="C33">
        <v>5634.86</v>
      </c>
      <c r="D33">
        <v>7.6</v>
      </c>
      <c r="E33" t="s">
        <v>73</v>
      </c>
      <c r="F33" t="s">
        <v>318</v>
      </c>
      <c r="G33" t="s">
        <v>545</v>
      </c>
      <c r="H33" t="s">
        <v>709</v>
      </c>
      <c r="I33">
        <v>0</v>
      </c>
      <c r="J33">
        <v>953.37</v>
      </c>
      <c r="K33">
        <f t="shared" si="0"/>
        <v>77.64</v>
      </c>
      <c r="L33">
        <f t="shared" si="1"/>
        <v>82.67</v>
      </c>
      <c r="M33">
        <f t="shared" si="2"/>
        <v>-5.0300000000000011</v>
      </c>
      <c r="N33">
        <v>7.33</v>
      </c>
      <c r="O33">
        <v>92.24</v>
      </c>
      <c r="P33">
        <v>65</v>
      </c>
      <c r="Q33">
        <v>17.8</v>
      </c>
      <c r="R33">
        <v>9.7100000000000009</v>
      </c>
      <c r="S33">
        <v>13.63</v>
      </c>
      <c r="T33">
        <v>5.32</v>
      </c>
      <c r="U33">
        <v>5.91</v>
      </c>
      <c r="V33">
        <v>3606.31</v>
      </c>
      <c r="W33">
        <v>1063.1500000000001</v>
      </c>
      <c r="X33">
        <v>1183.7</v>
      </c>
      <c r="Y33">
        <v>741.73</v>
      </c>
      <c r="Z33">
        <v>5.16</v>
      </c>
      <c r="AA33">
        <v>1.53</v>
      </c>
      <c r="AB33">
        <v>4.53</v>
      </c>
      <c r="AC33">
        <v>64.61</v>
      </c>
      <c r="AD33">
        <v>490</v>
      </c>
      <c r="AE33">
        <v>4700</v>
      </c>
      <c r="AF33">
        <v>69.81</v>
      </c>
      <c r="AG33">
        <v>0.47</v>
      </c>
      <c r="AH33">
        <v>14.22</v>
      </c>
      <c r="AI33">
        <v>22.59</v>
      </c>
      <c r="AJ33">
        <v>60</v>
      </c>
      <c r="AK33">
        <v>9</v>
      </c>
      <c r="AL33">
        <v>9</v>
      </c>
      <c r="AM33">
        <v>1</v>
      </c>
      <c r="AN33">
        <v>294</v>
      </c>
      <c r="AO33">
        <v>303.02</v>
      </c>
      <c r="AP33">
        <v>454678.08</v>
      </c>
      <c r="AQ33">
        <v>229961.25</v>
      </c>
      <c r="AR33" t="s">
        <v>945</v>
      </c>
      <c r="AT33" s="6">
        <f t="shared" si="3"/>
        <v>12.826303082191782</v>
      </c>
    </row>
    <row r="34" spans="1:46" x14ac:dyDescent="0.55000000000000004">
      <c r="A34">
        <v>18.260000000000002</v>
      </c>
      <c r="B34">
        <v>28.46</v>
      </c>
      <c r="C34">
        <v>5677.8</v>
      </c>
      <c r="D34">
        <v>7.6</v>
      </c>
      <c r="E34" t="s">
        <v>74</v>
      </c>
      <c r="F34" t="s">
        <v>319</v>
      </c>
      <c r="G34" t="s">
        <v>553</v>
      </c>
      <c r="H34" t="s">
        <v>710</v>
      </c>
      <c r="I34">
        <v>0</v>
      </c>
      <c r="J34">
        <v>444.91</v>
      </c>
      <c r="K34">
        <f t="shared" si="0"/>
        <v>41.41</v>
      </c>
      <c r="L34">
        <f t="shared" si="1"/>
        <v>37.129999999999995</v>
      </c>
      <c r="M34">
        <f t="shared" si="2"/>
        <v>4.2800000000000011</v>
      </c>
      <c r="N34">
        <v>6.92</v>
      </c>
      <c r="O34">
        <v>90.82</v>
      </c>
      <c r="P34">
        <v>67</v>
      </c>
      <c r="Q34">
        <v>17.399999999999999</v>
      </c>
      <c r="R34">
        <v>10.199999999999999</v>
      </c>
      <c r="S34">
        <v>13.5</v>
      </c>
      <c r="T34">
        <v>4.76</v>
      </c>
      <c r="U34">
        <v>12.76</v>
      </c>
      <c r="V34">
        <v>3633.79</v>
      </c>
      <c r="W34">
        <v>1088</v>
      </c>
      <c r="X34">
        <v>1425.93</v>
      </c>
      <c r="Y34">
        <v>798.37</v>
      </c>
      <c r="Z34">
        <v>7.25</v>
      </c>
      <c r="AA34">
        <v>1.61</v>
      </c>
      <c r="AB34">
        <v>4.37</v>
      </c>
      <c r="AC34">
        <v>68.180000000000007</v>
      </c>
      <c r="AD34">
        <v>490</v>
      </c>
      <c r="AE34">
        <v>4700</v>
      </c>
      <c r="AF34">
        <v>73.34</v>
      </c>
      <c r="AG34">
        <v>0.47</v>
      </c>
      <c r="AH34">
        <v>6.24</v>
      </c>
      <c r="AI34">
        <v>59.44</v>
      </c>
      <c r="AJ34">
        <v>60</v>
      </c>
      <c r="AK34">
        <v>9</v>
      </c>
      <c r="AL34">
        <v>9</v>
      </c>
      <c r="AM34">
        <v>0.38</v>
      </c>
      <c r="AN34">
        <v>294</v>
      </c>
      <c r="AO34">
        <v>297.43</v>
      </c>
      <c r="AP34">
        <v>422403.7</v>
      </c>
      <c r="AQ34">
        <v>114263.18</v>
      </c>
      <c r="AR34" t="s">
        <v>946</v>
      </c>
      <c r="AT34" s="6">
        <f t="shared" si="3"/>
        <v>17.587929223744293</v>
      </c>
    </row>
    <row r="35" spans="1:46" x14ac:dyDescent="0.55000000000000004">
      <c r="A35">
        <v>17.55</v>
      </c>
      <c r="B35">
        <v>27.6</v>
      </c>
      <c r="C35">
        <v>5600.64</v>
      </c>
      <c r="D35">
        <v>7.62</v>
      </c>
      <c r="E35" t="s">
        <v>75</v>
      </c>
      <c r="F35" t="s">
        <v>320</v>
      </c>
      <c r="G35" t="s">
        <v>539</v>
      </c>
      <c r="H35" t="s">
        <v>711</v>
      </c>
      <c r="I35">
        <v>0</v>
      </c>
      <c r="J35">
        <v>891.51</v>
      </c>
      <c r="K35">
        <f t="shared" si="0"/>
        <v>69.790000000000006</v>
      </c>
      <c r="L35">
        <f t="shared" si="1"/>
        <v>71.760000000000005</v>
      </c>
      <c r="M35">
        <f t="shared" si="2"/>
        <v>-1.9699999999999989</v>
      </c>
      <c r="N35">
        <v>7.28</v>
      </c>
      <c r="O35">
        <v>91.4</v>
      </c>
      <c r="P35">
        <v>75</v>
      </c>
      <c r="Q35">
        <v>15.9</v>
      </c>
      <c r="R35">
        <v>10.050000000000001</v>
      </c>
      <c r="S35">
        <v>13.03</v>
      </c>
      <c r="T35">
        <v>4.53</v>
      </c>
      <c r="U35">
        <v>6.28</v>
      </c>
      <c r="V35">
        <v>3584.41</v>
      </c>
      <c r="W35">
        <v>1057.47</v>
      </c>
      <c r="X35">
        <v>1188.8599999999999</v>
      </c>
      <c r="Y35">
        <v>739.76</v>
      </c>
      <c r="Z35">
        <v>5.84</v>
      </c>
      <c r="AA35">
        <v>1.53</v>
      </c>
      <c r="AB35">
        <v>4.5599999999999996</v>
      </c>
      <c r="AC35">
        <v>68.94</v>
      </c>
      <c r="AD35">
        <v>490</v>
      </c>
      <c r="AE35">
        <v>4700</v>
      </c>
      <c r="AF35">
        <v>72.260000000000005</v>
      </c>
      <c r="AG35">
        <v>0.47</v>
      </c>
      <c r="AH35">
        <v>13.68</v>
      </c>
      <c r="AI35">
        <v>28.39</v>
      </c>
      <c r="AJ35">
        <v>60</v>
      </c>
      <c r="AK35">
        <v>9</v>
      </c>
      <c r="AL35">
        <v>9</v>
      </c>
      <c r="AM35">
        <v>0.8</v>
      </c>
      <c r="AN35">
        <v>294</v>
      </c>
      <c r="AO35">
        <v>301.18</v>
      </c>
      <c r="AP35">
        <v>447484.13</v>
      </c>
      <c r="AQ35">
        <v>244469.64</v>
      </c>
      <c r="AR35" t="s">
        <v>947</v>
      </c>
      <c r="AT35" s="6">
        <f t="shared" si="3"/>
        <v>11.587585045662101</v>
      </c>
    </row>
    <row r="36" spans="1:46" x14ac:dyDescent="0.55000000000000004">
      <c r="A36">
        <v>19.170000000000002</v>
      </c>
      <c r="B36">
        <v>28.8</v>
      </c>
      <c r="C36">
        <v>5658.28</v>
      </c>
      <c r="D36">
        <v>7.6</v>
      </c>
      <c r="E36" t="s">
        <v>76</v>
      </c>
      <c r="F36" t="s">
        <v>321</v>
      </c>
      <c r="G36" t="s">
        <v>554</v>
      </c>
      <c r="H36" t="s">
        <v>712</v>
      </c>
      <c r="I36">
        <v>0</v>
      </c>
      <c r="J36">
        <v>700.49</v>
      </c>
      <c r="K36">
        <f t="shared" si="0"/>
        <v>54.21</v>
      </c>
      <c r="L36">
        <f t="shared" si="1"/>
        <v>53.04</v>
      </c>
      <c r="M36">
        <f t="shared" si="2"/>
        <v>1.1700000000000017</v>
      </c>
      <c r="N36">
        <v>7.13</v>
      </c>
      <c r="O36">
        <v>92.66</v>
      </c>
      <c r="P36">
        <v>68</v>
      </c>
      <c r="Q36">
        <v>17.399999999999999</v>
      </c>
      <c r="R36">
        <v>9.6300000000000008</v>
      </c>
      <c r="S36">
        <v>13.62</v>
      </c>
      <c r="T36">
        <v>5.55</v>
      </c>
      <c r="U36">
        <v>8.08</v>
      </c>
      <c r="V36">
        <v>3621.3</v>
      </c>
      <c r="W36">
        <v>1072.96</v>
      </c>
      <c r="X36">
        <v>1262.8900000000001</v>
      </c>
      <c r="Y36">
        <v>761.14</v>
      </c>
      <c r="Z36">
        <v>6.13</v>
      </c>
      <c r="AA36">
        <v>1.57</v>
      </c>
      <c r="AB36">
        <v>4.45</v>
      </c>
      <c r="AC36">
        <v>63.44</v>
      </c>
      <c r="AD36">
        <v>490</v>
      </c>
      <c r="AE36">
        <v>4700</v>
      </c>
      <c r="AF36">
        <v>69.22</v>
      </c>
      <c r="AG36">
        <v>0.47</v>
      </c>
      <c r="AH36">
        <v>9.7799999999999994</v>
      </c>
      <c r="AI36">
        <v>38.409999999999997</v>
      </c>
      <c r="AJ36">
        <v>60</v>
      </c>
      <c r="AK36">
        <v>9</v>
      </c>
      <c r="AL36">
        <v>9</v>
      </c>
      <c r="AM36">
        <v>0.59</v>
      </c>
      <c r="AN36">
        <v>294</v>
      </c>
      <c r="AO36">
        <v>299.3</v>
      </c>
      <c r="AP36">
        <v>434148.77</v>
      </c>
      <c r="AQ36">
        <v>160234.32999999999</v>
      </c>
      <c r="AR36" t="s">
        <v>948</v>
      </c>
      <c r="AT36" s="6">
        <f t="shared" si="3"/>
        <v>15.634385844748861</v>
      </c>
    </row>
    <row r="37" spans="1:46" x14ac:dyDescent="0.55000000000000004">
      <c r="A37">
        <v>19.07</v>
      </c>
      <c r="B37">
        <v>28.76</v>
      </c>
      <c r="C37">
        <v>5659.95</v>
      </c>
      <c r="D37">
        <v>7.61</v>
      </c>
      <c r="E37" t="s">
        <v>77</v>
      </c>
      <c r="F37" t="s">
        <v>322</v>
      </c>
      <c r="G37" t="s">
        <v>555</v>
      </c>
      <c r="H37" t="s">
        <v>713</v>
      </c>
      <c r="I37">
        <v>0</v>
      </c>
      <c r="J37">
        <v>910.62</v>
      </c>
      <c r="K37">
        <f t="shared" si="0"/>
        <v>72.34</v>
      </c>
      <c r="L37">
        <f t="shared" si="1"/>
        <v>74.820000000000007</v>
      </c>
      <c r="M37">
        <f t="shared" si="2"/>
        <v>-2.480000000000004</v>
      </c>
      <c r="N37">
        <v>7.3</v>
      </c>
      <c r="O37">
        <v>92.12</v>
      </c>
      <c r="P37">
        <v>61</v>
      </c>
      <c r="Q37">
        <v>18.2</v>
      </c>
      <c r="R37">
        <v>9.69</v>
      </c>
      <c r="S37">
        <v>13.51</v>
      </c>
      <c r="T37">
        <v>5.55</v>
      </c>
      <c r="U37">
        <v>6.22</v>
      </c>
      <c r="V37">
        <v>3622.37</v>
      </c>
      <c r="W37">
        <v>1068.69</v>
      </c>
      <c r="X37">
        <v>1199.3699999999999</v>
      </c>
      <c r="Y37">
        <v>747.39</v>
      </c>
      <c r="Z37">
        <v>5.8</v>
      </c>
      <c r="AA37">
        <v>1.55</v>
      </c>
      <c r="AB37">
        <v>4.5</v>
      </c>
      <c r="AC37">
        <v>63.58</v>
      </c>
      <c r="AD37">
        <v>490</v>
      </c>
      <c r="AE37">
        <v>4700</v>
      </c>
      <c r="AF37">
        <v>69.709999999999994</v>
      </c>
      <c r="AG37">
        <v>0.47</v>
      </c>
      <c r="AH37">
        <v>13.37</v>
      </c>
      <c r="AI37">
        <v>27.23</v>
      </c>
      <c r="AJ37">
        <v>60</v>
      </c>
      <c r="AK37">
        <v>9</v>
      </c>
      <c r="AL37">
        <v>9</v>
      </c>
      <c r="AM37">
        <v>0.83</v>
      </c>
      <c r="AN37">
        <v>294</v>
      </c>
      <c r="AO37">
        <v>301.48</v>
      </c>
      <c r="AP37">
        <v>449401.27</v>
      </c>
      <c r="AQ37">
        <v>255093.68</v>
      </c>
      <c r="AR37" t="s">
        <v>949</v>
      </c>
      <c r="AT37" s="6">
        <f t="shared" si="3"/>
        <v>11.09061586757991</v>
      </c>
    </row>
    <row r="38" spans="1:46" x14ac:dyDescent="0.55000000000000004">
      <c r="A38">
        <v>18.18</v>
      </c>
      <c r="B38">
        <v>27.96</v>
      </c>
      <c r="C38">
        <v>5632.47</v>
      </c>
      <c r="D38">
        <v>7.59</v>
      </c>
      <c r="E38" t="s">
        <v>78</v>
      </c>
      <c r="F38" t="s">
        <v>323</v>
      </c>
      <c r="G38" t="s">
        <v>556</v>
      </c>
      <c r="H38" t="s">
        <v>714</v>
      </c>
      <c r="I38">
        <v>0</v>
      </c>
      <c r="J38">
        <v>276.76</v>
      </c>
      <c r="K38">
        <f t="shared" si="0"/>
        <v>36.209999999999994</v>
      </c>
      <c r="L38">
        <f t="shared" si="1"/>
        <v>30.95</v>
      </c>
      <c r="M38">
        <f t="shared" si="2"/>
        <v>5.2599999999999945</v>
      </c>
      <c r="N38">
        <v>6.8</v>
      </c>
      <c r="O38">
        <v>91.03</v>
      </c>
      <c r="P38">
        <v>70</v>
      </c>
      <c r="Q38">
        <v>16.5</v>
      </c>
      <c r="R38">
        <v>9.7799999999999994</v>
      </c>
      <c r="S38">
        <v>13.02</v>
      </c>
      <c r="T38">
        <v>5.16</v>
      </c>
      <c r="U38">
        <v>20.350000000000001</v>
      </c>
      <c r="V38">
        <v>3604.78</v>
      </c>
      <c r="W38">
        <v>1100.82</v>
      </c>
      <c r="X38">
        <v>1696.9</v>
      </c>
      <c r="Y38">
        <v>855.66</v>
      </c>
      <c r="Z38">
        <v>7.6</v>
      </c>
      <c r="AA38">
        <v>1.69</v>
      </c>
      <c r="AB38">
        <v>4.22</v>
      </c>
      <c r="AC38">
        <v>65.44</v>
      </c>
      <c r="AD38">
        <v>490</v>
      </c>
      <c r="AE38">
        <v>4700</v>
      </c>
      <c r="AF38">
        <v>70.3</v>
      </c>
      <c r="AG38">
        <v>0.47</v>
      </c>
      <c r="AH38">
        <v>3.63</v>
      </c>
      <c r="AI38">
        <v>71.319999999999993</v>
      </c>
      <c r="AJ38">
        <v>60</v>
      </c>
      <c r="AK38">
        <v>9</v>
      </c>
      <c r="AL38">
        <v>9</v>
      </c>
      <c r="AM38">
        <v>0.32</v>
      </c>
      <c r="AN38">
        <v>294</v>
      </c>
      <c r="AO38">
        <v>296.86</v>
      </c>
      <c r="AP38">
        <v>418523.09</v>
      </c>
      <c r="AQ38">
        <v>79943.320000000007</v>
      </c>
      <c r="AR38" t="s">
        <v>950</v>
      </c>
      <c r="AT38" s="6">
        <f t="shared" si="3"/>
        <v>19.325329337899543</v>
      </c>
    </row>
    <row r="39" spans="1:46" x14ac:dyDescent="0.55000000000000004">
      <c r="A39">
        <v>18.7</v>
      </c>
      <c r="B39">
        <v>28.61</v>
      </c>
      <c r="C39">
        <v>5471.32</v>
      </c>
      <c r="D39">
        <v>7.59</v>
      </c>
      <c r="E39" t="s">
        <v>79</v>
      </c>
      <c r="F39" t="s">
        <v>324</v>
      </c>
      <c r="G39" t="s">
        <v>557</v>
      </c>
      <c r="H39" t="s">
        <v>715</v>
      </c>
      <c r="I39">
        <v>0</v>
      </c>
      <c r="J39">
        <v>1132.43</v>
      </c>
      <c r="K39">
        <f t="shared" si="0"/>
        <v>112.71</v>
      </c>
      <c r="L39">
        <f t="shared" si="1"/>
        <v>125.88999999999999</v>
      </c>
      <c r="M39">
        <f t="shared" si="2"/>
        <v>-13.179999999999993</v>
      </c>
      <c r="N39">
        <v>7.48</v>
      </c>
      <c r="O39">
        <v>88.15</v>
      </c>
      <c r="P39">
        <v>65</v>
      </c>
      <c r="Q39">
        <v>17.600000000000001</v>
      </c>
      <c r="R39">
        <v>9.9</v>
      </c>
      <c r="S39">
        <v>13.45</v>
      </c>
      <c r="T39">
        <v>5.25</v>
      </c>
      <c r="U39">
        <v>4.83</v>
      </c>
      <c r="V39">
        <v>3501.64</v>
      </c>
      <c r="W39">
        <v>1030.28</v>
      </c>
      <c r="X39">
        <v>1119.81</v>
      </c>
      <c r="Y39">
        <v>713.9</v>
      </c>
      <c r="Z39">
        <v>4.92</v>
      </c>
      <c r="AA39">
        <v>1.49</v>
      </c>
      <c r="AB39">
        <v>4.62</v>
      </c>
      <c r="AC39">
        <v>65.349999999999994</v>
      </c>
      <c r="AD39">
        <v>490</v>
      </c>
      <c r="AE39">
        <v>4700</v>
      </c>
      <c r="AF39">
        <v>71.23</v>
      </c>
      <c r="AG39">
        <v>0.47</v>
      </c>
      <c r="AH39">
        <v>18.59</v>
      </c>
      <c r="AI39">
        <v>14.84</v>
      </c>
      <c r="AJ39">
        <v>60</v>
      </c>
      <c r="AK39">
        <v>9</v>
      </c>
      <c r="AL39">
        <v>9</v>
      </c>
      <c r="AM39">
        <v>1.53</v>
      </c>
      <c r="AN39">
        <v>294</v>
      </c>
      <c r="AO39">
        <v>307.73</v>
      </c>
      <c r="AP39">
        <v>481682.81</v>
      </c>
      <c r="AQ39">
        <v>383833.83</v>
      </c>
      <c r="AR39" t="s">
        <v>951</v>
      </c>
      <c r="AT39" s="6">
        <f t="shared" si="3"/>
        <v>5.5849874429223734</v>
      </c>
    </row>
    <row r="40" spans="1:46" x14ac:dyDescent="0.55000000000000004">
      <c r="A40">
        <v>17.739999999999998</v>
      </c>
      <c r="B40">
        <v>27.95</v>
      </c>
      <c r="C40">
        <v>5630.15</v>
      </c>
      <c r="D40">
        <v>7.59</v>
      </c>
      <c r="E40" t="s">
        <v>80</v>
      </c>
      <c r="F40" t="s">
        <v>325</v>
      </c>
      <c r="G40" t="s">
        <v>558</v>
      </c>
      <c r="H40" t="s">
        <v>716</v>
      </c>
      <c r="I40">
        <v>0</v>
      </c>
      <c r="J40">
        <v>1009.54</v>
      </c>
      <c r="K40">
        <f t="shared" si="0"/>
        <v>85.52</v>
      </c>
      <c r="L40">
        <f t="shared" si="1"/>
        <v>92.28</v>
      </c>
      <c r="M40">
        <f t="shared" si="2"/>
        <v>-6.7600000000000051</v>
      </c>
      <c r="N40">
        <v>7.37</v>
      </c>
      <c r="O40">
        <v>90.65</v>
      </c>
      <c r="P40">
        <v>75</v>
      </c>
      <c r="Q40">
        <v>15.9</v>
      </c>
      <c r="R40">
        <v>10.210000000000001</v>
      </c>
      <c r="S40">
        <v>13.03</v>
      </c>
      <c r="T40">
        <v>4.71</v>
      </c>
      <c r="U40">
        <v>5.58</v>
      </c>
      <c r="V40">
        <v>3603.3</v>
      </c>
      <c r="W40">
        <v>1061.25</v>
      </c>
      <c r="X40">
        <v>1169.94</v>
      </c>
      <c r="Y40">
        <v>738.16</v>
      </c>
      <c r="Z40">
        <v>5.0999999999999996</v>
      </c>
      <c r="AA40">
        <v>1.5</v>
      </c>
      <c r="AB40">
        <v>4.59</v>
      </c>
      <c r="AC40">
        <v>68.44</v>
      </c>
      <c r="AD40">
        <v>490</v>
      </c>
      <c r="AE40">
        <v>4700</v>
      </c>
      <c r="AF40">
        <v>73.45</v>
      </c>
      <c r="AG40">
        <v>0.47</v>
      </c>
      <c r="AH40">
        <v>16.05</v>
      </c>
      <c r="AI40">
        <v>20.239999999999998</v>
      </c>
      <c r="AJ40">
        <v>60</v>
      </c>
      <c r="AK40">
        <v>9</v>
      </c>
      <c r="AL40">
        <v>9</v>
      </c>
      <c r="AM40">
        <v>1.1200000000000001</v>
      </c>
      <c r="AN40">
        <v>294</v>
      </c>
      <c r="AO40">
        <v>304.07</v>
      </c>
      <c r="AP40">
        <v>462204.88</v>
      </c>
      <c r="AQ40">
        <v>267195.27</v>
      </c>
      <c r="AR40" t="s">
        <v>952</v>
      </c>
      <c r="AT40" s="6">
        <f t="shared" si="3"/>
        <v>11.130685502283104</v>
      </c>
    </row>
    <row r="41" spans="1:46" x14ac:dyDescent="0.55000000000000004">
      <c r="A41">
        <v>18.68</v>
      </c>
      <c r="B41">
        <v>28.73</v>
      </c>
      <c r="C41">
        <v>5392.11</v>
      </c>
      <c r="D41">
        <v>7.61</v>
      </c>
      <c r="E41" t="s">
        <v>81</v>
      </c>
      <c r="F41" t="s">
        <v>326</v>
      </c>
      <c r="G41" t="s">
        <v>545</v>
      </c>
      <c r="H41" t="s">
        <v>717</v>
      </c>
      <c r="I41">
        <v>0</v>
      </c>
      <c r="J41">
        <v>994.56</v>
      </c>
      <c r="K41">
        <f t="shared" si="0"/>
        <v>83.37</v>
      </c>
      <c r="L41">
        <f t="shared" si="1"/>
        <v>93.95</v>
      </c>
      <c r="M41">
        <f t="shared" si="2"/>
        <v>-10.579999999999998</v>
      </c>
      <c r="N41">
        <v>7.37</v>
      </c>
      <c r="O41">
        <v>90.95</v>
      </c>
      <c r="P41">
        <v>65</v>
      </c>
      <c r="Q41">
        <v>17.899999999999999</v>
      </c>
      <c r="R41">
        <v>10.050000000000001</v>
      </c>
      <c r="S41">
        <v>13.73</v>
      </c>
      <c r="T41">
        <v>4.96</v>
      </c>
      <c r="U41">
        <v>5.42</v>
      </c>
      <c r="V41">
        <v>3450.95</v>
      </c>
      <c r="W41">
        <v>1016.77</v>
      </c>
      <c r="X41">
        <v>1124.6199999999999</v>
      </c>
      <c r="Y41">
        <v>708</v>
      </c>
      <c r="Z41">
        <v>4.88</v>
      </c>
      <c r="AA41">
        <v>1.5</v>
      </c>
      <c r="AB41">
        <v>4.5999999999999996</v>
      </c>
      <c r="AC41">
        <v>66.97</v>
      </c>
      <c r="AD41">
        <v>490</v>
      </c>
      <c r="AE41">
        <v>4700</v>
      </c>
      <c r="AF41">
        <v>72.28</v>
      </c>
      <c r="AG41">
        <v>0.47</v>
      </c>
      <c r="AH41">
        <v>16.350000000000001</v>
      </c>
      <c r="AI41">
        <v>19.88</v>
      </c>
      <c r="AJ41">
        <v>60</v>
      </c>
      <c r="AK41">
        <v>9</v>
      </c>
      <c r="AL41">
        <v>9</v>
      </c>
      <c r="AM41">
        <v>1.1399999999999999</v>
      </c>
      <c r="AN41">
        <v>294</v>
      </c>
      <c r="AO41">
        <v>304.25</v>
      </c>
      <c r="AP41">
        <v>423814.11</v>
      </c>
      <c r="AQ41">
        <v>271341.8</v>
      </c>
      <c r="AR41" t="s">
        <v>953</v>
      </c>
      <c r="AT41" s="6">
        <f t="shared" si="3"/>
        <v>8.7027574200913236</v>
      </c>
    </row>
    <row r="42" spans="1:46" x14ac:dyDescent="0.55000000000000004">
      <c r="A42">
        <v>18.47</v>
      </c>
      <c r="B42">
        <v>28.95</v>
      </c>
      <c r="C42">
        <v>5544.03</v>
      </c>
      <c r="D42">
        <v>7.59</v>
      </c>
      <c r="E42" t="s">
        <v>82</v>
      </c>
      <c r="F42" t="s">
        <v>327</v>
      </c>
      <c r="G42" t="s">
        <v>559</v>
      </c>
      <c r="H42" t="s">
        <v>718</v>
      </c>
      <c r="I42">
        <v>0</v>
      </c>
      <c r="J42">
        <v>955.78</v>
      </c>
      <c r="K42">
        <f t="shared" si="0"/>
        <v>77.45</v>
      </c>
      <c r="L42">
        <f t="shared" si="1"/>
        <v>88.85</v>
      </c>
      <c r="M42">
        <f t="shared" si="2"/>
        <v>-11.399999999999991</v>
      </c>
      <c r="N42">
        <v>7.33</v>
      </c>
      <c r="O42">
        <v>87.13</v>
      </c>
      <c r="P42">
        <v>61</v>
      </c>
      <c r="Q42">
        <v>18.100000000000001</v>
      </c>
      <c r="R42">
        <v>10.48</v>
      </c>
      <c r="S42">
        <v>13.42</v>
      </c>
      <c r="T42">
        <v>5.04</v>
      </c>
      <c r="U42">
        <v>5.8</v>
      </c>
      <c r="V42">
        <v>3548.18</v>
      </c>
      <c r="W42">
        <v>1045.5899999999999</v>
      </c>
      <c r="X42">
        <v>1161.29</v>
      </c>
      <c r="Y42">
        <v>728.76</v>
      </c>
      <c r="Z42">
        <v>4.79</v>
      </c>
      <c r="AA42">
        <v>1.51</v>
      </c>
      <c r="AB42">
        <v>4.58</v>
      </c>
      <c r="AC42">
        <v>67.52</v>
      </c>
      <c r="AD42">
        <v>490</v>
      </c>
      <c r="AE42">
        <v>4700</v>
      </c>
      <c r="AF42">
        <v>75.38</v>
      </c>
      <c r="AG42">
        <v>0.47</v>
      </c>
      <c r="AH42">
        <v>15.7</v>
      </c>
      <c r="AI42">
        <v>21.02</v>
      </c>
      <c r="AJ42">
        <v>60</v>
      </c>
      <c r="AK42">
        <v>9</v>
      </c>
      <c r="AL42">
        <v>9</v>
      </c>
      <c r="AM42">
        <v>1.08</v>
      </c>
      <c r="AN42">
        <v>294</v>
      </c>
      <c r="AO42">
        <v>303.69</v>
      </c>
      <c r="AP42">
        <v>401997.69</v>
      </c>
      <c r="AQ42">
        <v>256267.37</v>
      </c>
      <c r="AR42" t="s">
        <v>954</v>
      </c>
      <c r="AT42" s="6">
        <f t="shared" si="3"/>
        <v>8.3179406392694073</v>
      </c>
    </row>
    <row r="43" spans="1:46" x14ac:dyDescent="0.55000000000000004">
      <c r="A43">
        <v>18.16</v>
      </c>
      <c r="B43">
        <v>28.76</v>
      </c>
      <c r="C43">
        <v>5500.43</v>
      </c>
      <c r="D43">
        <v>7.6</v>
      </c>
      <c r="E43" t="s">
        <v>83</v>
      </c>
      <c r="F43" t="s">
        <v>328</v>
      </c>
      <c r="G43" t="s">
        <v>560</v>
      </c>
      <c r="H43" t="s">
        <v>719</v>
      </c>
      <c r="I43">
        <v>0</v>
      </c>
      <c r="J43">
        <v>996.65</v>
      </c>
      <c r="K43">
        <f t="shared" si="0"/>
        <v>83.14</v>
      </c>
      <c r="L43">
        <f t="shared" si="1"/>
        <v>95</v>
      </c>
      <c r="M43">
        <f t="shared" si="2"/>
        <v>-11.86</v>
      </c>
      <c r="N43">
        <v>7.37</v>
      </c>
      <c r="O43">
        <v>88.02</v>
      </c>
      <c r="P43">
        <v>61</v>
      </c>
      <c r="Q43">
        <v>17.7</v>
      </c>
      <c r="R43">
        <v>10.6</v>
      </c>
      <c r="S43">
        <v>13.06</v>
      </c>
      <c r="T43">
        <v>5.0999999999999996</v>
      </c>
      <c r="U43">
        <v>5.52</v>
      </c>
      <c r="V43">
        <v>3520.28</v>
      </c>
      <c r="W43">
        <v>1037.04</v>
      </c>
      <c r="X43">
        <v>1145.94</v>
      </c>
      <c r="Y43">
        <v>721.85</v>
      </c>
      <c r="Z43">
        <v>4.8099999999999996</v>
      </c>
      <c r="AA43">
        <v>1.5</v>
      </c>
      <c r="AB43">
        <v>4.5999999999999996</v>
      </c>
      <c r="AC43">
        <v>67.510000000000005</v>
      </c>
      <c r="AD43">
        <v>490</v>
      </c>
      <c r="AE43">
        <v>4700</v>
      </c>
      <c r="AF43">
        <v>76.22</v>
      </c>
      <c r="AG43">
        <v>0.47</v>
      </c>
      <c r="AH43">
        <v>16.87</v>
      </c>
      <c r="AI43">
        <v>19.66</v>
      </c>
      <c r="AJ43">
        <v>60</v>
      </c>
      <c r="AK43">
        <v>9</v>
      </c>
      <c r="AL43">
        <v>9</v>
      </c>
      <c r="AM43">
        <v>1.1499999999999999</v>
      </c>
      <c r="AN43">
        <v>294</v>
      </c>
      <c r="AO43">
        <v>304.36</v>
      </c>
      <c r="AP43">
        <v>411459.97</v>
      </c>
      <c r="AQ43">
        <v>276790.69</v>
      </c>
      <c r="AR43" t="s">
        <v>955</v>
      </c>
      <c r="AT43" s="6">
        <f t="shared" si="3"/>
        <v>7.6866027397260259</v>
      </c>
    </row>
    <row r="44" spans="1:46" x14ac:dyDescent="0.55000000000000004">
      <c r="A44">
        <v>18.25</v>
      </c>
      <c r="B44">
        <v>28.72</v>
      </c>
      <c r="C44">
        <v>5419.86</v>
      </c>
      <c r="D44">
        <v>7.59</v>
      </c>
      <c r="E44" t="s">
        <v>84</v>
      </c>
      <c r="F44" t="s">
        <v>329</v>
      </c>
      <c r="G44" t="s">
        <v>561</v>
      </c>
      <c r="H44" t="s">
        <v>720</v>
      </c>
      <c r="I44">
        <v>0</v>
      </c>
      <c r="J44">
        <v>600.61</v>
      </c>
      <c r="K44">
        <f t="shared" si="0"/>
        <v>49.730000000000004</v>
      </c>
      <c r="L44">
        <f t="shared" si="1"/>
        <v>57.27</v>
      </c>
      <c r="M44">
        <f t="shared" si="2"/>
        <v>-7.5399999999999991</v>
      </c>
      <c r="N44">
        <v>7.07</v>
      </c>
      <c r="O44">
        <v>89.55</v>
      </c>
      <c r="P44">
        <v>55</v>
      </c>
      <c r="Q44">
        <v>18.8</v>
      </c>
      <c r="R44">
        <v>10.47</v>
      </c>
      <c r="S44">
        <v>13.31</v>
      </c>
      <c r="T44">
        <v>4.9400000000000004</v>
      </c>
      <c r="U44">
        <v>9.02</v>
      </c>
      <c r="V44">
        <v>3468.71</v>
      </c>
      <c r="W44">
        <v>1033.79</v>
      </c>
      <c r="X44">
        <v>1274.69</v>
      </c>
      <c r="Y44">
        <v>745.42</v>
      </c>
      <c r="Z44">
        <v>5.21</v>
      </c>
      <c r="AA44">
        <v>1.54</v>
      </c>
      <c r="AB44">
        <v>4.51</v>
      </c>
      <c r="AC44">
        <v>67.92</v>
      </c>
      <c r="AD44">
        <v>490</v>
      </c>
      <c r="AE44">
        <v>4700</v>
      </c>
      <c r="AF44">
        <v>75.27</v>
      </c>
      <c r="AG44">
        <v>0.47</v>
      </c>
      <c r="AH44">
        <v>9.3800000000000008</v>
      </c>
      <c r="AI44">
        <v>35.57</v>
      </c>
      <c r="AJ44">
        <v>60</v>
      </c>
      <c r="AK44">
        <v>9</v>
      </c>
      <c r="AL44">
        <v>9</v>
      </c>
      <c r="AM44">
        <v>0.64</v>
      </c>
      <c r="AN44">
        <v>294</v>
      </c>
      <c r="AO44">
        <v>299.73</v>
      </c>
      <c r="AP44">
        <v>348756.15</v>
      </c>
      <c r="AQ44">
        <v>167408.56</v>
      </c>
      <c r="AR44" t="s">
        <v>956</v>
      </c>
      <c r="AT44" s="6">
        <f t="shared" si="3"/>
        <v>10.350889840182649</v>
      </c>
    </row>
    <row r="45" spans="1:46" x14ac:dyDescent="0.55000000000000004">
      <c r="A45">
        <v>18.48</v>
      </c>
      <c r="B45">
        <v>28.95</v>
      </c>
      <c r="C45">
        <v>5546.11</v>
      </c>
      <c r="D45">
        <v>7.6</v>
      </c>
      <c r="E45" t="s">
        <v>85</v>
      </c>
      <c r="F45" t="s">
        <v>330</v>
      </c>
      <c r="G45" t="s">
        <v>562</v>
      </c>
      <c r="H45" t="s">
        <v>721</v>
      </c>
      <c r="I45">
        <v>0</v>
      </c>
      <c r="J45">
        <v>309.02</v>
      </c>
      <c r="K45">
        <f t="shared" si="0"/>
        <v>36.370000000000005</v>
      </c>
      <c r="L45">
        <f t="shared" si="1"/>
        <v>40.36</v>
      </c>
      <c r="M45">
        <f t="shared" si="2"/>
        <v>-3.9899999999999949</v>
      </c>
      <c r="N45">
        <v>6.81</v>
      </c>
      <c r="O45">
        <v>87.57</v>
      </c>
      <c r="P45">
        <v>63</v>
      </c>
      <c r="Q45">
        <v>18</v>
      </c>
      <c r="R45">
        <v>10.47</v>
      </c>
      <c r="S45">
        <v>13.58</v>
      </c>
      <c r="T45">
        <v>4.9000000000000004</v>
      </c>
      <c r="U45">
        <v>17.95</v>
      </c>
      <c r="V45">
        <v>3549.51</v>
      </c>
      <c r="W45">
        <v>1074.07</v>
      </c>
      <c r="X45">
        <v>1564.85</v>
      </c>
      <c r="Y45">
        <v>815.86</v>
      </c>
      <c r="Z45">
        <v>5.41</v>
      </c>
      <c r="AA45">
        <v>1.65</v>
      </c>
      <c r="AB45">
        <v>4.29</v>
      </c>
      <c r="AC45">
        <v>68.11</v>
      </c>
      <c r="AD45">
        <v>490</v>
      </c>
      <c r="AE45">
        <v>4700</v>
      </c>
      <c r="AF45">
        <v>75.319999999999993</v>
      </c>
      <c r="AG45">
        <v>0.47</v>
      </c>
      <c r="AH45">
        <v>4.4400000000000004</v>
      </c>
      <c r="AI45">
        <v>50.5</v>
      </c>
      <c r="AJ45">
        <v>60</v>
      </c>
      <c r="AK45">
        <v>9</v>
      </c>
      <c r="AL45">
        <v>9</v>
      </c>
      <c r="AM45">
        <v>0.45</v>
      </c>
      <c r="AN45">
        <v>294</v>
      </c>
      <c r="AO45">
        <v>298.02999999999997</v>
      </c>
      <c r="AP45">
        <v>343116.62</v>
      </c>
      <c r="AQ45">
        <v>109211.38</v>
      </c>
      <c r="AR45" t="s">
        <v>957</v>
      </c>
      <c r="AT45" s="6">
        <f t="shared" si="3"/>
        <v>13.350755707762557</v>
      </c>
    </row>
    <row r="46" spans="1:46" x14ac:dyDescent="0.55000000000000004">
      <c r="A46">
        <v>17.600000000000001</v>
      </c>
      <c r="B46">
        <v>28.25</v>
      </c>
      <c r="C46">
        <v>5455.6</v>
      </c>
      <c r="D46">
        <v>7.61</v>
      </c>
      <c r="E46" t="s">
        <v>86</v>
      </c>
      <c r="F46" t="s">
        <v>331</v>
      </c>
      <c r="G46" t="s">
        <v>563</v>
      </c>
      <c r="H46" t="s">
        <v>722</v>
      </c>
      <c r="I46">
        <v>0</v>
      </c>
      <c r="J46">
        <v>782.63</v>
      </c>
      <c r="K46">
        <f t="shared" si="0"/>
        <v>60.88</v>
      </c>
      <c r="L46">
        <f t="shared" si="1"/>
        <v>65.929999999999993</v>
      </c>
      <c r="M46">
        <f t="shared" si="2"/>
        <v>-5.0499999999999901</v>
      </c>
      <c r="N46">
        <v>7.21</v>
      </c>
      <c r="O46">
        <v>88.22</v>
      </c>
      <c r="P46">
        <v>74</v>
      </c>
      <c r="Q46">
        <v>15.3</v>
      </c>
      <c r="R46">
        <v>10.65</v>
      </c>
      <c r="S46">
        <v>12.35</v>
      </c>
      <c r="T46">
        <v>5.25</v>
      </c>
      <c r="U46">
        <v>6.97</v>
      </c>
      <c r="V46">
        <v>3491.58</v>
      </c>
      <c r="W46">
        <v>1033.6400000000001</v>
      </c>
      <c r="X46">
        <v>1197.8499999999999</v>
      </c>
      <c r="Y46">
        <v>730.38</v>
      </c>
      <c r="Z46">
        <v>5.54</v>
      </c>
      <c r="AA46">
        <v>1.51</v>
      </c>
      <c r="AB46">
        <v>4.58</v>
      </c>
      <c r="AC46">
        <v>66.98</v>
      </c>
      <c r="AD46">
        <v>490</v>
      </c>
      <c r="AE46">
        <v>4700</v>
      </c>
      <c r="AF46">
        <v>76.59</v>
      </c>
      <c r="AG46">
        <v>0.47</v>
      </c>
      <c r="AH46">
        <v>12.83</v>
      </c>
      <c r="AI46">
        <v>30.91</v>
      </c>
      <c r="AJ46">
        <v>60</v>
      </c>
      <c r="AK46">
        <v>9</v>
      </c>
      <c r="AL46">
        <v>9</v>
      </c>
      <c r="AM46">
        <v>0.73</v>
      </c>
      <c r="AN46">
        <v>294</v>
      </c>
      <c r="AO46">
        <v>300.58999999999997</v>
      </c>
      <c r="AP46">
        <v>397280.78</v>
      </c>
      <c r="AQ46">
        <v>209551.75</v>
      </c>
      <c r="AR46" t="s">
        <v>958</v>
      </c>
      <c r="AT46" s="6">
        <f t="shared" si="3"/>
        <v>10.715127283105025</v>
      </c>
    </row>
    <row r="47" spans="1:46" x14ac:dyDescent="0.55000000000000004">
      <c r="A47">
        <v>17.64</v>
      </c>
      <c r="B47">
        <v>28.33</v>
      </c>
      <c r="C47">
        <v>5487.5</v>
      </c>
      <c r="D47">
        <v>7.59</v>
      </c>
      <c r="E47" t="s">
        <v>87</v>
      </c>
      <c r="F47" t="s">
        <v>332</v>
      </c>
      <c r="G47" t="s">
        <v>564</v>
      </c>
      <c r="H47" t="s">
        <v>723</v>
      </c>
      <c r="I47">
        <v>0</v>
      </c>
      <c r="J47">
        <v>934.43</v>
      </c>
      <c r="K47">
        <f t="shared" si="0"/>
        <v>76.63</v>
      </c>
      <c r="L47">
        <f t="shared" si="1"/>
        <v>81.179999999999993</v>
      </c>
      <c r="M47">
        <f t="shared" si="2"/>
        <v>-4.5499999999999972</v>
      </c>
      <c r="N47">
        <v>7.33</v>
      </c>
      <c r="O47">
        <v>87.76</v>
      </c>
      <c r="P47">
        <v>70</v>
      </c>
      <c r="Q47">
        <v>16.100000000000001</v>
      </c>
      <c r="R47">
        <v>10.69</v>
      </c>
      <c r="S47">
        <v>12.65</v>
      </c>
      <c r="T47">
        <v>4.99</v>
      </c>
      <c r="U47">
        <v>5.87</v>
      </c>
      <c r="V47">
        <v>3512</v>
      </c>
      <c r="W47">
        <v>1036.53</v>
      </c>
      <c r="X47">
        <v>1163.28</v>
      </c>
      <c r="Y47">
        <v>725.3</v>
      </c>
      <c r="Z47">
        <v>5.66</v>
      </c>
      <c r="AA47">
        <v>1.49</v>
      </c>
      <c r="AB47">
        <v>4.6100000000000003</v>
      </c>
      <c r="AC47">
        <v>68.180000000000007</v>
      </c>
      <c r="AD47">
        <v>490</v>
      </c>
      <c r="AE47">
        <v>4700</v>
      </c>
      <c r="AF47">
        <v>76.87</v>
      </c>
      <c r="AG47">
        <v>0.47</v>
      </c>
      <c r="AH47">
        <v>15.78</v>
      </c>
      <c r="AI47">
        <v>25.1</v>
      </c>
      <c r="AJ47">
        <v>60</v>
      </c>
      <c r="AK47">
        <v>9</v>
      </c>
      <c r="AL47">
        <v>9</v>
      </c>
      <c r="AM47">
        <v>0.9</v>
      </c>
      <c r="AN47">
        <v>294</v>
      </c>
      <c r="AO47">
        <v>302.12</v>
      </c>
      <c r="AP47">
        <v>443160.33</v>
      </c>
      <c r="AQ47">
        <v>275193.43</v>
      </c>
      <c r="AR47" t="s">
        <v>959</v>
      </c>
      <c r="AT47" s="6">
        <f t="shared" si="3"/>
        <v>9.5871518264840194</v>
      </c>
    </row>
    <row r="48" spans="1:46" x14ac:dyDescent="0.55000000000000004">
      <c r="A48">
        <v>18.38</v>
      </c>
      <c r="B48">
        <v>28.89</v>
      </c>
      <c r="C48">
        <v>5473.23</v>
      </c>
      <c r="D48">
        <v>7.6</v>
      </c>
      <c r="E48" t="s">
        <v>88</v>
      </c>
      <c r="F48" t="s">
        <v>333</v>
      </c>
      <c r="G48" t="s">
        <v>565</v>
      </c>
      <c r="H48" t="s">
        <v>724</v>
      </c>
      <c r="I48">
        <v>0</v>
      </c>
      <c r="J48">
        <v>495.82</v>
      </c>
      <c r="K48">
        <f t="shared" si="0"/>
        <v>43.89</v>
      </c>
      <c r="L48">
        <f t="shared" si="1"/>
        <v>50.26</v>
      </c>
      <c r="M48">
        <f t="shared" si="2"/>
        <v>-6.3699999999999974</v>
      </c>
      <c r="N48">
        <v>6.98</v>
      </c>
      <c r="O48">
        <v>88.82</v>
      </c>
      <c r="P48">
        <v>58</v>
      </c>
      <c r="Q48">
        <v>18.600000000000001</v>
      </c>
      <c r="R48">
        <v>10.51</v>
      </c>
      <c r="S48">
        <v>13.5</v>
      </c>
      <c r="T48">
        <v>4.87</v>
      </c>
      <c r="U48">
        <v>11.04</v>
      </c>
      <c r="V48">
        <v>3502.87</v>
      </c>
      <c r="W48">
        <v>1047.0999999999999</v>
      </c>
      <c r="X48">
        <v>1341.57</v>
      </c>
      <c r="Y48">
        <v>763.45</v>
      </c>
      <c r="Z48">
        <v>5.24</v>
      </c>
      <c r="AA48">
        <v>1.57</v>
      </c>
      <c r="AB48">
        <v>4.45</v>
      </c>
      <c r="AC48">
        <v>68.319999999999993</v>
      </c>
      <c r="AD48">
        <v>490</v>
      </c>
      <c r="AE48">
        <v>4700</v>
      </c>
      <c r="AF48">
        <v>75.599999999999994</v>
      </c>
      <c r="AG48">
        <v>0.47</v>
      </c>
      <c r="AH48">
        <v>7.53</v>
      </c>
      <c r="AI48">
        <v>40.53</v>
      </c>
      <c r="AJ48">
        <v>60</v>
      </c>
      <c r="AK48">
        <v>9</v>
      </c>
      <c r="AL48">
        <v>9</v>
      </c>
      <c r="AM48">
        <v>0.56000000000000005</v>
      </c>
      <c r="AN48">
        <v>294</v>
      </c>
      <c r="AO48">
        <v>299.02999999999997</v>
      </c>
      <c r="AP48">
        <v>343648.85</v>
      </c>
      <c r="AQ48">
        <v>144788.51</v>
      </c>
      <c r="AR48" t="s">
        <v>960</v>
      </c>
      <c r="AT48" s="6">
        <f t="shared" si="3"/>
        <v>11.350476027397258</v>
      </c>
    </row>
    <row r="49" spans="1:46" x14ac:dyDescent="0.55000000000000004">
      <c r="A49">
        <v>18.059999999999999</v>
      </c>
      <c r="B49">
        <v>28.58</v>
      </c>
      <c r="C49">
        <v>5523.26</v>
      </c>
      <c r="D49">
        <v>7.6</v>
      </c>
      <c r="E49" t="s">
        <v>89</v>
      </c>
      <c r="F49" t="s">
        <v>334</v>
      </c>
      <c r="G49" t="s">
        <v>566</v>
      </c>
      <c r="H49" t="s">
        <v>725</v>
      </c>
      <c r="I49">
        <v>0</v>
      </c>
      <c r="J49">
        <v>893.43</v>
      </c>
      <c r="K49">
        <f t="shared" si="0"/>
        <v>68.72</v>
      </c>
      <c r="L49">
        <f t="shared" si="1"/>
        <v>75.679999999999993</v>
      </c>
      <c r="M49">
        <f t="shared" si="2"/>
        <v>-6.9599999999999937</v>
      </c>
      <c r="N49">
        <v>7.27</v>
      </c>
      <c r="O49">
        <v>87.85</v>
      </c>
      <c r="P49">
        <v>66</v>
      </c>
      <c r="Q49">
        <v>17</v>
      </c>
      <c r="R49">
        <v>10.52</v>
      </c>
      <c r="S49">
        <v>13.02</v>
      </c>
      <c r="T49">
        <v>5.04</v>
      </c>
      <c r="U49">
        <v>6.18</v>
      </c>
      <c r="V49">
        <v>3534.89</v>
      </c>
      <c r="W49">
        <v>1041.9100000000001</v>
      </c>
      <c r="X49">
        <v>1165.25</v>
      </c>
      <c r="Y49">
        <v>727.28</v>
      </c>
      <c r="Z49">
        <v>4.99</v>
      </c>
      <c r="AA49">
        <v>1.5</v>
      </c>
      <c r="AB49">
        <v>4.59</v>
      </c>
      <c r="AC49">
        <v>67.59</v>
      </c>
      <c r="AD49">
        <v>490</v>
      </c>
      <c r="AE49">
        <v>4700</v>
      </c>
      <c r="AF49">
        <v>75.62</v>
      </c>
      <c r="AG49">
        <v>0.47</v>
      </c>
      <c r="AH49">
        <v>14.59</v>
      </c>
      <c r="AI49">
        <v>24.68</v>
      </c>
      <c r="AJ49">
        <v>60</v>
      </c>
      <c r="AK49">
        <v>9</v>
      </c>
      <c r="AL49">
        <v>9</v>
      </c>
      <c r="AM49">
        <v>0.92</v>
      </c>
      <c r="AN49">
        <v>294</v>
      </c>
      <c r="AO49">
        <v>302.26</v>
      </c>
      <c r="AP49">
        <v>414061</v>
      </c>
      <c r="AQ49">
        <v>214111.35999999999</v>
      </c>
      <c r="AR49" t="s">
        <v>961</v>
      </c>
      <c r="AT49" s="6">
        <f t="shared" si="3"/>
        <v>11.412650684931508</v>
      </c>
    </row>
    <row r="50" spans="1:46" x14ac:dyDescent="0.55000000000000004">
      <c r="A50">
        <v>18.09</v>
      </c>
      <c r="B50">
        <v>28.64</v>
      </c>
      <c r="C50">
        <v>5522.5</v>
      </c>
      <c r="D50">
        <v>7.61</v>
      </c>
      <c r="E50" t="s">
        <v>90</v>
      </c>
      <c r="F50" t="s">
        <v>335</v>
      </c>
      <c r="G50" t="s">
        <v>567</v>
      </c>
      <c r="H50" t="s">
        <v>726</v>
      </c>
      <c r="I50">
        <v>0</v>
      </c>
      <c r="J50">
        <v>762.14</v>
      </c>
      <c r="K50">
        <f t="shared" si="0"/>
        <v>58.019999999999996</v>
      </c>
      <c r="L50">
        <f t="shared" si="1"/>
        <v>62.739999999999995</v>
      </c>
      <c r="M50">
        <f t="shared" si="2"/>
        <v>-4.7199999999999989</v>
      </c>
      <c r="N50">
        <v>7.17</v>
      </c>
      <c r="O50">
        <v>88.17</v>
      </c>
      <c r="P50">
        <v>65</v>
      </c>
      <c r="Q50">
        <v>17.399999999999999</v>
      </c>
      <c r="R50">
        <v>10.55</v>
      </c>
      <c r="S50">
        <v>13.27</v>
      </c>
      <c r="T50">
        <v>4.82</v>
      </c>
      <c r="U50">
        <v>7.25</v>
      </c>
      <c r="V50">
        <v>3534.4</v>
      </c>
      <c r="W50">
        <v>1044.9100000000001</v>
      </c>
      <c r="X50">
        <v>1205.44</v>
      </c>
      <c r="Y50">
        <v>736.4</v>
      </c>
      <c r="Z50">
        <v>5.55</v>
      </c>
      <c r="AA50">
        <v>1.53</v>
      </c>
      <c r="AB50">
        <v>4.54</v>
      </c>
      <c r="AC50">
        <v>68.62</v>
      </c>
      <c r="AD50">
        <v>490</v>
      </c>
      <c r="AE50">
        <v>4700</v>
      </c>
      <c r="AF50">
        <v>75.88</v>
      </c>
      <c r="AG50">
        <v>0.47</v>
      </c>
      <c r="AH50">
        <v>12.15</v>
      </c>
      <c r="AI50">
        <v>32.479999999999997</v>
      </c>
      <c r="AJ50">
        <v>60</v>
      </c>
      <c r="AK50">
        <v>9</v>
      </c>
      <c r="AL50">
        <v>9</v>
      </c>
      <c r="AM50">
        <v>0.7</v>
      </c>
      <c r="AN50">
        <v>294</v>
      </c>
      <c r="AO50">
        <v>300.27</v>
      </c>
      <c r="AP50">
        <v>394496.25</v>
      </c>
      <c r="AQ50">
        <v>206812.98</v>
      </c>
      <c r="AR50" t="s">
        <v>962</v>
      </c>
      <c r="AT50" s="6">
        <f t="shared" si="3"/>
        <v>10.712515410958904</v>
      </c>
    </row>
    <row r="51" spans="1:46" x14ac:dyDescent="0.55000000000000004">
      <c r="A51">
        <v>18.72</v>
      </c>
      <c r="B51">
        <v>28.72</v>
      </c>
      <c r="C51">
        <v>5402.16</v>
      </c>
      <c r="D51">
        <v>7.61</v>
      </c>
      <c r="E51" t="s">
        <v>91</v>
      </c>
      <c r="F51" t="s">
        <v>336</v>
      </c>
      <c r="G51" t="s">
        <v>568</v>
      </c>
      <c r="H51" t="s">
        <v>727</v>
      </c>
      <c r="I51">
        <v>0</v>
      </c>
      <c r="J51">
        <v>909.42</v>
      </c>
      <c r="K51">
        <f t="shared" si="0"/>
        <v>72.760000000000005</v>
      </c>
      <c r="L51">
        <f t="shared" si="1"/>
        <v>85.34</v>
      </c>
      <c r="M51">
        <f t="shared" si="2"/>
        <v>-12.579999999999998</v>
      </c>
      <c r="N51">
        <v>7.3</v>
      </c>
      <c r="O51">
        <v>91.51</v>
      </c>
      <c r="P51">
        <v>64</v>
      </c>
      <c r="Q51">
        <v>17.8</v>
      </c>
      <c r="R51">
        <v>10.01</v>
      </c>
      <c r="S51">
        <v>13.51</v>
      </c>
      <c r="T51">
        <v>5.2</v>
      </c>
      <c r="U51">
        <v>5.94</v>
      </c>
      <c r="V51">
        <v>3457.38</v>
      </c>
      <c r="W51">
        <v>1020.28</v>
      </c>
      <c r="X51">
        <v>1146.83</v>
      </c>
      <c r="Y51">
        <v>713.99</v>
      </c>
      <c r="Z51">
        <v>4.6900000000000004</v>
      </c>
      <c r="AA51">
        <v>1.52</v>
      </c>
      <c r="AB51">
        <v>4.58</v>
      </c>
      <c r="AC51">
        <v>65.78</v>
      </c>
      <c r="AD51">
        <v>490</v>
      </c>
      <c r="AE51">
        <v>4700</v>
      </c>
      <c r="AF51">
        <v>71.95</v>
      </c>
      <c r="AG51">
        <v>0.47</v>
      </c>
      <c r="AH51">
        <v>14.56</v>
      </c>
      <c r="AI51">
        <v>21.88</v>
      </c>
      <c r="AJ51">
        <v>60</v>
      </c>
      <c r="AK51">
        <v>9</v>
      </c>
      <c r="AL51">
        <v>9</v>
      </c>
      <c r="AM51">
        <v>1.03</v>
      </c>
      <c r="AN51">
        <v>294</v>
      </c>
      <c r="AO51">
        <v>303.31</v>
      </c>
      <c r="AP51">
        <v>378689.95</v>
      </c>
      <c r="AQ51">
        <v>236627.88</v>
      </c>
      <c r="AR51" t="s">
        <v>963</v>
      </c>
      <c r="AT51" s="6">
        <f t="shared" si="3"/>
        <v>8.1085656392694077</v>
      </c>
    </row>
    <row r="52" spans="1:46" x14ac:dyDescent="0.55000000000000004">
      <c r="A52">
        <v>18.18</v>
      </c>
      <c r="B52">
        <v>28.66</v>
      </c>
      <c r="C52">
        <v>5421.55</v>
      </c>
      <c r="D52">
        <v>7.6</v>
      </c>
      <c r="E52" t="s">
        <v>92</v>
      </c>
      <c r="F52" t="s">
        <v>337</v>
      </c>
      <c r="G52" t="s">
        <v>569</v>
      </c>
      <c r="H52" t="s">
        <v>728</v>
      </c>
      <c r="I52">
        <v>0</v>
      </c>
      <c r="J52">
        <v>710.46</v>
      </c>
      <c r="K52">
        <f t="shared" si="0"/>
        <v>55.459999999999994</v>
      </c>
      <c r="L52">
        <f t="shared" si="1"/>
        <v>64.150000000000006</v>
      </c>
      <c r="M52">
        <f t="shared" si="2"/>
        <v>-8.6900000000000119</v>
      </c>
      <c r="N52">
        <v>7.15</v>
      </c>
      <c r="O52">
        <v>90.4</v>
      </c>
      <c r="P52">
        <v>56</v>
      </c>
      <c r="Q52">
        <v>18.600000000000001</v>
      </c>
      <c r="R52">
        <v>10.48</v>
      </c>
      <c r="S52">
        <v>13.25</v>
      </c>
      <c r="T52">
        <v>4.93</v>
      </c>
      <c r="U52">
        <v>7.63</v>
      </c>
      <c r="V52">
        <v>3469.79</v>
      </c>
      <c r="W52">
        <v>1028.78</v>
      </c>
      <c r="X52">
        <v>1213.44</v>
      </c>
      <c r="Y52">
        <v>730.76</v>
      </c>
      <c r="Z52">
        <v>5.19</v>
      </c>
      <c r="AA52">
        <v>1.52</v>
      </c>
      <c r="AB52">
        <v>4.55</v>
      </c>
      <c r="AC52">
        <v>68.02</v>
      </c>
      <c r="AD52">
        <v>490</v>
      </c>
      <c r="AE52">
        <v>4700</v>
      </c>
      <c r="AF52">
        <v>75.34</v>
      </c>
      <c r="AG52">
        <v>0.47</v>
      </c>
      <c r="AH52">
        <v>11.36</v>
      </c>
      <c r="AI52">
        <v>31.76</v>
      </c>
      <c r="AJ52">
        <v>60</v>
      </c>
      <c r="AK52">
        <v>9</v>
      </c>
      <c r="AL52">
        <v>9</v>
      </c>
      <c r="AM52">
        <v>0.71</v>
      </c>
      <c r="AN52">
        <v>294</v>
      </c>
      <c r="AO52">
        <v>300.41000000000003</v>
      </c>
      <c r="AP52">
        <v>353427.26</v>
      </c>
      <c r="AQ52">
        <v>203854.27</v>
      </c>
      <c r="AR52" t="s">
        <v>964</v>
      </c>
      <c r="AT52" s="6">
        <f t="shared" si="3"/>
        <v>8.5372711187214616</v>
      </c>
    </row>
    <row r="53" spans="1:46" x14ac:dyDescent="0.55000000000000004">
      <c r="A53">
        <v>17.62</v>
      </c>
      <c r="B53">
        <v>28.19</v>
      </c>
      <c r="C53">
        <v>5498.87</v>
      </c>
      <c r="D53">
        <v>7.6</v>
      </c>
      <c r="E53" t="s">
        <v>93</v>
      </c>
      <c r="F53" t="s">
        <v>338</v>
      </c>
      <c r="G53" t="s">
        <v>540</v>
      </c>
      <c r="H53" t="s">
        <v>729</v>
      </c>
      <c r="I53">
        <v>0</v>
      </c>
      <c r="J53">
        <v>806.15</v>
      </c>
      <c r="K53">
        <f t="shared" si="0"/>
        <v>61.690000000000005</v>
      </c>
      <c r="L53">
        <f t="shared" si="1"/>
        <v>63.160000000000004</v>
      </c>
      <c r="M53">
        <f t="shared" si="2"/>
        <v>-1.4699999999999989</v>
      </c>
      <c r="N53">
        <v>7.21</v>
      </c>
      <c r="O53">
        <v>87.97</v>
      </c>
      <c r="P53">
        <v>70</v>
      </c>
      <c r="Q53">
        <v>16.2</v>
      </c>
      <c r="R53">
        <v>10.57</v>
      </c>
      <c r="S53">
        <v>12.74</v>
      </c>
      <c r="T53">
        <v>4.88</v>
      </c>
      <c r="U53">
        <v>6.82</v>
      </c>
      <c r="V53">
        <v>3519.28</v>
      </c>
      <c r="W53">
        <v>1039.97</v>
      </c>
      <c r="X53">
        <v>1190.3900000000001</v>
      </c>
      <c r="Y53">
        <v>731.45</v>
      </c>
      <c r="Z53">
        <v>5.86</v>
      </c>
      <c r="AA53">
        <v>1.51</v>
      </c>
      <c r="AB53">
        <v>4.59</v>
      </c>
      <c r="AC53">
        <v>68.41</v>
      </c>
      <c r="AD53">
        <v>490</v>
      </c>
      <c r="AE53">
        <v>4700</v>
      </c>
      <c r="AF53">
        <v>75.98</v>
      </c>
      <c r="AG53">
        <v>0.47</v>
      </c>
      <c r="AH53">
        <v>13.05</v>
      </c>
      <c r="AI53">
        <v>32.26</v>
      </c>
      <c r="AJ53">
        <v>60</v>
      </c>
      <c r="AK53">
        <v>9</v>
      </c>
      <c r="AL53">
        <v>9</v>
      </c>
      <c r="AM53">
        <v>0.7</v>
      </c>
      <c r="AN53">
        <v>294</v>
      </c>
      <c r="AO53">
        <v>300.32</v>
      </c>
      <c r="AP53">
        <v>430362.62</v>
      </c>
      <c r="AQ53">
        <v>205993.84</v>
      </c>
      <c r="AR53" t="s">
        <v>965</v>
      </c>
      <c r="AT53" s="6">
        <f t="shared" si="3"/>
        <v>12.806437214611872</v>
      </c>
    </row>
    <row r="54" spans="1:46" x14ac:dyDescent="0.55000000000000004">
      <c r="A54">
        <v>17.16</v>
      </c>
      <c r="B54">
        <v>27.82</v>
      </c>
      <c r="C54">
        <v>5469.73</v>
      </c>
      <c r="D54">
        <v>7.59</v>
      </c>
      <c r="E54" t="s">
        <v>94</v>
      </c>
      <c r="F54" t="s">
        <v>339</v>
      </c>
      <c r="G54" t="s">
        <v>570</v>
      </c>
      <c r="H54" t="s">
        <v>730</v>
      </c>
      <c r="I54">
        <v>0</v>
      </c>
      <c r="J54">
        <v>591.41999999999996</v>
      </c>
      <c r="K54">
        <f t="shared" si="0"/>
        <v>48.540000000000006</v>
      </c>
      <c r="L54">
        <f t="shared" si="1"/>
        <v>54.269999999999996</v>
      </c>
      <c r="M54">
        <f t="shared" si="2"/>
        <v>-5.7299999999999898</v>
      </c>
      <c r="N54">
        <v>7.05</v>
      </c>
      <c r="O54">
        <v>87.89</v>
      </c>
      <c r="P54">
        <v>79</v>
      </c>
      <c r="Q54">
        <v>14.1</v>
      </c>
      <c r="R54">
        <v>10.66</v>
      </c>
      <c r="S54">
        <v>11.76</v>
      </c>
      <c r="T54">
        <v>5.4</v>
      </c>
      <c r="U54">
        <v>9.25</v>
      </c>
      <c r="V54">
        <v>3500.63</v>
      </c>
      <c r="W54">
        <v>1042.1199999999999</v>
      </c>
      <c r="X54">
        <v>1280.0999999999999</v>
      </c>
      <c r="Y54">
        <v>749.75</v>
      </c>
      <c r="Z54">
        <v>5.37</v>
      </c>
      <c r="AA54">
        <v>1.52</v>
      </c>
      <c r="AB54">
        <v>4.54</v>
      </c>
      <c r="AC54">
        <v>66.38</v>
      </c>
      <c r="AD54">
        <v>490</v>
      </c>
      <c r="AE54">
        <v>4700</v>
      </c>
      <c r="AF54">
        <v>76.650000000000006</v>
      </c>
      <c r="AG54">
        <v>0.47</v>
      </c>
      <c r="AH54">
        <v>9.2899999999999991</v>
      </c>
      <c r="AI54">
        <v>37.54</v>
      </c>
      <c r="AJ54">
        <v>60</v>
      </c>
      <c r="AK54">
        <v>9</v>
      </c>
      <c r="AL54">
        <v>9</v>
      </c>
      <c r="AM54">
        <v>0.6</v>
      </c>
      <c r="AN54">
        <v>294</v>
      </c>
      <c r="AO54">
        <v>299.43</v>
      </c>
      <c r="AP54">
        <v>361099.11</v>
      </c>
      <c r="AQ54">
        <v>160673.96</v>
      </c>
      <c r="AR54" t="s">
        <v>966</v>
      </c>
      <c r="AT54" s="6">
        <f t="shared" si="3"/>
        <v>11.439791666666666</v>
      </c>
    </row>
    <row r="55" spans="1:46" x14ac:dyDescent="0.55000000000000004">
      <c r="A55">
        <v>17.68</v>
      </c>
      <c r="B55">
        <v>28.33</v>
      </c>
      <c r="C55">
        <v>5452.56</v>
      </c>
      <c r="D55">
        <v>7.61</v>
      </c>
      <c r="E55" t="s">
        <v>95</v>
      </c>
      <c r="F55" t="s">
        <v>340</v>
      </c>
      <c r="G55" t="s">
        <v>571</v>
      </c>
      <c r="H55" t="s">
        <v>731</v>
      </c>
      <c r="I55">
        <v>0</v>
      </c>
      <c r="J55">
        <v>899.81</v>
      </c>
      <c r="K55">
        <f t="shared" si="0"/>
        <v>72.41</v>
      </c>
      <c r="L55">
        <f t="shared" si="1"/>
        <v>77.67</v>
      </c>
      <c r="M55">
        <f t="shared" si="2"/>
        <v>-5.2600000000000051</v>
      </c>
      <c r="N55">
        <v>7.3</v>
      </c>
      <c r="O55">
        <v>88.29</v>
      </c>
      <c r="P55">
        <v>72</v>
      </c>
      <c r="Q55">
        <v>15.8</v>
      </c>
      <c r="R55">
        <v>10.65</v>
      </c>
      <c r="S55">
        <v>12.59</v>
      </c>
      <c r="T55">
        <v>5.09</v>
      </c>
      <c r="U55">
        <v>6.06</v>
      </c>
      <c r="V55">
        <v>3489.64</v>
      </c>
      <c r="W55">
        <v>1030.43</v>
      </c>
      <c r="X55">
        <v>1163.1500000000001</v>
      </c>
      <c r="Y55">
        <v>722.23</v>
      </c>
      <c r="Z55">
        <v>5.59</v>
      </c>
      <c r="AA55">
        <v>1.5</v>
      </c>
      <c r="AB55">
        <v>4.6100000000000003</v>
      </c>
      <c r="AC55">
        <v>67.680000000000007</v>
      </c>
      <c r="AD55">
        <v>490</v>
      </c>
      <c r="AE55">
        <v>4700</v>
      </c>
      <c r="AF55">
        <v>76.599999999999994</v>
      </c>
      <c r="AG55">
        <v>0.47</v>
      </c>
      <c r="AH55">
        <v>15.14</v>
      </c>
      <c r="AI55">
        <v>26.23</v>
      </c>
      <c r="AJ55">
        <v>60</v>
      </c>
      <c r="AK55">
        <v>9</v>
      </c>
      <c r="AL55">
        <v>9</v>
      </c>
      <c r="AM55">
        <v>0.86</v>
      </c>
      <c r="AN55">
        <v>294</v>
      </c>
      <c r="AO55">
        <v>301.77</v>
      </c>
      <c r="AP55">
        <v>426960.89</v>
      </c>
      <c r="AQ55">
        <v>261015.9</v>
      </c>
      <c r="AR55" t="s">
        <v>967</v>
      </c>
      <c r="AT55" s="6">
        <f t="shared" si="3"/>
        <v>9.4717460045662119</v>
      </c>
    </row>
    <row r="56" spans="1:46" x14ac:dyDescent="0.55000000000000004">
      <c r="A56">
        <v>18.260000000000002</v>
      </c>
      <c r="B56">
        <v>28.59</v>
      </c>
      <c r="C56">
        <v>5405.71</v>
      </c>
      <c r="D56">
        <v>7.61</v>
      </c>
      <c r="E56" t="s">
        <v>96</v>
      </c>
      <c r="F56" t="s">
        <v>341</v>
      </c>
      <c r="G56" t="s">
        <v>547</v>
      </c>
      <c r="H56" t="s">
        <v>732</v>
      </c>
      <c r="I56">
        <v>0</v>
      </c>
      <c r="J56">
        <v>773.4</v>
      </c>
      <c r="K56">
        <f t="shared" si="0"/>
        <v>59.589999999999996</v>
      </c>
      <c r="L56">
        <f t="shared" si="1"/>
        <v>69.11</v>
      </c>
      <c r="M56">
        <f t="shared" si="2"/>
        <v>-9.5200000000000031</v>
      </c>
      <c r="N56">
        <v>7.19</v>
      </c>
      <c r="O56">
        <v>90.91</v>
      </c>
      <c r="P56">
        <v>60</v>
      </c>
      <c r="Q56">
        <v>18.100000000000001</v>
      </c>
      <c r="R56">
        <v>10.33</v>
      </c>
      <c r="S56">
        <v>13.3</v>
      </c>
      <c r="T56">
        <v>4.96</v>
      </c>
      <c r="U56">
        <v>6.99</v>
      </c>
      <c r="V56">
        <v>3459.65</v>
      </c>
      <c r="W56">
        <v>1023.71</v>
      </c>
      <c r="X56">
        <v>1184.77</v>
      </c>
      <c r="Y56">
        <v>722.73</v>
      </c>
      <c r="Z56">
        <v>5.17</v>
      </c>
      <c r="AA56">
        <v>1.52</v>
      </c>
      <c r="AB56">
        <v>4.57</v>
      </c>
      <c r="AC56">
        <v>67.56</v>
      </c>
      <c r="AD56">
        <v>490</v>
      </c>
      <c r="AE56">
        <v>4700</v>
      </c>
      <c r="AF56">
        <v>74.260000000000005</v>
      </c>
      <c r="AG56">
        <v>0.47</v>
      </c>
      <c r="AH56">
        <v>12.4</v>
      </c>
      <c r="AI56">
        <v>29.48</v>
      </c>
      <c r="AJ56">
        <v>60</v>
      </c>
      <c r="AK56">
        <v>9</v>
      </c>
      <c r="AL56">
        <v>9</v>
      </c>
      <c r="AM56">
        <v>0.77</v>
      </c>
      <c r="AN56">
        <v>294</v>
      </c>
      <c r="AO56">
        <v>300.91000000000003</v>
      </c>
      <c r="AP56">
        <v>356547.99</v>
      </c>
      <c r="AQ56">
        <v>228028.2</v>
      </c>
      <c r="AR56" t="s">
        <v>968</v>
      </c>
      <c r="AT56" s="6">
        <f t="shared" si="3"/>
        <v>7.3356044520547936</v>
      </c>
    </row>
    <row r="57" spans="1:46" x14ac:dyDescent="0.55000000000000004">
      <c r="A57">
        <v>17.7</v>
      </c>
      <c r="B57">
        <v>28.29</v>
      </c>
      <c r="C57">
        <v>5523.58</v>
      </c>
      <c r="D57">
        <v>7.6</v>
      </c>
      <c r="E57" t="s">
        <v>97</v>
      </c>
      <c r="F57" t="s">
        <v>342</v>
      </c>
      <c r="G57" t="s">
        <v>572</v>
      </c>
      <c r="H57" t="s">
        <v>733</v>
      </c>
      <c r="I57">
        <v>0</v>
      </c>
      <c r="J57">
        <v>889.95</v>
      </c>
      <c r="K57">
        <f t="shared" si="0"/>
        <v>70.88</v>
      </c>
      <c r="L57">
        <f t="shared" si="1"/>
        <v>74.52</v>
      </c>
      <c r="M57">
        <f t="shared" si="2"/>
        <v>-3.6400000000000006</v>
      </c>
      <c r="N57">
        <v>7.29</v>
      </c>
      <c r="O57">
        <v>87.97</v>
      </c>
      <c r="P57">
        <v>69</v>
      </c>
      <c r="Q57">
        <v>16.3</v>
      </c>
      <c r="R57">
        <v>10.6</v>
      </c>
      <c r="S57">
        <v>12.72</v>
      </c>
      <c r="T57">
        <v>4.9800000000000004</v>
      </c>
      <c r="U57">
        <v>6.21</v>
      </c>
      <c r="V57">
        <v>3535.09</v>
      </c>
      <c r="W57">
        <v>1043.96</v>
      </c>
      <c r="X57">
        <v>1180.2</v>
      </c>
      <c r="Y57">
        <v>732.01</v>
      </c>
      <c r="Z57">
        <v>5.71</v>
      </c>
      <c r="AA57">
        <v>1.5</v>
      </c>
      <c r="AB57">
        <v>4.59</v>
      </c>
      <c r="AC57">
        <v>68.05</v>
      </c>
      <c r="AD57">
        <v>490</v>
      </c>
      <c r="AE57">
        <v>4700</v>
      </c>
      <c r="AF57">
        <v>76.22</v>
      </c>
      <c r="AG57">
        <v>0.47</v>
      </c>
      <c r="AH57">
        <v>14.64</v>
      </c>
      <c r="AI57">
        <v>27.34</v>
      </c>
      <c r="AJ57">
        <v>60</v>
      </c>
      <c r="AK57">
        <v>9</v>
      </c>
      <c r="AL57">
        <v>9</v>
      </c>
      <c r="AM57">
        <v>0.83</v>
      </c>
      <c r="AN57">
        <v>294</v>
      </c>
      <c r="AO57">
        <v>301.45</v>
      </c>
      <c r="AP57">
        <v>435470.44</v>
      </c>
      <c r="AQ57">
        <v>248229.62</v>
      </c>
      <c r="AR57" t="s">
        <v>969</v>
      </c>
      <c r="AT57" s="6">
        <f t="shared" si="3"/>
        <v>10.687261415525114</v>
      </c>
    </row>
    <row r="58" spans="1:46" x14ac:dyDescent="0.55000000000000004">
      <c r="A58">
        <v>17.8</v>
      </c>
      <c r="B58">
        <v>28.36</v>
      </c>
      <c r="C58">
        <v>5531.26</v>
      </c>
      <c r="D58">
        <v>7.6</v>
      </c>
      <c r="E58" t="s">
        <v>98</v>
      </c>
      <c r="F58" t="s">
        <v>343</v>
      </c>
      <c r="G58" t="s">
        <v>532</v>
      </c>
      <c r="H58" t="s">
        <v>734</v>
      </c>
      <c r="I58">
        <v>0</v>
      </c>
      <c r="J58">
        <v>845.86</v>
      </c>
      <c r="K58">
        <f t="shared" si="0"/>
        <v>65.22</v>
      </c>
      <c r="L58">
        <f t="shared" si="1"/>
        <v>69.039999999999992</v>
      </c>
      <c r="M58">
        <f t="shared" si="2"/>
        <v>-3.8199999999999932</v>
      </c>
      <c r="N58">
        <v>7.24</v>
      </c>
      <c r="O58">
        <v>87.99</v>
      </c>
      <c r="P58">
        <v>68</v>
      </c>
      <c r="Q58">
        <v>16.5</v>
      </c>
      <c r="R58">
        <v>10.56</v>
      </c>
      <c r="S58">
        <v>12.79</v>
      </c>
      <c r="T58">
        <v>5.01</v>
      </c>
      <c r="U58">
        <v>6.54</v>
      </c>
      <c r="V58">
        <v>3540.01</v>
      </c>
      <c r="W58">
        <v>1045.17</v>
      </c>
      <c r="X58">
        <v>1185.4100000000001</v>
      </c>
      <c r="Y58">
        <v>733.04</v>
      </c>
      <c r="Z58">
        <v>5.67</v>
      </c>
      <c r="AA58">
        <v>1.51</v>
      </c>
      <c r="AB58">
        <v>4.58</v>
      </c>
      <c r="AC58">
        <v>67.83</v>
      </c>
      <c r="AD58">
        <v>490</v>
      </c>
      <c r="AE58">
        <v>4700</v>
      </c>
      <c r="AF58">
        <v>75.930000000000007</v>
      </c>
      <c r="AG58">
        <v>0.47</v>
      </c>
      <c r="AH58">
        <v>13.71</v>
      </c>
      <c r="AI58">
        <v>29.51</v>
      </c>
      <c r="AJ58">
        <v>60</v>
      </c>
      <c r="AK58">
        <v>9</v>
      </c>
      <c r="AL58">
        <v>9</v>
      </c>
      <c r="AM58">
        <v>0.77</v>
      </c>
      <c r="AN58">
        <v>294</v>
      </c>
      <c r="AO58">
        <v>300.89999999999998</v>
      </c>
      <c r="AP58">
        <v>420021.76000000001</v>
      </c>
      <c r="AQ58">
        <v>232657.46</v>
      </c>
      <c r="AR58" t="s">
        <v>970</v>
      </c>
      <c r="AT58" s="6">
        <f t="shared" si="3"/>
        <v>10.694309360730594</v>
      </c>
    </row>
    <row r="59" spans="1:46" x14ac:dyDescent="0.55000000000000004">
      <c r="A59">
        <v>17.43</v>
      </c>
      <c r="B59">
        <v>28.01</v>
      </c>
      <c r="C59">
        <v>5467.12</v>
      </c>
      <c r="D59">
        <v>7.6</v>
      </c>
      <c r="E59" t="s">
        <v>99</v>
      </c>
      <c r="F59" t="s">
        <v>344</v>
      </c>
      <c r="G59" t="s">
        <v>573</v>
      </c>
      <c r="H59" t="s">
        <v>735</v>
      </c>
      <c r="I59">
        <v>0</v>
      </c>
      <c r="J59">
        <v>708.62</v>
      </c>
      <c r="K59">
        <f t="shared" si="0"/>
        <v>55.83</v>
      </c>
      <c r="L59">
        <f t="shared" si="1"/>
        <v>61.58</v>
      </c>
      <c r="M59">
        <f t="shared" si="2"/>
        <v>-5.75</v>
      </c>
      <c r="N59">
        <v>7.15</v>
      </c>
      <c r="O59">
        <v>88.09</v>
      </c>
      <c r="P59">
        <v>76</v>
      </c>
      <c r="Q59">
        <v>14.7</v>
      </c>
      <c r="R59">
        <v>10.58</v>
      </c>
      <c r="S59">
        <v>12</v>
      </c>
      <c r="T59">
        <v>5.43</v>
      </c>
      <c r="U59">
        <v>7.72</v>
      </c>
      <c r="V59">
        <v>3498.96</v>
      </c>
      <c r="W59">
        <v>1038.1300000000001</v>
      </c>
      <c r="X59">
        <v>1229.1199999999999</v>
      </c>
      <c r="Y59">
        <v>738.59</v>
      </c>
      <c r="Z59">
        <v>5.44</v>
      </c>
      <c r="AA59">
        <v>1.52</v>
      </c>
      <c r="AB59">
        <v>4.5599999999999996</v>
      </c>
      <c r="AC59">
        <v>66.09</v>
      </c>
      <c r="AD59">
        <v>490</v>
      </c>
      <c r="AE59">
        <v>4700</v>
      </c>
      <c r="AF59">
        <v>76.069999999999993</v>
      </c>
      <c r="AG59">
        <v>0.47</v>
      </c>
      <c r="AH59">
        <v>11.33</v>
      </c>
      <c r="AI59">
        <v>33.090000000000003</v>
      </c>
      <c r="AJ59">
        <v>60</v>
      </c>
      <c r="AK59">
        <v>9</v>
      </c>
      <c r="AL59">
        <v>9</v>
      </c>
      <c r="AM59">
        <v>0.68</v>
      </c>
      <c r="AN59">
        <v>294</v>
      </c>
      <c r="AO59">
        <v>300.16000000000003</v>
      </c>
      <c r="AP59">
        <v>379464.28</v>
      </c>
      <c r="AQ59">
        <v>188944.58</v>
      </c>
      <c r="AR59" t="s">
        <v>971</v>
      </c>
      <c r="AT59" s="6">
        <f t="shared" si="3"/>
        <v>10.874412100456624</v>
      </c>
    </row>
    <row r="60" spans="1:46" x14ac:dyDescent="0.55000000000000004">
      <c r="A60">
        <v>16.989999999999998</v>
      </c>
      <c r="B60">
        <v>27.65</v>
      </c>
      <c r="C60">
        <v>5501.41</v>
      </c>
      <c r="D60">
        <v>7.59</v>
      </c>
      <c r="E60" t="s">
        <v>100</v>
      </c>
      <c r="F60" t="s">
        <v>345</v>
      </c>
      <c r="G60" t="s">
        <v>574</v>
      </c>
      <c r="H60" t="s">
        <v>736</v>
      </c>
      <c r="I60">
        <v>0</v>
      </c>
      <c r="J60">
        <v>239.49</v>
      </c>
      <c r="K60">
        <f t="shared" si="0"/>
        <v>35.06</v>
      </c>
      <c r="L60">
        <f t="shared" si="1"/>
        <v>38.160000000000004</v>
      </c>
      <c r="M60">
        <f t="shared" si="2"/>
        <v>-3.1000000000000014</v>
      </c>
      <c r="N60">
        <v>6.77</v>
      </c>
      <c r="O60">
        <v>87.17</v>
      </c>
      <c r="P60">
        <v>81</v>
      </c>
      <c r="Q60">
        <v>13.6</v>
      </c>
      <c r="R60">
        <v>10.67</v>
      </c>
      <c r="S60">
        <v>11.49</v>
      </c>
      <c r="T60">
        <v>5.49</v>
      </c>
      <c r="U60">
        <v>22.97</v>
      </c>
      <c r="V60">
        <v>3520.9</v>
      </c>
      <c r="W60">
        <v>1082.3499999999999</v>
      </c>
      <c r="X60">
        <v>1760.03</v>
      </c>
      <c r="Y60">
        <v>857.84</v>
      </c>
      <c r="Z60">
        <v>5.97</v>
      </c>
      <c r="AA60">
        <v>1.67</v>
      </c>
      <c r="AB60">
        <v>4.25</v>
      </c>
      <c r="AC60">
        <v>66</v>
      </c>
      <c r="AD60">
        <v>490</v>
      </c>
      <c r="AE60">
        <v>4700</v>
      </c>
      <c r="AF60">
        <v>76.709999999999994</v>
      </c>
      <c r="AG60">
        <v>0.47</v>
      </c>
      <c r="AH60">
        <v>3.49</v>
      </c>
      <c r="AI60">
        <v>57.84</v>
      </c>
      <c r="AJ60">
        <v>60</v>
      </c>
      <c r="AK60">
        <v>9</v>
      </c>
      <c r="AL60">
        <v>9</v>
      </c>
      <c r="AM60">
        <v>0.39</v>
      </c>
      <c r="AN60">
        <v>294</v>
      </c>
      <c r="AO60">
        <v>297.52</v>
      </c>
      <c r="AP60">
        <v>343591.7</v>
      </c>
      <c r="AQ60">
        <v>117261.72</v>
      </c>
      <c r="AR60" t="s">
        <v>972</v>
      </c>
      <c r="AT60" s="6">
        <f t="shared" si="3"/>
        <v>12.91837785388128</v>
      </c>
    </row>
    <row r="61" spans="1:46" x14ac:dyDescent="0.55000000000000004">
      <c r="A61">
        <v>17.670000000000002</v>
      </c>
      <c r="B61">
        <v>28.22</v>
      </c>
      <c r="C61">
        <v>5498.29</v>
      </c>
      <c r="D61">
        <v>7.6</v>
      </c>
      <c r="E61" t="s">
        <v>101</v>
      </c>
      <c r="F61" t="s">
        <v>346</v>
      </c>
      <c r="G61" t="s">
        <v>575</v>
      </c>
      <c r="H61" t="s">
        <v>737</v>
      </c>
      <c r="I61">
        <v>0</v>
      </c>
      <c r="J61">
        <v>904.95</v>
      </c>
      <c r="K61">
        <f t="shared" si="0"/>
        <v>70.929999999999993</v>
      </c>
      <c r="L61">
        <f t="shared" si="1"/>
        <v>75.44</v>
      </c>
      <c r="M61">
        <f t="shared" si="2"/>
        <v>-4.5100000000000051</v>
      </c>
      <c r="N61">
        <v>7.29</v>
      </c>
      <c r="O61">
        <v>88.12</v>
      </c>
      <c r="P61">
        <v>70</v>
      </c>
      <c r="Q61">
        <v>16.2</v>
      </c>
      <c r="R61">
        <v>10.56</v>
      </c>
      <c r="S61">
        <v>12.74</v>
      </c>
      <c r="T61">
        <v>4.93</v>
      </c>
      <c r="U61">
        <v>6.08</v>
      </c>
      <c r="V61">
        <v>3518.91</v>
      </c>
      <c r="W61">
        <v>1037.71</v>
      </c>
      <c r="X61">
        <v>1162.45</v>
      </c>
      <c r="Y61">
        <v>725.06</v>
      </c>
      <c r="Z61">
        <v>5.17</v>
      </c>
      <c r="AA61">
        <v>1.5</v>
      </c>
      <c r="AB61">
        <v>4.6100000000000003</v>
      </c>
      <c r="AC61">
        <v>68.17</v>
      </c>
      <c r="AD61">
        <v>490</v>
      </c>
      <c r="AE61">
        <v>4700</v>
      </c>
      <c r="AF61">
        <v>75.91</v>
      </c>
      <c r="AG61">
        <v>0.47</v>
      </c>
      <c r="AH61">
        <v>14.95</v>
      </c>
      <c r="AI61">
        <v>24.76</v>
      </c>
      <c r="AJ61">
        <v>60</v>
      </c>
      <c r="AK61">
        <v>9</v>
      </c>
      <c r="AL61">
        <v>9</v>
      </c>
      <c r="AM61">
        <v>0.91</v>
      </c>
      <c r="AN61">
        <v>294</v>
      </c>
      <c r="AO61">
        <v>302.23</v>
      </c>
      <c r="AP61">
        <v>440316.85</v>
      </c>
      <c r="AQ61">
        <v>207490.45</v>
      </c>
      <c r="AR61" t="s">
        <v>973</v>
      </c>
      <c r="AT61" s="6">
        <f t="shared" si="3"/>
        <v>13.289178082191778</v>
      </c>
    </row>
    <row r="62" spans="1:46" x14ac:dyDescent="0.55000000000000004">
      <c r="A62">
        <v>16.29</v>
      </c>
      <c r="B62">
        <v>27.82</v>
      </c>
      <c r="C62">
        <v>5484.5</v>
      </c>
      <c r="D62">
        <v>7.6</v>
      </c>
      <c r="E62" t="s">
        <v>102</v>
      </c>
      <c r="F62" t="s">
        <v>347</v>
      </c>
      <c r="G62" t="s">
        <v>576</v>
      </c>
      <c r="H62" t="s">
        <v>738</v>
      </c>
      <c r="I62">
        <v>0</v>
      </c>
      <c r="J62">
        <v>670.85</v>
      </c>
      <c r="K62">
        <f t="shared" si="0"/>
        <v>58.53</v>
      </c>
      <c r="L62">
        <f t="shared" si="1"/>
        <v>60.9</v>
      </c>
      <c r="M62">
        <f t="shared" si="2"/>
        <v>-2.3699999999999974</v>
      </c>
      <c r="N62">
        <v>7.2</v>
      </c>
      <c r="O62">
        <v>86.27</v>
      </c>
      <c r="P62">
        <v>88</v>
      </c>
      <c r="Q62">
        <v>11.4</v>
      </c>
      <c r="R62">
        <v>11.54</v>
      </c>
      <c r="S62">
        <v>10.09</v>
      </c>
      <c r="T62">
        <v>6.2</v>
      </c>
      <c r="U62">
        <v>8.18</v>
      </c>
      <c r="V62">
        <v>3510.08</v>
      </c>
      <c r="W62">
        <v>1050.3599999999999</v>
      </c>
      <c r="X62">
        <v>1305.06</v>
      </c>
      <c r="Y62">
        <v>762.5</v>
      </c>
      <c r="Z62">
        <v>6.25</v>
      </c>
      <c r="AA62">
        <v>1.52</v>
      </c>
      <c r="AB62">
        <v>4.55</v>
      </c>
      <c r="AC62">
        <v>65.05</v>
      </c>
      <c r="AD62">
        <v>490</v>
      </c>
      <c r="AE62">
        <v>4700</v>
      </c>
      <c r="AF62">
        <v>82.95</v>
      </c>
      <c r="AG62">
        <v>0.47</v>
      </c>
      <c r="AH62">
        <v>11.56</v>
      </c>
      <c r="AI62">
        <v>36.24</v>
      </c>
      <c r="AJ62">
        <v>60</v>
      </c>
      <c r="AK62">
        <v>9</v>
      </c>
      <c r="AL62">
        <v>9</v>
      </c>
      <c r="AM62">
        <v>0.62</v>
      </c>
      <c r="AN62">
        <v>294</v>
      </c>
      <c r="AO62">
        <v>299.62</v>
      </c>
      <c r="AP62">
        <v>407098.59</v>
      </c>
      <c r="AQ62">
        <v>182102.74</v>
      </c>
      <c r="AR62" t="s">
        <v>974</v>
      </c>
      <c r="AT62" s="6">
        <f t="shared" si="3"/>
        <v>12.84222888127854</v>
      </c>
    </row>
    <row r="63" spans="1:46" x14ac:dyDescent="0.55000000000000004">
      <c r="A63">
        <v>15.86</v>
      </c>
      <c r="B63">
        <v>27.6</v>
      </c>
      <c r="C63">
        <v>5534.13</v>
      </c>
      <c r="D63">
        <v>7.6</v>
      </c>
      <c r="E63" t="s">
        <v>103</v>
      </c>
      <c r="F63" t="s">
        <v>348</v>
      </c>
      <c r="G63" t="s">
        <v>577</v>
      </c>
      <c r="H63" t="s">
        <v>739</v>
      </c>
      <c r="I63">
        <v>0</v>
      </c>
      <c r="J63">
        <v>196.95</v>
      </c>
      <c r="K63">
        <f t="shared" si="0"/>
        <v>37.520000000000003</v>
      </c>
      <c r="L63">
        <f t="shared" si="1"/>
        <v>34.700000000000003</v>
      </c>
      <c r="M63">
        <f t="shared" si="2"/>
        <v>2.8200000000000003</v>
      </c>
      <c r="N63">
        <v>6.86</v>
      </c>
      <c r="O63">
        <v>84.2</v>
      </c>
      <c r="P63">
        <v>89</v>
      </c>
      <c r="Q63">
        <v>10.9</v>
      </c>
      <c r="R63">
        <v>11.74</v>
      </c>
      <c r="S63">
        <v>9.6999999999999993</v>
      </c>
      <c r="T63">
        <v>6.16</v>
      </c>
      <c r="U63">
        <v>28.1</v>
      </c>
      <c r="V63">
        <v>3541.84</v>
      </c>
      <c r="W63">
        <v>1147.95</v>
      </c>
      <c r="X63">
        <v>2282.35</v>
      </c>
      <c r="Y63">
        <v>1009.58</v>
      </c>
      <c r="Z63">
        <v>8.11</v>
      </c>
      <c r="AA63">
        <v>1.8</v>
      </c>
      <c r="AB63">
        <v>4</v>
      </c>
      <c r="AC63">
        <v>65.58</v>
      </c>
      <c r="AD63">
        <v>490</v>
      </c>
      <c r="AE63">
        <v>4700</v>
      </c>
      <c r="AF63">
        <v>84.39</v>
      </c>
      <c r="AG63">
        <v>0.47</v>
      </c>
      <c r="AH63">
        <v>3.11</v>
      </c>
      <c r="AI63">
        <v>73.400000000000006</v>
      </c>
      <c r="AJ63">
        <v>60</v>
      </c>
      <c r="AK63">
        <v>9</v>
      </c>
      <c r="AL63">
        <v>9</v>
      </c>
      <c r="AM63">
        <v>0.31</v>
      </c>
      <c r="AN63">
        <v>294</v>
      </c>
      <c r="AO63">
        <v>296.77999999999997</v>
      </c>
      <c r="AP63">
        <v>392528.44</v>
      </c>
      <c r="AQ63">
        <v>88416.57</v>
      </c>
      <c r="AR63" t="s">
        <v>975</v>
      </c>
      <c r="AT63" s="6">
        <f t="shared" si="3"/>
        <v>17.357983447488586</v>
      </c>
    </row>
    <row r="64" spans="1:46" x14ac:dyDescent="0.55000000000000004">
      <c r="A64">
        <v>16.63</v>
      </c>
      <c r="B64">
        <v>28.25</v>
      </c>
      <c r="C64">
        <v>5511.48</v>
      </c>
      <c r="D64">
        <v>7.6</v>
      </c>
      <c r="E64" t="s">
        <v>104</v>
      </c>
      <c r="F64" t="s">
        <v>349</v>
      </c>
      <c r="G64" t="s">
        <v>578</v>
      </c>
      <c r="H64" t="s">
        <v>740</v>
      </c>
      <c r="I64">
        <v>0</v>
      </c>
      <c r="J64">
        <v>479.73</v>
      </c>
      <c r="K64">
        <f t="shared" si="0"/>
        <v>48.03</v>
      </c>
      <c r="L64">
        <f t="shared" si="1"/>
        <v>49.75</v>
      </c>
      <c r="M64">
        <f t="shared" si="2"/>
        <v>-1.7199999999999989</v>
      </c>
      <c r="N64">
        <v>7.07</v>
      </c>
      <c r="O64">
        <v>86.23</v>
      </c>
      <c r="P64">
        <v>86</v>
      </c>
      <c r="Q64">
        <v>12.3</v>
      </c>
      <c r="R64">
        <v>11.61</v>
      </c>
      <c r="S64">
        <v>10.76</v>
      </c>
      <c r="T64">
        <v>5.87</v>
      </c>
      <c r="U64">
        <v>11.49</v>
      </c>
      <c r="V64">
        <v>3527.35</v>
      </c>
      <c r="W64">
        <v>1071.01</v>
      </c>
      <c r="X64">
        <v>1477.64</v>
      </c>
      <c r="Y64">
        <v>808.09</v>
      </c>
      <c r="Z64">
        <v>6.28</v>
      </c>
      <c r="AA64">
        <v>1.59</v>
      </c>
      <c r="AB64">
        <v>4.41</v>
      </c>
      <c r="AC64">
        <v>66.430000000000007</v>
      </c>
      <c r="AD64">
        <v>490</v>
      </c>
      <c r="AE64">
        <v>4700</v>
      </c>
      <c r="AF64">
        <v>83.52</v>
      </c>
      <c r="AG64">
        <v>0.47</v>
      </c>
      <c r="AH64">
        <v>7.96</v>
      </c>
      <c r="AI64">
        <v>44.37</v>
      </c>
      <c r="AJ64">
        <v>60</v>
      </c>
      <c r="AK64">
        <v>9</v>
      </c>
      <c r="AL64">
        <v>9</v>
      </c>
      <c r="AM64">
        <v>0.51</v>
      </c>
      <c r="AN64">
        <v>294</v>
      </c>
      <c r="AO64">
        <v>298.58999999999997</v>
      </c>
      <c r="AP64">
        <v>386541.2</v>
      </c>
      <c r="AQ64">
        <v>124711.97</v>
      </c>
      <c r="AR64" t="s">
        <v>976</v>
      </c>
      <c r="AT64" s="6">
        <f t="shared" si="3"/>
        <v>14.944590753424658</v>
      </c>
    </row>
    <row r="65" spans="1:46" x14ac:dyDescent="0.55000000000000004">
      <c r="A65">
        <v>16.329999999999998</v>
      </c>
      <c r="B65">
        <v>27.89</v>
      </c>
      <c r="C65">
        <v>5498.28</v>
      </c>
      <c r="D65">
        <v>7.6</v>
      </c>
      <c r="E65" t="s">
        <v>105</v>
      </c>
      <c r="F65" t="s">
        <v>350</v>
      </c>
      <c r="G65" t="s">
        <v>579</v>
      </c>
      <c r="H65" t="s">
        <v>741</v>
      </c>
      <c r="I65">
        <v>0</v>
      </c>
      <c r="J65">
        <v>729.18</v>
      </c>
      <c r="K65">
        <f t="shared" si="0"/>
        <v>62.330000000000005</v>
      </c>
      <c r="L65">
        <f t="shared" si="1"/>
        <v>66.010000000000005</v>
      </c>
      <c r="M65">
        <f t="shared" si="2"/>
        <v>-3.6799999999999997</v>
      </c>
      <c r="N65">
        <v>7.23</v>
      </c>
      <c r="O65">
        <v>85.85</v>
      </c>
      <c r="P65">
        <v>87</v>
      </c>
      <c r="Q65">
        <v>11.6</v>
      </c>
      <c r="R65">
        <v>11.56</v>
      </c>
      <c r="S65">
        <v>10.18</v>
      </c>
      <c r="T65">
        <v>6.14</v>
      </c>
      <c r="U65">
        <v>7.54</v>
      </c>
      <c r="V65">
        <v>3518.9</v>
      </c>
      <c r="W65">
        <v>1049.53</v>
      </c>
      <c r="X65">
        <v>1272.3699999999999</v>
      </c>
      <c r="Y65">
        <v>755.18</v>
      </c>
      <c r="Z65">
        <v>5.67</v>
      </c>
      <c r="AA65">
        <v>1.51</v>
      </c>
      <c r="AB65">
        <v>4.58</v>
      </c>
      <c r="AC65">
        <v>65.31</v>
      </c>
      <c r="AD65">
        <v>490</v>
      </c>
      <c r="AE65">
        <v>4700</v>
      </c>
      <c r="AF65">
        <v>83.16</v>
      </c>
      <c r="AG65">
        <v>0.47</v>
      </c>
      <c r="AH65">
        <v>12.71</v>
      </c>
      <c r="AI65">
        <v>30.86</v>
      </c>
      <c r="AJ65">
        <v>60</v>
      </c>
      <c r="AK65">
        <v>9</v>
      </c>
      <c r="AL65">
        <v>9</v>
      </c>
      <c r="AM65">
        <v>0.73</v>
      </c>
      <c r="AN65">
        <v>294</v>
      </c>
      <c r="AO65">
        <v>300.60000000000002</v>
      </c>
      <c r="AP65">
        <v>413892.98</v>
      </c>
      <c r="AQ65">
        <v>170132.21</v>
      </c>
      <c r="AR65" t="s">
        <v>977</v>
      </c>
      <c r="AT65" s="6">
        <f t="shared" si="3"/>
        <v>13.913285958904108</v>
      </c>
    </row>
    <row r="66" spans="1:46" x14ac:dyDescent="0.55000000000000004">
      <c r="A66">
        <v>14.77</v>
      </c>
      <c r="B66">
        <v>26.86</v>
      </c>
      <c r="C66">
        <v>5471.6</v>
      </c>
      <c r="D66">
        <v>7.59</v>
      </c>
      <c r="E66" t="s">
        <v>106</v>
      </c>
      <c r="F66" t="s">
        <v>351</v>
      </c>
      <c r="G66" t="s">
        <v>580</v>
      </c>
      <c r="H66" t="s">
        <v>742</v>
      </c>
      <c r="I66">
        <v>0</v>
      </c>
      <c r="J66">
        <v>504.36</v>
      </c>
      <c r="K66">
        <f t="shared" si="0"/>
        <v>49.25</v>
      </c>
      <c r="L66">
        <f t="shared" si="1"/>
        <v>52.36</v>
      </c>
      <c r="M66">
        <f t="shared" si="2"/>
        <v>-3.1099999999999994</v>
      </c>
      <c r="N66">
        <v>7.08</v>
      </c>
      <c r="O66">
        <v>84.66</v>
      </c>
      <c r="P66">
        <v>87</v>
      </c>
      <c r="Q66">
        <v>10.5</v>
      </c>
      <c r="R66">
        <v>12.09</v>
      </c>
      <c r="S66">
        <v>9.11</v>
      </c>
      <c r="T66">
        <v>5.66</v>
      </c>
      <c r="U66">
        <v>10.85</v>
      </c>
      <c r="V66">
        <v>3501.82</v>
      </c>
      <c r="W66">
        <v>1060.58</v>
      </c>
      <c r="X66">
        <v>1438.32</v>
      </c>
      <c r="Y66">
        <v>795.01</v>
      </c>
      <c r="Z66">
        <v>6.11</v>
      </c>
      <c r="AA66">
        <v>1.53</v>
      </c>
      <c r="AB66">
        <v>4.53</v>
      </c>
      <c r="AC66">
        <v>68.13</v>
      </c>
      <c r="AD66">
        <v>490</v>
      </c>
      <c r="AE66">
        <v>4700</v>
      </c>
      <c r="AF66">
        <v>86.97</v>
      </c>
      <c r="AG66">
        <v>0.47</v>
      </c>
      <c r="AH66">
        <v>8.83</v>
      </c>
      <c r="AI66">
        <v>42.15</v>
      </c>
      <c r="AJ66">
        <v>60</v>
      </c>
      <c r="AK66">
        <v>9</v>
      </c>
      <c r="AL66">
        <v>9</v>
      </c>
      <c r="AM66">
        <v>0.54</v>
      </c>
      <c r="AN66">
        <v>294</v>
      </c>
      <c r="AO66">
        <v>298.83</v>
      </c>
      <c r="AP66">
        <v>378028.77</v>
      </c>
      <c r="AQ66">
        <v>137927.14000000001</v>
      </c>
      <c r="AR66" t="s">
        <v>978</v>
      </c>
      <c r="AT66" s="6">
        <f t="shared" si="3"/>
        <v>13.704430936073059</v>
      </c>
    </row>
    <row r="67" spans="1:46" x14ac:dyDescent="0.55000000000000004">
      <c r="A67">
        <v>16.12</v>
      </c>
      <c r="B67">
        <v>27.68</v>
      </c>
      <c r="C67">
        <v>5482.26</v>
      </c>
      <c r="D67">
        <v>7.61</v>
      </c>
      <c r="E67" t="s">
        <v>107</v>
      </c>
      <c r="F67" t="s">
        <v>352</v>
      </c>
      <c r="G67" t="s">
        <v>581</v>
      </c>
      <c r="H67" t="s">
        <v>743</v>
      </c>
      <c r="I67">
        <v>0</v>
      </c>
      <c r="J67">
        <v>339.82</v>
      </c>
      <c r="K67">
        <f t="shared" ref="K67:K130" si="4">IF(E67=0,0,
VALUE(MID(E67,2,FIND(",",E67)-2))+
VALUE(MID(F67,2,FIND(",",F67)-2))+
VALUE(MID(G67,2,FIND(",",G67)-2))
)</f>
        <v>42.85</v>
      </c>
      <c r="L67">
        <f t="shared" ref="L67:L130" si="5">IF(E67=0,0,
VALUE(MID(E67,FIND(",",E67)+1,FIND("]",E67)-FIND(",",E67)-1))+
VALUE(MID(F67,FIND(",",F67)+1,FIND("]",F67)-FIND(",",F67)-1))+
VALUE(MID(G67,FIND(",",G67)+1,FIND("]",G67)-FIND(",",G67)-1))
)</f>
        <v>42.650000000000006</v>
      </c>
      <c r="M67">
        <f t="shared" ref="M67:M130" si="6">(K67-L67)</f>
        <v>0.19999999999999574</v>
      </c>
      <c r="N67">
        <v>6.97</v>
      </c>
      <c r="O67">
        <v>86.23</v>
      </c>
      <c r="P67">
        <v>90</v>
      </c>
      <c r="Q67">
        <v>11</v>
      </c>
      <c r="R67">
        <v>11.56</v>
      </c>
      <c r="S67">
        <v>9.9</v>
      </c>
      <c r="T67">
        <v>6.21</v>
      </c>
      <c r="U67">
        <v>16.13</v>
      </c>
      <c r="V67">
        <v>3508.65</v>
      </c>
      <c r="W67">
        <v>1088.18</v>
      </c>
      <c r="X67">
        <v>1713.01</v>
      </c>
      <c r="Y67">
        <v>865.33</v>
      </c>
      <c r="Z67">
        <v>7.03</v>
      </c>
      <c r="AA67">
        <v>1.67</v>
      </c>
      <c r="AB67">
        <v>4.28</v>
      </c>
      <c r="AC67">
        <v>65.03</v>
      </c>
      <c r="AD67">
        <v>490</v>
      </c>
      <c r="AE67">
        <v>4700</v>
      </c>
      <c r="AF67">
        <v>83.1</v>
      </c>
      <c r="AG67">
        <v>0.47</v>
      </c>
      <c r="AH67">
        <v>5.49</v>
      </c>
      <c r="AI67">
        <v>55.74</v>
      </c>
      <c r="AJ67">
        <v>60</v>
      </c>
      <c r="AK67">
        <v>9</v>
      </c>
      <c r="AL67">
        <v>9</v>
      </c>
      <c r="AM67">
        <v>0.41</v>
      </c>
      <c r="AN67">
        <v>294</v>
      </c>
      <c r="AO67">
        <v>297.66000000000003</v>
      </c>
      <c r="AP67">
        <v>386942.43</v>
      </c>
      <c r="AQ67">
        <v>108812.94</v>
      </c>
      <c r="AR67" t="s">
        <v>979</v>
      </c>
      <c r="AT67" s="6">
        <f t="shared" ref="AT67:AT130" si="7">(AP67-AQ67)/(365*24*2)</f>
        <v>15.874970890410959</v>
      </c>
    </row>
    <row r="68" spans="1:46" x14ac:dyDescent="0.55000000000000004">
      <c r="A68">
        <v>15</v>
      </c>
      <c r="B68">
        <v>27.11</v>
      </c>
      <c r="C68">
        <v>5442.07</v>
      </c>
      <c r="D68">
        <v>7.6</v>
      </c>
      <c r="E68" t="s">
        <v>108</v>
      </c>
      <c r="F68" t="s">
        <v>353</v>
      </c>
      <c r="G68" t="s">
        <v>582</v>
      </c>
      <c r="H68" t="s">
        <v>744</v>
      </c>
      <c r="I68">
        <v>0</v>
      </c>
      <c r="J68">
        <v>275.01</v>
      </c>
      <c r="K68">
        <f t="shared" si="4"/>
        <v>41.08</v>
      </c>
      <c r="L68">
        <f t="shared" si="5"/>
        <v>45.429999999999993</v>
      </c>
      <c r="M68">
        <f t="shared" si="6"/>
        <v>-4.3499999999999943</v>
      </c>
      <c r="N68">
        <v>6.94</v>
      </c>
      <c r="O68">
        <v>85.44</v>
      </c>
      <c r="P68">
        <v>79</v>
      </c>
      <c r="Q68">
        <v>12.5</v>
      </c>
      <c r="R68">
        <v>12.1</v>
      </c>
      <c r="S68">
        <v>10.220000000000001</v>
      </c>
      <c r="T68">
        <v>4.78</v>
      </c>
      <c r="U68">
        <v>19.79</v>
      </c>
      <c r="V68">
        <v>3482.92</v>
      </c>
      <c r="W68">
        <v>1101.53</v>
      </c>
      <c r="X68">
        <v>1917.26</v>
      </c>
      <c r="Y68">
        <v>915.31</v>
      </c>
      <c r="Z68">
        <v>6.33</v>
      </c>
      <c r="AA68">
        <v>1.68</v>
      </c>
      <c r="AB68">
        <v>4.2300000000000004</v>
      </c>
      <c r="AC68">
        <v>71.69</v>
      </c>
      <c r="AD68">
        <v>490</v>
      </c>
      <c r="AE68">
        <v>4700</v>
      </c>
      <c r="AF68">
        <v>87.04</v>
      </c>
      <c r="AG68">
        <v>0.47</v>
      </c>
      <c r="AH68">
        <v>4.63</v>
      </c>
      <c r="AI68">
        <v>52.32</v>
      </c>
      <c r="AJ68">
        <v>60</v>
      </c>
      <c r="AK68">
        <v>9</v>
      </c>
      <c r="AL68">
        <v>9</v>
      </c>
      <c r="AM68">
        <v>0.43</v>
      </c>
      <c r="AN68">
        <v>294</v>
      </c>
      <c r="AO68">
        <v>297.89</v>
      </c>
      <c r="AP68">
        <v>342466.01</v>
      </c>
      <c r="AQ68">
        <v>118472.39</v>
      </c>
      <c r="AR68" t="s">
        <v>980</v>
      </c>
      <c r="AT68" s="6">
        <f t="shared" si="7"/>
        <v>12.785023972602739</v>
      </c>
    </row>
    <row r="69" spans="1:46" x14ac:dyDescent="0.55000000000000004">
      <c r="A69">
        <v>16.8</v>
      </c>
      <c r="B69">
        <v>27.47</v>
      </c>
      <c r="C69">
        <v>5515.91</v>
      </c>
      <c r="D69">
        <v>7.6</v>
      </c>
      <c r="E69" t="s">
        <v>109</v>
      </c>
      <c r="F69" t="s">
        <v>354</v>
      </c>
      <c r="G69" t="s">
        <v>583</v>
      </c>
      <c r="H69" t="s">
        <v>745</v>
      </c>
      <c r="I69">
        <v>0</v>
      </c>
      <c r="J69">
        <v>520.27</v>
      </c>
      <c r="K69">
        <f t="shared" si="4"/>
        <v>45.51</v>
      </c>
      <c r="L69">
        <f t="shared" si="5"/>
        <v>50.81</v>
      </c>
      <c r="M69">
        <f t="shared" si="6"/>
        <v>-5.3000000000000043</v>
      </c>
      <c r="N69">
        <v>7</v>
      </c>
      <c r="O69">
        <v>86.3</v>
      </c>
      <c r="P69">
        <v>82</v>
      </c>
      <c r="Q69">
        <v>13.2</v>
      </c>
      <c r="R69">
        <v>10.67</v>
      </c>
      <c r="S69">
        <v>11.21</v>
      </c>
      <c r="T69">
        <v>5.59</v>
      </c>
      <c r="U69">
        <v>10.6</v>
      </c>
      <c r="V69">
        <v>3530.18</v>
      </c>
      <c r="W69">
        <v>1055.25</v>
      </c>
      <c r="X69">
        <v>1343.35</v>
      </c>
      <c r="Y69">
        <v>768.44</v>
      </c>
      <c r="Z69">
        <v>5.37</v>
      </c>
      <c r="AA69">
        <v>1.54</v>
      </c>
      <c r="AB69">
        <v>4.51</v>
      </c>
      <c r="AC69">
        <v>65.63</v>
      </c>
      <c r="AD69">
        <v>490</v>
      </c>
      <c r="AE69">
        <v>4700</v>
      </c>
      <c r="AF69">
        <v>76.709999999999994</v>
      </c>
      <c r="AG69">
        <v>0.47</v>
      </c>
      <c r="AH69">
        <v>7.99</v>
      </c>
      <c r="AI69">
        <v>40.1</v>
      </c>
      <c r="AJ69">
        <v>60</v>
      </c>
      <c r="AK69">
        <v>9</v>
      </c>
      <c r="AL69">
        <v>9</v>
      </c>
      <c r="AM69">
        <v>0.56000000000000005</v>
      </c>
      <c r="AN69">
        <v>294</v>
      </c>
      <c r="AO69">
        <v>299.08</v>
      </c>
      <c r="AP69">
        <v>357511.29</v>
      </c>
      <c r="AQ69">
        <v>142573.01</v>
      </c>
      <c r="AR69" t="s">
        <v>981</v>
      </c>
      <c r="AT69" s="6">
        <f t="shared" si="7"/>
        <v>12.268166666666666</v>
      </c>
    </row>
    <row r="70" spans="1:46" x14ac:dyDescent="0.5500000000000000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4"/>
        <v>0</v>
      </c>
      <c r="L70">
        <f t="shared" si="5"/>
        <v>0</v>
      </c>
      <c r="M70">
        <f t="shared" si="6"/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T70" s="6">
        <f t="shared" si="7"/>
        <v>0</v>
      </c>
    </row>
    <row r="71" spans="1:46" x14ac:dyDescent="0.55000000000000004">
      <c r="A71">
        <v>15.11</v>
      </c>
      <c r="B71">
        <v>27.04</v>
      </c>
      <c r="C71">
        <v>5457.65</v>
      </c>
      <c r="D71">
        <v>7.58</v>
      </c>
      <c r="E71" t="s">
        <v>110</v>
      </c>
      <c r="F71" t="s">
        <v>355</v>
      </c>
      <c r="G71" t="s">
        <v>584</v>
      </c>
      <c r="H71" t="s">
        <v>746</v>
      </c>
      <c r="I71">
        <v>0</v>
      </c>
      <c r="J71">
        <v>546.51</v>
      </c>
      <c r="K71">
        <f t="shared" si="4"/>
        <v>51.33</v>
      </c>
      <c r="L71">
        <f t="shared" si="5"/>
        <v>56.25</v>
      </c>
      <c r="M71">
        <f t="shared" si="6"/>
        <v>-4.9200000000000017</v>
      </c>
      <c r="N71">
        <v>7.11</v>
      </c>
      <c r="O71">
        <v>85.14</v>
      </c>
      <c r="P71">
        <v>84</v>
      </c>
      <c r="Q71">
        <v>11.3</v>
      </c>
      <c r="R71">
        <v>11.93</v>
      </c>
      <c r="S71">
        <v>9.58</v>
      </c>
      <c r="T71">
        <v>5.53</v>
      </c>
      <c r="U71">
        <v>9.99</v>
      </c>
      <c r="V71">
        <v>3492.9</v>
      </c>
      <c r="W71">
        <v>1053.94</v>
      </c>
      <c r="X71">
        <v>1392.41</v>
      </c>
      <c r="Y71">
        <v>782.35</v>
      </c>
      <c r="Z71">
        <v>5.93</v>
      </c>
      <c r="AA71">
        <v>1.51</v>
      </c>
      <c r="AB71">
        <v>4.5599999999999996</v>
      </c>
      <c r="AC71">
        <v>68.349999999999994</v>
      </c>
      <c r="AD71">
        <v>490</v>
      </c>
      <c r="AE71">
        <v>4700</v>
      </c>
      <c r="AF71">
        <v>85.81</v>
      </c>
      <c r="AG71">
        <v>0.47</v>
      </c>
      <c r="AH71">
        <v>9.5500000000000007</v>
      </c>
      <c r="AI71">
        <v>39.24</v>
      </c>
      <c r="AJ71">
        <v>60</v>
      </c>
      <c r="AK71">
        <v>9</v>
      </c>
      <c r="AL71">
        <v>9</v>
      </c>
      <c r="AM71">
        <v>0.57999999999999996</v>
      </c>
      <c r="AN71">
        <v>294</v>
      </c>
      <c r="AO71">
        <v>299.19</v>
      </c>
      <c r="AP71">
        <v>367629.54</v>
      </c>
      <c r="AQ71">
        <v>157686.56</v>
      </c>
      <c r="AR71" t="s">
        <v>982</v>
      </c>
      <c r="AT71" s="6">
        <f t="shared" si="7"/>
        <v>11.983046803652966</v>
      </c>
    </row>
    <row r="72" spans="1:46" x14ac:dyDescent="0.55000000000000004">
      <c r="A72">
        <v>15.29</v>
      </c>
      <c r="B72">
        <v>27.38</v>
      </c>
      <c r="C72">
        <v>5476.2</v>
      </c>
      <c r="D72">
        <v>7.59</v>
      </c>
      <c r="E72" t="s">
        <v>111</v>
      </c>
      <c r="F72" t="s">
        <v>356</v>
      </c>
      <c r="G72" t="s">
        <v>585</v>
      </c>
      <c r="H72" t="s">
        <v>747</v>
      </c>
      <c r="I72">
        <v>0</v>
      </c>
      <c r="J72">
        <v>450.38</v>
      </c>
      <c r="K72">
        <f t="shared" si="4"/>
        <v>46.95</v>
      </c>
      <c r="L72">
        <f t="shared" si="5"/>
        <v>46.14</v>
      </c>
      <c r="M72">
        <f t="shared" si="6"/>
        <v>0.81000000000000227</v>
      </c>
      <c r="N72">
        <v>7.05</v>
      </c>
      <c r="O72">
        <v>85.41</v>
      </c>
      <c r="P72">
        <v>89</v>
      </c>
      <c r="Q72">
        <v>10.6</v>
      </c>
      <c r="R72">
        <v>12.09</v>
      </c>
      <c r="S72">
        <v>9.41</v>
      </c>
      <c r="T72">
        <v>5.88</v>
      </c>
      <c r="U72">
        <v>12.16</v>
      </c>
      <c r="V72">
        <v>3504.77</v>
      </c>
      <c r="W72">
        <v>1067.75</v>
      </c>
      <c r="X72">
        <v>1506.49</v>
      </c>
      <c r="Y72">
        <v>812.6</v>
      </c>
      <c r="Z72">
        <v>7.12</v>
      </c>
      <c r="AA72">
        <v>1.57</v>
      </c>
      <c r="AB72">
        <v>4.46</v>
      </c>
      <c r="AC72">
        <v>67.27</v>
      </c>
      <c r="AD72">
        <v>490</v>
      </c>
      <c r="AE72">
        <v>4700</v>
      </c>
      <c r="AF72">
        <v>86.93</v>
      </c>
      <c r="AG72">
        <v>0.47</v>
      </c>
      <c r="AH72">
        <v>7.79</v>
      </c>
      <c r="AI72">
        <v>51.52</v>
      </c>
      <c r="AJ72">
        <v>60</v>
      </c>
      <c r="AK72">
        <v>9</v>
      </c>
      <c r="AL72">
        <v>9</v>
      </c>
      <c r="AM72">
        <v>0.44</v>
      </c>
      <c r="AN72">
        <v>294</v>
      </c>
      <c r="AO72">
        <v>297.95</v>
      </c>
      <c r="AP72">
        <v>401309.5</v>
      </c>
      <c r="AQ72">
        <v>130154.35</v>
      </c>
      <c r="AR72" t="s">
        <v>983</v>
      </c>
      <c r="AT72" s="6">
        <f t="shared" si="7"/>
        <v>15.476892123287673</v>
      </c>
    </row>
    <row r="73" spans="1:46" x14ac:dyDescent="0.55000000000000004">
      <c r="A73">
        <v>15.96</v>
      </c>
      <c r="B73">
        <v>27.61</v>
      </c>
      <c r="C73">
        <v>5510.67</v>
      </c>
      <c r="D73">
        <v>7.57</v>
      </c>
      <c r="E73" t="s">
        <v>112</v>
      </c>
      <c r="F73" t="s">
        <v>357</v>
      </c>
      <c r="G73" t="s">
        <v>586</v>
      </c>
      <c r="H73" t="s">
        <v>748</v>
      </c>
      <c r="I73">
        <v>0</v>
      </c>
      <c r="J73">
        <v>775.31</v>
      </c>
      <c r="K73">
        <f t="shared" si="4"/>
        <v>66.16</v>
      </c>
      <c r="L73">
        <f t="shared" si="5"/>
        <v>69.25</v>
      </c>
      <c r="M73">
        <f t="shared" si="6"/>
        <v>-3.0900000000000034</v>
      </c>
      <c r="N73">
        <v>7.26</v>
      </c>
      <c r="O73">
        <v>84.25</v>
      </c>
      <c r="P73">
        <v>88</v>
      </c>
      <c r="Q73">
        <v>11</v>
      </c>
      <c r="R73">
        <v>11.66</v>
      </c>
      <c r="S73">
        <v>9.6999999999999993</v>
      </c>
      <c r="T73">
        <v>6.26</v>
      </c>
      <c r="U73">
        <v>7.11</v>
      </c>
      <c r="V73">
        <v>3526.83</v>
      </c>
      <c r="W73">
        <v>1049.9100000000001</v>
      </c>
      <c r="X73">
        <v>1253.4100000000001</v>
      </c>
      <c r="Y73">
        <v>751.45</v>
      </c>
      <c r="Z73">
        <v>5.73</v>
      </c>
      <c r="AA73">
        <v>1.47</v>
      </c>
      <c r="AB73">
        <v>4.63</v>
      </c>
      <c r="AC73">
        <v>65.069999999999993</v>
      </c>
      <c r="AD73">
        <v>490</v>
      </c>
      <c r="AE73">
        <v>4700</v>
      </c>
      <c r="AF73">
        <v>83.82</v>
      </c>
      <c r="AG73">
        <v>0.47</v>
      </c>
      <c r="AH73">
        <v>13.72</v>
      </c>
      <c r="AI73">
        <v>29.42</v>
      </c>
      <c r="AJ73">
        <v>60</v>
      </c>
      <c r="AK73">
        <v>9</v>
      </c>
      <c r="AL73">
        <v>9</v>
      </c>
      <c r="AM73">
        <v>0.77</v>
      </c>
      <c r="AN73">
        <v>294</v>
      </c>
      <c r="AO73">
        <v>300.93</v>
      </c>
      <c r="AP73">
        <v>429016.27</v>
      </c>
      <c r="AQ73">
        <v>184134.86</v>
      </c>
      <c r="AR73" t="s">
        <v>984</v>
      </c>
      <c r="AT73" s="6">
        <f t="shared" si="7"/>
        <v>13.977249429223747</v>
      </c>
    </row>
    <row r="74" spans="1:46" x14ac:dyDescent="0.55000000000000004">
      <c r="A74">
        <v>16.78</v>
      </c>
      <c r="B74">
        <v>28.32</v>
      </c>
      <c r="C74">
        <v>5506.73</v>
      </c>
      <c r="D74">
        <v>7.59</v>
      </c>
      <c r="E74" t="s">
        <v>113</v>
      </c>
      <c r="F74" t="s">
        <v>358</v>
      </c>
      <c r="G74" t="s">
        <v>581</v>
      </c>
      <c r="H74" t="s">
        <v>749</v>
      </c>
      <c r="I74">
        <v>0</v>
      </c>
      <c r="J74">
        <v>761.33</v>
      </c>
      <c r="K74">
        <f t="shared" si="4"/>
        <v>65.88</v>
      </c>
      <c r="L74">
        <f t="shared" si="5"/>
        <v>72.23</v>
      </c>
      <c r="M74">
        <f t="shared" si="6"/>
        <v>-6.3500000000000085</v>
      </c>
      <c r="N74">
        <v>7.26</v>
      </c>
      <c r="O74">
        <v>86.23</v>
      </c>
      <c r="P74">
        <v>85</v>
      </c>
      <c r="Q74">
        <v>12.7</v>
      </c>
      <c r="R74">
        <v>11.54</v>
      </c>
      <c r="S74">
        <v>11.05</v>
      </c>
      <c r="T74">
        <v>5.74</v>
      </c>
      <c r="U74">
        <v>7.23</v>
      </c>
      <c r="V74">
        <v>3524.31</v>
      </c>
      <c r="W74">
        <v>1050.73</v>
      </c>
      <c r="X74">
        <v>1266.08</v>
      </c>
      <c r="Y74">
        <v>754.81</v>
      </c>
      <c r="Z74">
        <v>5.47</v>
      </c>
      <c r="AA74">
        <v>1.51</v>
      </c>
      <c r="AB74">
        <v>4.57</v>
      </c>
      <c r="AC74">
        <v>66.790000000000006</v>
      </c>
      <c r="AD74">
        <v>490</v>
      </c>
      <c r="AE74">
        <v>4700</v>
      </c>
      <c r="AF74">
        <v>82.96</v>
      </c>
      <c r="AG74">
        <v>0.47</v>
      </c>
      <c r="AH74">
        <v>13.31</v>
      </c>
      <c r="AI74">
        <v>28.21</v>
      </c>
      <c r="AJ74">
        <v>60</v>
      </c>
      <c r="AK74">
        <v>9</v>
      </c>
      <c r="AL74">
        <v>9</v>
      </c>
      <c r="AM74">
        <v>0.8</v>
      </c>
      <c r="AN74">
        <v>294</v>
      </c>
      <c r="AO74">
        <v>301.22000000000003</v>
      </c>
      <c r="AP74">
        <v>399919.2</v>
      </c>
      <c r="AQ74">
        <v>190040.74</v>
      </c>
      <c r="AR74" t="s">
        <v>985</v>
      </c>
      <c r="AT74" s="6">
        <f t="shared" si="7"/>
        <v>11.979364155251142</v>
      </c>
    </row>
    <row r="75" spans="1:46" x14ac:dyDescent="0.55000000000000004">
      <c r="A75">
        <v>16.79</v>
      </c>
      <c r="B75">
        <v>28.15</v>
      </c>
      <c r="C75">
        <v>5531.31</v>
      </c>
      <c r="D75">
        <v>7.59</v>
      </c>
      <c r="E75" t="s">
        <v>114</v>
      </c>
      <c r="F75" t="s">
        <v>359</v>
      </c>
      <c r="G75" t="s">
        <v>587</v>
      </c>
      <c r="H75" t="s">
        <v>750</v>
      </c>
      <c r="I75">
        <v>0</v>
      </c>
      <c r="J75">
        <v>628.74</v>
      </c>
      <c r="K75">
        <f t="shared" si="4"/>
        <v>55.63</v>
      </c>
      <c r="L75">
        <f t="shared" si="5"/>
        <v>59.82</v>
      </c>
      <c r="M75">
        <f t="shared" si="6"/>
        <v>-4.1899999999999977</v>
      </c>
      <c r="N75">
        <v>7.16</v>
      </c>
      <c r="O75">
        <v>85.65</v>
      </c>
      <c r="P75">
        <v>84</v>
      </c>
      <c r="Q75">
        <v>13</v>
      </c>
      <c r="R75">
        <v>11.36</v>
      </c>
      <c r="S75">
        <v>11.23</v>
      </c>
      <c r="T75">
        <v>5.55</v>
      </c>
      <c r="U75">
        <v>8.8000000000000007</v>
      </c>
      <c r="V75">
        <v>3540.04</v>
      </c>
      <c r="W75">
        <v>1061.6099999999999</v>
      </c>
      <c r="X75">
        <v>1341.86</v>
      </c>
      <c r="Y75">
        <v>775.31</v>
      </c>
      <c r="Z75">
        <v>6.04</v>
      </c>
      <c r="AA75">
        <v>1.55</v>
      </c>
      <c r="AB75">
        <v>4.5</v>
      </c>
      <c r="AC75">
        <v>67.17</v>
      </c>
      <c r="AD75">
        <v>490</v>
      </c>
      <c r="AE75">
        <v>4700</v>
      </c>
      <c r="AF75">
        <v>81.7</v>
      </c>
      <c r="AG75">
        <v>0.47</v>
      </c>
      <c r="AH75">
        <v>10.48</v>
      </c>
      <c r="AI75">
        <v>36.9</v>
      </c>
      <c r="AJ75">
        <v>60</v>
      </c>
      <c r="AK75">
        <v>9</v>
      </c>
      <c r="AL75">
        <v>9</v>
      </c>
      <c r="AM75">
        <v>0.61</v>
      </c>
      <c r="AN75">
        <v>294</v>
      </c>
      <c r="AO75">
        <v>299.52</v>
      </c>
      <c r="AP75">
        <v>384192.69</v>
      </c>
      <c r="AQ75">
        <v>178030.48</v>
      </c>
      <c r="AR75" t="s">
        <v>986</v>
      </c>
      <c r="AT75" s="6">
        <f t="shared" si="7"/>
        <v>11.767249429223744</v>
      </c>
    </row>
    <row r="76" spans="1:46" x14ac:dyDescent="0.55000000000000004">
      <c r="A76">
        <v>16.34</v>
      </c>
      <c r="B76">
        <v>27.97</v>
      </c>
      <c r="C76">
        <v>5514.27</v>
      </c>
      <c r="D76">
        <v>7.59</v>
      </c>
      <c r="E76" t="s">
        <v>115</v>
      </c>
      <c r="F76" t="s">
        <v>360</v>
      </c>
      <c r="G76" t="s">
        <v>588</v>
      </c>
      <c r="H76" t="s">
        <v>751</v>
      </c>
      <c r="I76">
        <v>0</v>
      </c>
      <c r="J76">
        <v>322.8</v>
      </c>
      <c r="K76">
        <f t="shared" si="4"/>
        <v>42.3</v>
      </c>
      <c r="L76">
        <f t="shared" si="5"/>
        <v>41.86</v>
      </c>
      <c r="M76">
        <f t="shared" si="6"/>
        <v>0.43999999999999773</v>
      </c>
      <c r="N76">
        <v>6.97</v>
      </c>
      <c r="O76">
        <v>85.97</v>
      </c>
      <c r="P76">
        <v>87</v>
      </c>
      <c r="Q76">
        <v>12</v>
      </c>
      <c r="R76">
        <v>11.63</v>
      </c>
      <c r="S76">
        <v>10.58</v>
      </c>
      <c r="T76">
        <v>5.77</v>
      </c>
      <c r="U76">
        <v>17.079999999999998</v>
      </c>
      <c r="V76">
        <v>3529.13</v>
      </c>
      <c r="W76">
        <v>1099.29</v>
      </c>
      <c r="X76">
        <v>1771.6</v>
      </c>
      <c r="Y76">
        <v>882.97</v>
      </c>
      <c r="Z76">
        <v>7.07</v>
      </c>
      <c r="AA76">
        <v>1.67</v>
      </c>
      <c r="AB76">
        <v>4.25</v>
      </c>
      <c r="AC76">
        <v>66.849999999999994</v>
      </c>
      <c r="AD76">
        <v>490</v>
      </c>
      <c r="AE76">
        <v>4700</v>
      </c>
      <c r="AF76">
        <v>83.6</v>
      </c>
      <c r="AG76">
        <v>0.47</v>
      </c>
      <c r="AH76">
        <v>5.2</v>
      </c>
      <c r="AI76">
        <v>56.78</v>
      </c>
      <c r="AJ76">
        <v>60</v>
      </c>
      <c r="AK76">
        <v>9</v>
      </c>
      <c r="AL76">
        <v>9</v>
      </c>
      <c r="AM76">
        <v>0.4</v>
      </c>
      <c r="AN76">
        <v>294</v>
      </c>
      <c r="AO76">
        <v>297.58999999999997</v>
      </c>
      <c r="AP76">
        <v>387260.62</v>
      </c>
      <c r="AQ76">
        <v>103215.17</v>
      </c>
      <c r="AR76" t="s">
        <v>987</v>
      </c>
      <c r="AT76" s="6">
        <f t="shared" si="7"/>
        <v>16.21263984018265</v>
      </c>
    </row>
    <row r="77" spans="1:46" x14ac:dyDescent="0.55000000000000004">
      <c r="A77">
        <v>15.06</v>
      </c>
      <c r="B77">
        <v>27.21</v>
      </c>
      <c r="C77">
        <v>5477.51</v>
      </c>
      <c r="D77">
        <v>7.59</v>
      </c>
      <c r="E77" t="s">
        <v>116</v>
      </c>
      <c r="F77" t="s">
        <v>361</v>
      </c>
      <c r="G77" t="s">
        <v>589</v>
      </c>
      <c r="H77" t="s">
        <v>752</v>
      </c>
      <c r="I77">
        <v>0</v>
      </c>
      <c r="J77">
        <v>333.42</v>
      </c>
      <c r="K77">
        <f t="shared" si="4"/>
        <v>43.120000000000005</v>
      </c>
      <c r="L77">
        <f t="shared" si="5"/>
        <v>42.66</v>
      </c>
      <c r="M77">
        <f t="shared" si="6"/>
        <v>0.46000000000000796</v>
      </c>
      <c r="N77">
        <v>6.99</v>
      </c>
      <c r="O77">
        <v>85.18</v>
      </c>
      <c r="P77">
        <v>89</v>
      </c>
      <c r="Q77">
        <v>10.5</v>
      </c>
      <c r="R77">
        <v>12.16</v>
      </c>
      <c r="S77">
        <v>9.31</v>
      </c>
      <c r="T77">
        <v>5.74</v>
      </c>
      <c r="U77">
        <v>16.43</v>
      </c>
      <c r="V77">
        <v>3505.61</v>
      </c>
      <c r="W77">
        <v>1092</v>
      </c>
      <c r="X77">
        <v>1751.19</v>
      </c>
      <c r="Y77">
        <v>876.22</v>
      </c>
      <c r="Z77">
        <v>7.08</v>
      </c>
      <c r="AA77">
        <v>1.64</v>
      </c>
      <c r="AB77">
        <v>4.3099999999999996</v>
      </c>
      <c r="AC77">
        <v>67.91</v>
      </c>
      <c r="AD77">
        <v>490</v>
      </c>
      <c r="AE77">
        <v>4700</v>
      </c>
      <c r="AF77">
        <v>87.42</v>
      </c>
      <c r="AG77">
        <v>0.47</v>
      </c>
      <c r="AH77">
        <v>5.67</v>
      </c>
      <c r="AI77">
        <v>55.72</v>
      </c>
      <c r="AJ77">
        <v>60</v>
      </c>
      <c r="AK77">
        <v>9</v>
      </c>
      <c r="AL77">
        <v>9</v>
      </c>
      <c r="AM77">
        <v>0.41</v>
      </c>
      <c r="AN77">
        <v>294</v>
      </c>
      <c r="AO77">
        <v>297.66000000000003</v>
      </c>
      <c r="AP77">
        <v>388921.79</v>
      </c>
      <c r="AQ77">
        <v>102082.25</v>
      </c>
      <c r="AR77" t="s">
        <v>988</v>
      </c>
      <c r="AT77" s="6">
        <f t="shared" si="7"/>
        <v>16.372119863013697</v>
      </c>
    </row>
    <row r="78" spans="1:46" x14ac:dyDescent="0.55000000000000004">
      <c r="A78">
        <v>15.05</v>
      </c>
      <c r="B78">
        <v>27.08</v>
      </c>
      <c r="C78">
        <v>5481.09</v>
      </c>
      <c r="D78">
        <v>7.61</v>
      </c>
      <c r="E78" t="s">
        <v>117</v>
      </c>
      <c r="F78" t="s">
        <v>362</v>
      </c>
      <c r="G78" t="s">
        <v>590</v>
      </c>
      <c r="H78" t="s">
        <v>753</v>
      </c>
      <c r="I78">
        <v>0</v>
      </c>
      <c r="J78">
        <v>209.24</v>
      </c>
      <c r="K78">
        <f t="shared" si="4"/>
        <v>37.96</v>
      </c>
      <c r="L78">
        <f t="shared" si="5"/>
        <v>37.06</v>
      </c>
      <c r="M78">
        <f t="shared" si="6"/>
        <v>0.89999999999999858</v>
      </c>
      <c r="N78">
        <v>6.87</v>
      </c>
      <c r="O78">
        <v>84.66</v>
      </c>
      <c r="P78">
        <v>88</v>
      </c>
      <c r="Q78">
        <v>10.4</v>
      </c>
      <c r="R78">
        <v>12.03</v>
      </c>
      <c r="S78">
        <v>9.11</v>
      </c>
      <c r="T78">
        <v>5.94</v>
      </c>
      <c r="U78">
        <v>26.2</v>
      </c>
      <c r="V78">
        <v>3507.9</v>
      </c>
      <c r="W78">
        <v>1130.3399999999999</v>
      </c>
      <c r="X78">
        <v>2185.65</v>
      </c>
      <c r="Y78">
        <v>981.63</v>
      </c>
      <c r="Z78">
        <v>7.68</v>
      </c>
      <c r="AA78">
        <v>1.76</v>
      </c>
      <c r="AB78">
        <v>4.08</v>
      </c>
      <c r="AC78">
        <v>66.97</v>
      </c>
      <c r="AD78">
        <v>490</v>
      </c>
      <c r="AE78">
        <v>4700</v>
      </c>
      <c r="AF78">
        <v>86.52</v>
      </c>
      <c r="AG78">
        <v>0.47</v>
      </c>
      <c r="AH78">
        <v>3.43</v>
      </c>
      <c r="AI78">
        <v>68.72</v>
      </c>
      <c r="AJ78">
        <v>60</v>
      </c>
      <c r="AK78">
        <v>9</v>
      </c>
      <c r="AL78">
        <v>9</v>
      </c>
      <c r="AM78">
        <v>0.33</v>
      </c>
      <c r="AN78">
        <v>294</v>
      </c>
      <c r="AO78">
        <v>296.95999999999998</v>
      </c>
      <c r="AP78">
        <v>376641.2</v>
      </c>
      <c r="AQ78">
        <v>101713.02</v>
      </c>
      <c r="AR78" t="s">
        <v>989</v>
      </c>
      <c r="AT78" s="6">
        <f t="shared" si="7"/>
        <v>15.692247716894977</v>
      </c>
    </row>
    <row r="79" spans="1:46" x14ac:dyDescent="0.55000000000000004">
      <c r="A79">
        <v>16.11</v>
      </c>
      <c r="B79">
        <v>27.66</v>
      </c>
      <c r="C79">
        <v>5486.08</v>
      </c>
      <c r="D79">
        <v>7.61</v>
      </c>
      <c r="E79" t="s">
        <v>118</v>
      </c>
      <c r="F79" t="s">
        <v>363</v>
      </c>
      <c r="G79" t="s">
        <v>591</v>
      </c>
      <c r="H79" t="s">
        <v>754</v>
      </c>
      <c r="I79">
        <v>0</v>
      </c>
      <c r="J79">
        <v>576.69000000000005</v>
      </c>
      <c r="K79">
        <f t="shared" si="4"/>
        <v>53.07</v>
      </c>
      <c r="L79">
        <f t="shared" si="5"/>
        <v>53.040000000000006</v>
      </c>
      <c r="M79">
        <f t="shared" si="6"/>
        <v>2.9999999999994031E-2</v>
      </c>
      <c r="N79">
        <v>7.14</v>
      </c>
      <c r="O79">
        <v>85.49</v>
      </c>
      <c r="P79">
        <v>88</v>
      </c>
      <c r="Q79">
        <v>10.8</v>
      </c>
      <c r="R79">
        <v>11.54</v>
      </c>
      <c r="S79">
        <v>9.5</v>
      </c>
      <c r="T79">
        <v>6.61</v>
      </c>
      <c r="U79">
        <v>9.51</v>
      </c>
      <c r="V79">
        <v>3511.09</v>
      </c>
      <c r="W79">
        <v>1057.4100000000001</v>
      </c>
      <c r="X79">
        <v>1376.32</v>
      </c>
      <c r="Y79">
        <v>780.78</v>
      </c>
      <c r="Z79">
        <v>6.5</v>
      </c>
      <c r="AA79">
        <v>1.56</v>
      </c>
      <c r="AB79">
        <v>4.49</v>
      </c>
      <c r="AC79">
        <v>63.6</v>
      </c>
      <c r="AD79">
        <v>490</v>
      </c>
      <c r="AE79">
        <v>4700</v>
      </c>
      <c r="AF79">
        <v>83.02</v>
      </c>
      <c r="AG79">
        <v>0.47</v>
      </c>
      <c r="AH79">
        <v>9.75</v>
      </c>
      <c r="AI79">
        <v>41.62</v>
      </c>
      <c r="AJ79">
        <v>60</v>
      </c>
      <c r="AK79">
        <v>9</v>
      </c>
      <c r="AL79">
        <v>9</v>
      </c>
      <c r="AM79">
        <v>0.54</v>
      </c>
      <c r="AN79">
        <v>294</v>
      </c>
      <c r="AO79">
        <v>298.89999999999998</v>
      </c>
      <c r="AP79">
        <v>414183.29</v>
      </c>
      <c r="AQ79">
        <v>139869.45000000001</v>
      </c>
      <c r="AR79" t="s">
        <v>990</v>
      </c>
      <c r="AT79" s="6">
        <f t="shared" si="7"/>
        <v>15.657182648401825</v>
      </c>
    </row>
    <row r="80" spans="1:46" x14ac:dyDescent="0.55000000000000004">
      <c r="A80">
        <v>16.75</v>
      </c>
      <c r="B80">
        <v>27.69</v>
      </c>
      <c r="C80">
        <v>5523.75</v>
      </c>
      <c r="D80">
        <v>7.6</v>
      </c>
      <c r="E80" t="s">
        <v>119</v>
      </c>
      <c r="F80" t="s">
        <v>364</v>
      </c>
      <c r="G80" t="s">
        <v>592</v>
      </c>
      <c r="H80" t="s">
        <v>755</v>
      </c>
      <c r="I80">
        <v>0</v>
      </c>
      <c r="J80">
        <v>526.03</v>
      </c>
      <c r="K80">
        <f t="shared" si="4"/>
        <v>47.53</v>
      </c>
      <c r="L80">
        <f t="shared" si="5"/>
        <v>51.620000000000005</v>
      </c>
      <c r="M80">
        <f t="shared" si="6"/>
        <v>-4.0900000000000034</v>
      </c>
      <c r="N80">
        <v>7.05</v>
      </c>
      <c r="O80">
        <v>86.03</v>
      </c>
      <c r="P80">
        <v>83</v>
      </c>
      <c r="Q80">
        <v>13.1</v>
      </c>
      <c r="R80">
        <v>10.94</v>
      </c>
      <c r="S80">
        <v>11.22</v>
      </c>
      <c r="T80">
        <v>5.52</v>
      </c>
      <c r="U80">
        <v>10.5</v>
      </c>
      <c r="V80">
        <v>3535.2</v>
      </c>
      <c r="W80">
        <v>1061.73</v>
      </c>
      <c r="X80">
        <v>1379.56</v>
      </c>
      <c r="Y80">
        <v>780.93</v>
      </c>
      <c r="Z80">
        <v>5.98</v>
      </c>
      <c r="AA80">
        <v>1.56</v>
      </c>
      <c r="AB80">
        <v>4.4800000000000004</v>
      </c>
      <c r="AC80">
        <v>66.45</v>
      </c>
      <c r="AD80">
        <v>490</v>
      </c>
      <c r="AE80">
        <v>4700</v>
      </c>
      <c r="AF80">
        <v>78.69</v>
      </c>
      <c r="AG80">
        <v>0.47</v>
      </c>
      <c r="AH80">
        <v>8.2799999999999994</v>
      </c>
      <c r="AI80">
        <v>42.76</v>
      </c>
      <c r="AJ80">
        <v>60</v>
      </c>
      <c r="AK80">
        <v>9</v>
      </c>
      <c r="AL80">
        <v>9</v>
      </c>
      <c r="AM80">
        <v>0.53</v>
      </c>
      <c r="AN80">
        <v>294</v>
      </c>
      <c r="AO80">
        <v>298.76</v>
      </c>
      <c r="AP80">
        <v>365108.47999999998</v>
      </c>
      <c r="AQ80">
        <v>160162.45000000001</v>
      </c>
      <c r="AR80" t="s">
        <v>991</v>
      </c>
      <c r="AT80" s="6">
        <f t="shared" si="7"/>
        <v>11.697832762557075</v>
      </c>
    </row>
    <row r="81" spans="1:46" x14ac:dyDescent="0.55000000000000004">
      <c r="A81">
        <v>16.29</v>
      </c>
      <c r="B81">
        <v>27.93</v>
      </c>
      <c r="C81">
        <v>5515.93</v>
      </c>
      <c r="D81">
        <v>7.59</v>
      </c>
      <c r="E81" t="s">
        <v>120</v>
      </c>
      <c r="F81" t="s">
        <v>365</v>
      </c>
      <c r="G81" t="s">
        <v>593</v>
      </c>
      <c r="H81" t="s">
        <v>756</v>
      </c>
      <c r="I81">
        <v>0</v>
      </c>
      <c r="J81">
        <v>436.9</v>
      </c>
      <c r="K81">
        <f t="shared" si="4"/>
        <v>46.29</v>
      </c>
      <c r="L81">
        <f t="shared" si="5"/>
        <v>45.83</v>
      </c>
      <c r="M81">
        <f t="shared" si="6"/>
        <v>0.46000000000000085</v>
      </c>
      <c r="N81">
        <v>7.04</v>
      </c>
      <c r="O81">
        <v>85.69</v>
      </c>
      <c r="P81">
        <v>86</v>
      </c>
      <c r="Q81">
        <v>12</v>
      </c>
      <c r="R81">
        <v>11.64</v>
      </c>
      <c r="S81">
        <v>10.47</v>
      </c>
      <c r="T81">
        <v>5.82</v>
      </c>
      <c r="U81">
        <v>12.63</v>
      </c>
      <c r="V81">
        <v>3530.2</v>
      </c>
      <c r="W81">
        <v>1077.31</v>
      </c>
      <c r="X81">
        <v>1536.78</v>
      </c>
      <c r="Y81">
        <v>823.38</v>
      </c>
      <c r="Z81">
        <v>7.07</v>
      </c>
      <c r="AA81">
        <v>1.6</v>
      </c>
      <c r="AB81">
        <v>4.3899999999999997</v>
      </c>
      <c r="AC81">
        <v>66.67</v>
      </c>
      <c r="AD81">
        <v>490</v>
      </c>
      <c r="AE81">
        <v>4700</v>
      </c>
      <c r="AF81">
        <v>83.7</v>
      </c>
      <c r="AG81">
        <v>0.47</v>
      </c>
      <c r="AH81">
        <v>7.2</v>
      </c>
      <c r="AI81">
        <v>51.87</v>
      </c>
      <c r="AJ81">
        <v>60</v>
      </c>
      <c r="AK81">
        <v>9</v>
      </c>
      <c r="AL81">
        <v>9</v>
      </c>
      <c r="AM81">
        <v>0.44</v>
      </c>
      <c r="AN81">
        <v>294</v>
      </c>
      <c r="AO81">
        <v>297.93</v>
      </c>
      <c r="AP81">
        <v>396068.76</v>
      </c>
      <c r="AQ81">
        <v>128573.72</v>
      </c>
      <c r="AR81" t="s">
        <v>992</v>
      </c>
      <c r="AT81" s="6">
        <f t="shared" si="7"/>
        <v>15.26798173515982</v>
      </c>
    </row>
    <row r="82" spans="1:46" x14ac:dyDescent="0.55000000000000004">
      <c r="A82">
        <v>17.309999999999999</v>
      </c>
      <c r="B82">
        <v>28.72</v>
      </c>
      <c r="C82">
        <v>5426.46</v>
      </c>
      <c r="D82">
        <v>7.57</v>
      </c>
      <c r="E82" t="s">
        <v>121</v>
      </c>
      <c r="F82" t="s">
        <v>366</v>
      </c>
      <c r="G82" t="s">
        <v>594</v>
      </c>
      <c r="H82" t="s">
        <v>757</v>
      </c>
      <c r="I82">
        <v>0</v>
      </c>
      <c r="J82">
        <v>750.7</v>
      </c>
      <c r="K82">
        <f t="shared" si="4"/>
        <v>64.13</v>
      </c>
      <c r="L82">
        <f t="shared" si="5"/>
        <v>74.569999999999993</v>
      </c>
      <c r="M82">
        <f t="shared" si="6"/>
        <v>-10.439999999999998</v>
      </c>
      <c r="N82">
        <v>7.25</v>
      </c>
      <c r="O82">
        <v>84.27</v>
      </c>
      <c r="P82">
        <v>61</v>
      </c>
      <c r="Q82">
        <v>17</v>
      </c>
      <c r="R82">
        <v>11.41</v>
      </c>
      <c r="S82">
        <v>12.43</v>
      </c>
      <c r="T82">
        <v>4.87</v>
      </c>
      <c r="U82">
        <v>7.23</v>
      </c>
      <c r="V82">
        <v>3472.93</v>
      </c>
      <c r="W82">
        <v>1035.1500000000001</v>
      </c>
      <c r="X82">
        <v>1247.3499999999999</v>
      </c>
      <c r="Y82">
        <v>743.37</v>
      </c>
      <c r="Z82">
        <v>5.16</v>
      </c>
      <c r="AA82">
        <v>1.49</v>
      </c>
      <c r="AB82">
        <v>4.59</v>
      </c>
      <c r="AC82">
        <v>70.06</v>
      </c>
      <c r="AD82">
        <v>490</v>
      </c>
      <c r="AE82">
        <v>4700</v>
      </c>
      <c r="AF82">
        <v>82.05</v>
      </c>
      <c r="AG82">
        <v>0.47</v>
      </c>
      <c r="AH82">
        <v>13.17</v>
      </c>
      <c r="AI82">
        <v>27.32</v>
      </c>
      <c r="AJ82">
        <v>60</v>
      </c>
      <c r="AK82">
        <v>9</v>
      </c>
      <c r="AL82">
        <v>9</v>
      </c>
      <c r="AM82">
        <v>0.83</v>
      </c>
      <c r="AN82">
        <v>294</v>
      </c>
      <c r="AO82">
        <v>301.45999999999998</v>
      </c>
      <c r="AP82">
        <v>360566.3</v>
      </c>
      <c r="AQ82">
        <v>206043.59</v>
      </c>
      <c r="AR82" t="s">
        <v>993</v>
      </c>
      <c r="AT82" s="6">
        <f t="shared" si="7"/>
        <v>8.819789383561643</v>
      </c>
    </row>
    <row r="83" spans="1:46" x14ac:dyDescent="0.55000000000000004">
      <c r="A83">
        <v>16.57</v>
      </c>
      <c r="B83">
        <v>28.08</v>
      </c>
      <c r="C83">
        <v>5455.01</v>
      </c>
      <c r="D83">
        <v>7.61</v>
      </c>
      <c r="E83" t="s">
        <v>122</v>
      </c>
      <c r="F83" t="s">
        <v>367</v>
      </c>
      <c r="G83" t="s">
        <v>595</v>
      </c>
      <c r="H83" t="s">
        <v>758</v>
      </c>
      <c r="I83">
        <v>0</v>
      </c>
      <c r="J83">
        <v>205.03</v>
      </c>
      <c r="K83">
        <f t="shared" si="4"/>
        <v>38.32</v>
      </c>
      <c r="L83">
        <f t="shared" si="5"/>
        <v>42.38</v>
      </c>
      <c r="M83">
        <f t="shared" si="6"/>
        <v>-4.0600000000000023</v>
      </c>
      <c r="N83">
        <v>6.88</v>
      </c>
      <c r="O83">
        <v>84.98</v>
      </c>
      <c r="P83">
        <v>68</v>
      </c>
      <c r="Q83">
        <v>15.1</v>
      </c>
      <c r="R83">
        <v>11.51</v>
      </c>
      <c r="S83">
        <v>11.49</v>
      </c>
      <c r="T83">
        <v>5.08</v>
      </c>
      <c r="U83">
        <v>26.61</v>
      </c>
      <c r="V83">
        <v>3491.21</v>
      </c>
      <c r="W83">
        <v>1131.95</v>
      </c>
      <c r="X83">
        <v>2234.85</v>
      </c>
      <c r="Y83">
        <v>994.19</v>
      </c>
      <c r="Z83">
        <v>6.33</v>
      </c>
      <c r="AA83">
        <v>1.8</v>
      </c>
      <c r="AB83">
        <v>4</v>
      </c>
      <c r="AC83">
        <v>69.39</v>
      </c>
      <c r="AD83">
        <v>490</v>
      </c>
      <c r="AE83">
        <v>4700</v>
      </c>
      <c r="AF83">
        <v>82.74</v>
      </c>
      <c r="AG83">
        <v>0.47</v>
      </c>
      <c r="AH83">
        <v>3.23</v>
      </c>
      <c r="AI83">
        <v>56.09</v>
      </c>
      <c r="AJ83">
        <v>60</v>
      </c>
      <c r="AK83">
        <v>9</v>
      </c>
      <c r="AL83">
        <v>9</v>
      </c>
      <c r="AM83">
        <v>0.4</v>
      </c>
      <c r="AN83">
        <v>294</v>
      </c>
      <c r="AO83">
        <v>297.63</v>
      </c>
      <c r="AP83">
        <v>338368.25</v>
      </c>
      <c r="AQ83">
        <v>108584.86</v>
      </c>
      <c r="AR83" t="s">
        <v>994</v>
      </c>
      <c r="AT83" s="6">
        <f t="shared" si="7"/>
        <v>13.115490296803653</v>
      </c>
    </row>
    <row r="84" spans="1:46" x14ac:dyDescent="0.55000000000000004">
      <c r="A84">
        <v>17.57</v>
      </c>
      <c r="B84">
        <v>29.1</v>
      </c>
      <c r="C84">
        <v>5373.34</v>
      </c>
      <c r="D84">
        <v>7.61</v>
      </c>
      <c r="E84" t="s">
        <v>123</v>
      </c>
      <c r="F84" t="s">
        <v>368</v>
      </c>
      <c r="G84" t="s">
        <v>596</v>
      </c>
      <c r="H84" t="s">
        <v>759</v>
      </c>
      <c r="I84">
        <v>0</v>
      </c>
      <c r="J84">
        <v>714.9</v>
      </c>
      <c r="K84">
        <f t="shared" si="4"/>
        <v>61.169999999999995</v>
      </c>
      <c r="L84">
        <f t="shared" si="5"/>
        <v>71</v>
      </c>
      <c r="M84">
        <f t="shared" si="6"/>
        <v>-9.8300000000000054</v>
      </c>
      <c r="N84">
        <v>7.22</v>
      </c>
      <c r="O84">
        <v>85.3</v>
      </c>
      <c r="P84">
        <v>57</v>
      </c>
      <c r="Q84">
        <v>18.2</v>
      </c>
      <c r="R84">
        <v>11.53</v>
      </c>
      <c r="S84">
        <v>13.02</v>
      </c>
      <c r="T84">
        <v>4.55</v>
      </c>
      <c r="U84">
        <v>7.52</v>
      </c>
      <c r="V84">
        <v>3438.94</v>
      </c>
      <c r="W84">
        <v>1026.04</v>
      </c>
      <c r="X84">
        <v>1248.5</v>
      </c>
      <c r="Y84">
        <v>739.12</v>
      </c>
      <c r="Z84">
        <v>5.17</v>
      </c>
      <c r="AA84">
        <v>1.54</v>
      </c>
      <c r="AB84">
        <v>4.54</v>
      </c>
      <c r="AC84">
        <v>71.73</v>
      </c>
      <c r="AD84">
        <v>490</v>
      </c>
      <c r="AE84">
        <v>4700</v>
      </c>
      <c r="AF84">
        <v>82.95</v>
      </c>
      <c r="AG84">
        <v>0.47</v>
      </c>
      <c r="AH84">
        <v>12.73</v>
      </c>
      <c r="AI84">
        <v>28.7</v>
      </c>
      <c r="AJ84">
        <v>60</v>
      </c>
      <c r="AK84">
        <v>9</v>
      </c>
      <c r="AL84">
        <v>9</v>
      </c>
      <c r="AM84">
        <v>0.79</v>
      </c>
      <c r="AN84">
        <v>294</v>
      </c>
      <c r="AO84">
        <v>301.10000000000002</v>
      </c>
      <c r="AP84">
        <v>359500.52</v>
      </c>
      <c r="AQ84">
        <v>193693.7</v>
      </c>
      <c r="AR84" t="s">
        <v>995</v>
      </c>
      <c r="AT84" s="6">
        <f t="shared" si="7"/>
        <v>9.4638595890410961</v>
      </c>
    </row>
    <row r="85" spans="1:46" x14ac:dyDescent="0.55000000000000004">
      <c r="A85">
        <v>17.989999999999998</v>
      </c>
      <c r="B85">
        <v>29.6</v>
      </c>
      <c r="C85">
        <v>5385.11</v>
      </c>
      <c r="D85">
        <v>7.6</v>
      </c>
      <c r="E85" t="s">
        <v>124</v>
      </c>
      <c r="F85" t="s">
        <v>369</v>
      </c>
      <c r="G85" t="s">
        <v>597</v>
      </c>
      <c r="H85" t="s">
        <v>760</v>
      </c>
      <c r="I85">
        <v>0</v>
      </c>
      <c r="J85">
        <v>543.76</v>
      </c>
      <c r="K85">
        <f t="shared" si="4"/>
        <v>51.94</v>
      </c>
      <c r="L85">
        <f t="shared" si="5"/>
        <v>59.019999999999996</v>
      </c>
      <c r="M85">
        <f t="shared" si="6"/>
        <v>-7.0799999999999983</v>
      </c>
      <c r="N85">
        <v>7.12</v>
      </c>
      <c r="O85">
        <v>84.7</v>
      </c>
      <c r="P85">
        <v>56</v>
      </c>
      <c r="Q85">
        <v>19.100000000000001</v>
      </c>
      <c r="R85">
        <v>11.61</v>
      </c>
      <c r="S85">
        <v>13.7</v>
      </c>
      <c r="T85">
        <v>4.29</v>
      </c>
      <c r="U85">
        <v>9.9</v>
      </c>
      <c r="V85">
        <v>3446.47</v>
      </c>
      <c r="W85">
        <v>1041.8</v>
      </c>
      <c r="X85">
        <v>1388.26</v>
      </c>
      <c r="Y85">
        <v>776.38</v>
      </c>
      <c r="Z85">
        <v>5.72</v>
      </c>
      <c r="AA85">
        <v>1.58</v>
      </c>
      <c r="AB85">
        <v>4.43</v>
      </c>
      <c r="AC85">
        <v>72.989999999999995</v>
      </c>
      <c r="AD85">
        <v>490</v>
      </c>
      <c r="AE85">
        <v>4700</v>
      </c>
      <c r="AF85">
        <v>83.46</v>
      </c>
      <c r="AG85">
        <v>0.47</v>
      </c>
      <c r="AH85">
        <v>9.3699999999999992</v>
      </c>
      <c r="AI85">
        <v>37.4</v>
      </c>
      <c r="AJ85">
        <v>60</v>
      </c>
      <c r="AK85">
        <v>9</v>
      </c>
      <c r="AL85">
        <v>9</v>
      </c>
      <c r="AM85">
        <v>0.61</v>
      </c>
      <c r="AN85">
        <v>294</v>
      </c>
      <c r="AO85">
        <v>299.45</v>
      </c>
      <c r="AP85">
        <v>350532.87</v>
      </c>
      <c r="AQ85">
        <v>164462.9</v>
      </c>
      <c r="AR85" t="s">
        <v>996</v>
      </c>
      <c r="AT85" s="6">
        <f t="shared" si="7"/>
        <v>10.620432077625571</v>
      </c>
    </row>
    <row r="86" spans="1:46" x14ac:dyDescent="0.5500000000000000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4"/>
        <v>0</v>
      </c>
      <c r="L86">
        <f t="shared" si="5"/>
        <v>0</v>
      </c>
      <c r="M86">
        <f t="shared" si="6"/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T86" s="6">
        <f t="shared" si="7"/>
        <v>0</v>
      </c>
    </row>
    <row r="87" spans="1:46" x14ac:dyDescent="0.55000000000000004">
      <c r="A87">
        <v>18.32</v>
      </c>
      <c r="B87">
        <v>29.93</v>
      </c>
      <c r="C87">
        <v>5387.93</v>
      </c>
      <c r="D87">
        <v>7.61</v>
      </c>
      <c r="E87" t="s">
        <v>125</v>
      </c>
      <c r="F87" t="s">
        <v>370</v>
      </c>
      <c r="G87" t="s">
        <v>598</v>
      </c>
      <c r="H87" t="s">
        <v>761</v>
      </c>
      <c r="I87">
        <v>0</v>
      </c>
      <c r="J87">
        <v>502.8</v>
      </c>
      <c r="K87">
        <f t="shared" si="4"/>
        <v>49.370000000000005</v>
      </c>
      <c r="L87">
        <f t="shared" si="5"/>
        <v>55.98</v>
      </c>
      <c r="M87">
        <f t="shared" si="6"/>
        <v>-6.6099999999999923</v>
      </c>
      <c r="N87">
        <v>7.08</v>
      </c>
      <c r="O87">
        <v>84.95</v>
      </c>
      <c r="P87">
        <v>56</v>
      </c>
      <c r="Q87">
        <v>19.5</v>
      </c>
      <c r="R87">
        <v>11.62</v>
      </c>
      <c r="S87">
        <v>14.05</v>
      </c>
      <c r="T87">
        <v>4.2699999999999996</v>
      </c>
      <c r="U87">
        <v>10.72</v>
      </c>
      <c r="V87">
        <v>3448.28</v>
      </c>
      <c r="W87">
        <v>1044.73</v>
      </c>
      <c r="X87">
        <v>1419.55</v>
      </c>
      <c r="Y87">
        <v>783.77</v>
      </c>
      <c r="Z87">
        <v>5.73</v>
      </c>
      <c r="AA87">
        <v>1.61</v>
      </c>
      <c r="AB87">
        <v>4.3899999999999997</v>
      </c>
      <c r="AC87">
        <v>73.150000000000006</v>
      </c>
      <c r="AD87">
        <v>490</v>
      </c>
      <c r="AE87">
        <v>4700</v>
      </c>
      <c r="AF87">
        <v>83.55</v>
      </c>
      <c r="AG87">
        <v>0.47</v>
      </c>
      <c r="AH87">
        <v>8.6</v>
      </c>
      <c r="AI87">
        <v>39.44</v>
      </c>
      <c r="AJ87">
        <v>60</v>
      </c>
      <c r="AK87">
        <v>9</v>
      </c>
      <c r="AL87">
        <v>9</v>
      </c>
      <c r="AM87">
        <v>0.56999999999999995</v>
      </c>
      <c r="AN87">
        <v>294</v>
      </c>
      <c r="AO87">
        <v>299.17</v>
      </c>
      <c r="AP87">
        <v>348799.13</v>
      </c>
      <c r="AQ87">
        <v>154947.98000000001</v>
      </c>
      <c r="AR87" t="s">
        <v>997</v>
      </c>
      <c r="AT87" s="6">
        <f t="shared" si="7"/>
        <v>11.064563356164383</v>
      </c>
    </row>
    <row r="88" spans="1:46" x14ac:dyDescent="0.55000000000000004">
      <c r="A88">
        <v>18.760000000000002</v>
      </c>
      <c r="B88">
        <v>30.06</v>
      </c>
      <c r="C88">
        <v>5417.08</v>
      </c>
      <c r="D88">
        <v>7.6</v>
      </c>
      <c r="E88" t="s">
        <v>126</v>
      </c>
      <c r="F88" t="s">
        <v>371</v>
      </c>
      <c r="G88" t="s">
        <v>599</v>
      </c>
      <c r="H88" t="s">
        <v>762</v>
      </c>
      <c r="I88">
        <v>0</v>
      </c>
      <c r="J88">
        <v>622.21</v>
      </c>
      <c r="K88">
        <f t="shared" si="4"/>
        <v>55.54</v>
      </c>
      <c r="L88">
        <f t="shared" si="5"/>
        <v>63.28</v>
      </c>
      <c r="M88">
        <f t="shared" si="6"/>
        <v>-7.740000000000002</v>
      </c>
      <c r="N88">
        <v>7.16</v>
      </c>
      <c r="O88">
        <v>84.73</v>
      </c>
      <c r="P88">
        <v>68</v>
      </c>
      <c r="Q88">
        <v>18.2</v>
      </c>
      <c r="R88">
        <v>11.29</v>
      </c>
      <c r="S88">
        <v>14.36</v>
      </c>
      <c r="T88">
        <v>4.4000000000000004</v>
      </c>
      <c r="U88">
        <v>8.7100000000000009</v>
      </c>
      <c r="V88">
        <v>3466.93</v>
      </c>
      <c r="W88">
        <v>1040.56</v>
      </c>
      <c r="X88">
        <v>1321.98</v>
      </c>
      <c r="Y88">
        <v>761.49</v>
      </c>
      <c r="Z88">
        <v>5.71</v>
      </c>
      <c r="AA88">
        <v>1.58</v>
      </c>
      <c r="AB88">
        <v>4.4400000000000004</v>
      </c>
      <c r="AC88">
        <v>71.959999999999994</v>
      </c>
      <c r="AD88">
        <v>490</v>
      </c>
      <c r="AE88">
        <v>4700</v>
      </c>
      <c r="AF88">
        <v>81.22</v>
      </c>
      <c r="AG88">
        <v>0.47</v>
      </c>
      <c r="AH88">
        <v>10.54</v>
      </c>
      <c r="AI88">
        <v>34.880000000000003</v>
      </c>
      <c r="AJ88">
        <v>60</v>
      </c>
      <c r="AK88">
        <v>9</v>
      </c>
      <c r="AL88">
        <v>9</v>
      </c>
      <c r="AM88">
        <v>0.65</v>
      </c>
      <c r="AN88">
        <v>294</v>
      </c>
      <c r="AO88">
        <v>299.83999999999997</v>
      </c>
      <c r="AP88">
        <v>353595</v>
      </c>
      <c r="AQ88">
        <v>192871.25</v>
      </c>
      <c r="AR88" t="s">
        <v>998</v>
      </c>
      <c r="AT88" s="6">
        <f t="shared" si="7"/>
        <v>9.1737300228310499</v>
      </c>
    </row>
    <row r="89" spans="1:46" x14ac:dyDescent="0.55000000000000004">
      <c r="A89">
        <v>18.18</v>
      </c>
      <c r="B89">
        <v>29.72</v>
      </c>
      <c r="C89">
        <v>5376.66</v>
      </c>
      <c r="D89">
        <v>7.6</v>
      </c>
      <c r="E89" t="s">
        <v>127</v>
      </c>
      <c r="F89" t="s">
        <v>372</v>
      </c>
      <c r="G89" t="s">
        <v>600</v>
      </c>
      <c r="H89" t="s">
        <v>763</v>
      </c>
      <c r="I89">
        <v>0</v>
      </c>
      <c r="J89">
        <v>687.4</v>
      </c>
      <c r="K89">
        <f t="shared" si="4"/>
        <v>59.9</v>
      </c>
      <c r="L89">
        <f t="shared" si="5"/>
        <v>69.47999999999999</v>
      </c>
      <c r="M89">
        <f t="shared" si="6"/>
        <v>-9.5799999999999912</v>
      </c>
      <c r="N89">
        <v>7.21</v>
      </c>
      <c r="O89">
        <v>85.21</v>
      </c>
      <c r="P89">
        <v>56</v>
      </c>
      <c r="Q89">
        <v>19.5</v>
      </c>
      <c r="R89">
        <v>11.54</v>
      </c>
      <c r="S89">
        <v>14.05</v>
      </c>
      <c r="T89">
        <v>4.13</v>
      </c>
      <c r="U89">
        <v>7.82</v>
      </c>
      <c r="V89">
        <v>3441.06</v>
      </c>
      <c r="W89">
        <v>1029.07</v>
      </c>
      <c r="X89">
        <v>1271.58</v>
      </c>
      <c r="Y89">
        <v>745.67</v>
      </c>
      <c r="Z89">
        <v>5.17</v>
      </c>
      <c r="AA89">
        <v>1.54</v>
      </c>
      <c r="AB89">
        <v>4.51</v>
      </c>
      <c r="AC89">
        <v>73.64</v>
      </c>
      <c r="AD89">
        <v>490</v>
      </c>
      <c r="AE89">
        <v>4700</v>
      </c>
      <c r="AF89">
        <v>83.01</v>
      </c>
      <c r="AG89">
        <v>0.47</v>
      </c>
      <c r="AH89">
        <v>12.17</v>
      </c>
      <c r="AI89">
        <v>29.33</v>
      </c>
      <c r="AJ89">
        <v>60</v>
      </c>
      <c r="AK89">
        <v>9</v>
      </c>
      <c r="AL89">
        <v>9</v>
      </c>
      <c r="AM89">
        <v>0.77</v>
      </c>
      <c r="AN89">
        <v>294</v>
      </c>
      <c r="AO89">
        <v>300.95</v>
      </c>
      <c r="AP89">
        <v>357724.17</v>
      </c>
      <c r="AQ89">
        <v>180548.98</v>
      </c>
      <c r="AR89" t="s">
        <v>999</v>
      </c>
      <c r="AT89" s="6">
        <f t="shared" si="7"/>
        <v>10.112739155251139</v>
      </c>
    </row>
    <row r="90" spans="1:46" x14ac:dyDescent="0.55000000000000004">
      <c r="A90">
        <v>18.670000000000002</v>
      </c>
      <c r="B90">
        <v>30.22</v>
      </c>
      <c r="C90">
        <v>5380.73</v>
      </c>
      <c r="D90">
        <v>7.59</v>
      </c>
      <c r="E90" t="s">
        <v>128</v>
      </c>
      <c r="F90" t="s">
        <v>373</v>
      </c>
      <c r="G90" t="s">
        <v>601</v>
      </c>
      <c r="H90" t="s">
        <v>764</v>
      </c>
      <c r="I90">
        <v>0</v>
      </c>
      <c r="J90">
        <v>697.41</v>
      </c>
      <c r="K90">
        <f t="shared" si="4"/>
        <v>59.97</v>
      </c>
      <c r="L90">
        <f t="shared" si="5"/>
        <v>69.56</v>
      </c>
      <c r="M90">
        <f t="shared" si="6"/>
        <v>-9.5900000000000034</v>
      </c>
      <c r="N90">
        <v>7.21</v>
      </c>
      <c r="O90">
        <v>84.85</v>
      </c>
      <c r="P90">
        <v>57</v>
      </c>
      <c r="Q90">
        <v>19.8</v>
      </c>
      <c r="R90">
        <v>11.55</v>
      </c>
      <c r="S90">
        <v>14.44</v>
      </c>
      <c r="T90">
        <v>4.22</v>
      </c>
      <c r="U90">
        <v>7.72</v>
      </c>
      <c r="V90">
        <v>3443.67</v>
      </c>
      <c r="W90">
        <v>1028.69</v>
      </c>
      <c r="X90">
        <v>1262.3</v>
      </c>
      <c r="Y90">
        <v>743.35</v>
      </c>
      <c r="Z90">
        <v>5.17</v>
      </c>
      <c r="AA90">
        <v>1.54</v>
      </c>
      <c r="AB90">
        <v>4.51</v>
      </c>
      <c r="AC90">
        <v>73.239999999999995</v>
      </c>
      <c r="AD90">
        <v>490</v>
      </c>
      <c r="AE90">
        <v>4700</v>
      </c>
      <c r="AF90">
        <v>83.08</v>
      </c>
      <c r="AG90">
        <v>0.47</v>
      </c>
      <c r="AH90">
        <v>12.37</v>
      </c>
      <c r="AI90">
        <v>29.29</v>
      </c>
      <c r="AJ90">
        <v>60</v>
      </c>
      <c r="AK90">
        <v>9</v>
      </c>
      <c r="AL90">
        <v>9</v>
      </c>
      <c r="AM90">
        <v>0.77</v>
      </c>
      <c r="AN90">
        <v>294</v>
      </c>
      <c r="AO90">
        <v>300.95999999999998</v>
      </c>
      <c r="AP90">
        <v>357228.02</v>
      </c>
      <c r="AQ90">
        <v>185289.66</v>
      </c>
      <c r="AR90" t="s">
        <v>1000</v>
      </c>
      <c r="AT90" s="6">
        <f t="shared" si="7"/>
        <v>9.813833333333335</v>
      </c>
    </row>
    <row r="91" spans="1:46" x14ac:dyDescent="0.55000000000000004">
      <c r="A91">
        <v>18.510000000000002</v>
      </c>
      <c r="B91">
        <v>30.08</v>
      </c>
      <c r="C91">
        <v>5339.62</v>
      </c>
      <c r="D91">
        <v>7.59</v>
      </c>
      <c r="E91" t="s">
        <v>129</v>
      </c>
      <c r="F91" t="s">
        <v>374</v>
      </c>
      <c r="G91" t="s">
        <v>602</v>
      </c>
      <c r="H91" t="s">
        <v>765</v>
      </c>
      <c r="I91">
        <v>0</v>
      </c>
      <c r="J91">
        <v>702.96</v>
      </c>
      <c r="K91">
        <f t="shared" si="4"/>
        <v>61.08</v>
      </c>
      <c r="L91">
        <f t="shared" si="5"/>
        <v>70.900000000000006</v>
      </c>
      <c r="M91">
        <f t="shared" si="6"/>
        <v>-9.8200000000000074</v>
      </c>
      <c r="N91">
        <v>7.22</v>
      </c>
      <c r="O91">
        <v>85.18</v>
      </c>
      <c r="P91">
        <v>55</v>
      </c>
      <c r="Q91">
        <v>20.100000000000001</v>
      </c>
      <c r="R91">
        <v>11.57</v>
      </c>
      <c r="S91">
        <v>14.45</v>
      </c>
      <c r="T91">
        <v>4.0599999999999996</v>
      </c>
      <c r="U91">
        <v>7.6</v>
      </c>
      <c r="V91">
        <v>3417.36</v>
      </c>
      <c r="W91">
        <v>1021.18</v>
      </c>
      <c r="X91">
        <v>1254.22</v>
      </c>
      <c r="Y91">
        <v>738.38</v>
      </c>
      <c r="Z91">
        <v>5.17</v>
      </c>
      <c r="AA91">
        <v>1.53</v>
      </c>
      <c r="AB91">
        <v>4.53</v>
      </c>
      <c r="AC91">
        <v>74</v>
      </c>
      <c r="AD91">
        <v>490</v>
      </c>
      <c r="AE91">
        <v>4700</v>
      </c>
      <c r="AF91">
        <v>83.19</v>
      </c>
      <c r="AG91">
        <v>0.47</v>
      </c>
      <c r="AH91">
        <v>12.61</v>
      </c>
      <c r="AI91">
        <v>28.73</v>
      </c>
      <c r="AJ91">
        <v>60</v>
      </c>
      <c r="AK91">
        <v>9</v>
      </c>
      <c r="AL91">
        <v>9</v>
      </c>
      <c r="AM91">
        <v>0.79</v>
      </c>
      <c r="AN91">
        <v>294</v>
      </c>
      <c r="AO91">
        <v>301.08999999999997</v>
      </c>
      <c r="AP91">
        <v>359063.86</v>
      </c>
      <c r="AQ91">
        <v>186672.14</v>
      </c>
      <c r="AR91" t="s">
        <v>1001</v>
      </c>
      <c r="AT91" s="6">
        <f t="shared" si="7"/>
        <v>9.8397100456620983</v>
      </c>
    </row>
    <row r="92" spans="1:46" x14ac:dyDescent="0.55000000000000004">
      <c r="A92">
        <v>17.8</v>
      </c>
      <c r="B92">
        <v>29.44</v>
      </c>
      <c r="C92">
        <v>5371.53</v>
      </c>
      <c r="D92">
        <v>7.6</v>
      </c>
      <c r="E92" t="s">
        <v>130</v>
      </c>
      <c r="F92" t="s">
        <v>375</v>
      </c>
      <c r="G92" t="s">
        <v>603</v>
      </c>
      <c r="H92" t="s">
        <v>766</v>
      </c>
      <c r="I92">
        <v>0</v>
      </c>
      <c r="J92">
        <v>406.93</v>
      </c>
      <c r="K92">
        <f t="shared" si="4"/>
        <v>44.879999999999995</v>
      </c>
      <c r="L92">
        <f t="shared" si="5"/>
        <v>50.68</v>
      </c>
      <c r="M92">
        <f t="shared" si="6"/>
        <v>-5.8000000000000043</v>
      </c>
      <c r="N92">
        <v>7.01</v>
      </c>
      <c r="O92">
        <v>85.13</v>
      </c>
      <c r="P92">
        <v>57</v>
      </c>
      <c r="Q92">
        <v>18.600000000000001</v>
      </c>
      <c r="R92">
        <v>11.65</v>
      </c>
      <c r="S92">
        <v>13.38</v>
      </c>
      <c r="T92">
        <v>4.42</v>
      </c>
      <c r="U92">
        <v>13.2</v>
      </c>
      <c r="V92">
        <v>3437.78</v>
      </c>
      <c r="W92">
        <v>1052.77</v>
      </c>
      <c r="X92">
        <v>1538.02</v>
      </c>
      <c r="Y92">
        <v>811.95</v>
      </c>
      <c r="Z92">
        <v>5.76</v>
      </c>
      <c r="AA92">
        <v>1.63</v>
      </c>
      <c r="AB92">
        <v>4.34</v>
      </c>
      <c r="AC92">
        <v>72.489999999999995</v>
      </c>
      <c r="AD92">
        <v>490</v>
      </c>
      <c r="AE92">
        <v>4700</v>
      </c>
      <c r="AF92">
        <v>83.74</v>
      </c>
      <c r="AG92">
        <v>0.47</v>
      </c>
      <c r="AH92">
        <v>6.86</v>
      </c>
      <c r="AI92">
        <v>43.55</v>
      </c>
      <c r="AJ92">
        <v>60</v>
      </c>
      <c r="AK92">
        <v>9</v>
      </c>
      <c r="AL92">
        <v>9</v>
      </c>
      <c r="AM92">
        <v>0.52</v>
      </c>
      <c r="AN92">
        <v>294</v>
      </c>
      <c r="AO92">
        <v>298.68</v>
      </c>
      <c r="AP92">
        <v>343836.89</v>
      </c>
      <c r="AQ92">
        <v>130312.69</v>
      </c>
      <c r="AR92" t="s">
        <v>1002</v>
      </c>
      <c r="AT92" s="6">
        <f t="shared" si="7"/>
        <v>12.187454337899544</v>
      </c>
    </row>
    <row r="93" spans="1:46" x14ac:dyDescent="0.55000000000000004">
      <c r="A93">
        <v>18.71</v>
      </c>
      <c r="B93">
        <v>30.3</v>
      </c>
      <c r="C93">
        <v>5389.47</v>
      </c>
      <c r="D93">
        <v>7.6</v>
      </c>
      <c r="E93" t="s">
        <v>131</v>
      </c>
      <c r="F93" t="s">
        <v>376</v>
      </c>
      <c r="G93" t="s">
        <v>604</v>
      </c>
      <c r="H93" t="s">
        <v>767</v>
      </c>
      <c r="I93">
        <v>0</v>
      </c>
      <c r="J93">
        <v>686.06</v>
      </c>
      <c r="K93">
        <f t="shared" si="4"/>
        <v>59.64</v>
      </c>
      <c r="L93">
        <f t="shared" si="5"/>
        <v>69.17</v>
      </c>
      <c r="M93">
        <f t="shared" si="6"/>
        <v>-9.5300000000000011</v>
      </c>
      <c r="N93">
        <v>7.21</v>
      </c>
      <c r="O93">
        <v>85.27</v>
      </c>
      <c r="P93">
        <v>56</v>
      </c>
      <c r="Q93">
        <v>20.2</v>
      </c>
      <c r="R93">
        <v>11.58</v>
      </c>
      <c r="S93">
        <v>14.67</v>
      </c>
      <c r="T93">
        <v>4.04</v>
      </c>
      <c r="U93">
        <v>7.86</v>
      </c>
      <c r="V93">
        <v>3449.26</v>
      </c>
      <c r="W93">
        <v>1031.3499999999999</v>
      </c>
      <c r="X93">
        <v>1273.6300000000001</v>
      </c>
      <c r="Y93">
        <v>747.09</v>
      </c>
      <c r="Z93">
        <v>5.17</v>
      </c>
      <c r="AA93">
        <v>1.56</v>
      </c>
      <c r="AB93">
        <v>4.49</v>
      </c>
      <c r="AC93">
        <v>74.12</v>
      </c>
      <c r="AD93">
        <v>490</v>
      </c>
      <c r="AE93">
        <v>4700</v>
      </c>
      <c r="AF93">
        <v>83.3</v>
      </c>
      <c r="AG93">
        <v>0.47</v>
      </c>
      <c r="AH93">
        <v>12.15</v>
      </c>
      <c r="AI93">
        <v>29.46</v>
      </c>
      <c r="AJ93">
        <v>60</v>
      </c>
      <c r="AK93">
        <v>9</v>
      </c>
      <c r="AL93">
        <v>9</v>
      </c>
      <c r="AM93">
        <v>0.77</v>
      </c>
      <c r="AN93">
        <v>294</v>
      </c>
      <c r="AO93">
        <v>300.92</v>
      </c>
      <c r="AP93">
        <v>357618.28</v>
      </c>
      <c r="AQ93">
        <v>180652.63</v>
      </c>
      <c r="AR93" t="s">
        <v>1003</v>
      </c>
      <c r="AT93" s="6">
        <f t="shared" si="7"/>
        <v>10.100779109589043</v>
      </c>
    </row>
    <row r="94" spans="1:46" x14ac:dyDescent="0.55000000000000004">
      <c r="A94">
        <v>16.97</v>
      </c>
      <c r="B94">
        <v>28.47</v>
      </c>
      <c r="C94">
        <v>5448.08</v>
      </c>
      <c r="D94">
        <v>7.59</v>
      </c>
      <c r="E94" t="s">
        <v>132</v>
      </c>
      <c r="F94" t="s">
        <v>377</v>
      </c>
      <c r="G94" t="s">
        <v>605</v>
      </c>
      <c r="H94" t="s">
        <v>768</v>
      </c>
      <c r="I94">
        <v>0</v>
      </c>
      <c r="J94">
        <v>297.01</v>
      </c>
      <c r="K94">
        <f t="shared" si="4"/>
        <v>41.06</v>
      </c>
      <c r="L94">
        <f t="shared" si="5"/>
        <v>45.57</v>
      </c>
      <c r="M94">
        <f t="shared" si="6"/>
        <v>-4.509999999999998</v>
      </c>
      <c r="N94">
        <v>6.93</v>
      </c>
      <c r="O94">
        <v>84.44</v>
      </c>
      <c r="P94">
        <v>65</v>
      </c>
      <c r="Q94">
        <v>15.9</v>
      </c>
      <c r="R94">
        <v>11.5</v>
      </c>
      <c r="S94">
        <v>11.89</v>
      </c>
      <c r="T94">
        <v>5.08</v>
      </c>
      <c r="U94">
        <v>18.34</v>
      </c>
      <c r="V94">
        <v>3486.77</v>
      </c>
      <c r="W94">
        <v>1089.83</v>
      </c>
      <c r="X94">
        <v>1801.48</v>
      </c>
      <c r="Y94">
        <v>883.65</v>
      </c>
      <c r="Z94">
        <v>6.31</v>
      </c>
      <c r="AA94">
        <v>1.69</v>
      </c>
      <c r="AB94">
        <v>4.22</v>
      </c>
      <c r="AC94">
        <v>69.37</v>
      </c>
      <c r="AD94">
        <v>490</v>
      </c>
      <c r="AE94">
        <v>4700</v>
      </c>
      <c r="AF94">
        <v>82.69</v>
      </c>
      <c r="AG94">
        <v>0.47</v>
      </c>
      <c r="AH94">
        <v>4.7699999999999996</v>
      </c>
      <c r="AI94">
        <v>52.16</v>
      </c>
      <c r="AJ94">
        <v>60</v>
      </c>
      <c r="AK94">
        <v>9</v>
      </c>
      <c r="AL94">
        <v>9</v>
      </c>
      <c r="AM94">
        <v>0.43</v>
      </c>
      <c r="AN94">
        <v>294</v>
      </c>
      <c r="AO94">
        <v>297.91000000000003</v>
      </c>
      <c r="AP94">
        <v>342329.63</v>
      </c>
      <c r="AQ94">
        <v>129405.91</v>
      </c>
      <c r="AR94" t="s">
        <v>1004</v>
      </c>
      <c r="AT94" s="6">
        <f t="shared" si="7"/>
        <v>12.153180365296803</v>
      </c>
    </row>
    <row r="95" spans="1:46" x14ac:dyDescent="0.55000000000000004">
      <c r="A95">
        <v>18.399999999999999</v>
      </c>
      <c r="B95">
        <v>29.64</v>
      </c>
      <c r="C95">
        <v>5438.44</v>
      </c>
      <c r="D95">
        <v>7.62</v>
      </c>
      <c r="E95" t="s">
        <v>133</v>
      </c>
      <c r="F95" t="s">
        <v>378</v>
      </c>
      <c r="G95" t="s">
        <v>606</v>
      </c>
      <c r="H95" t="s">
        <v>769</v>
      </c>
      <c r="I95">
        <v>0</v>
      </c>
      <c r="J95">
        <v>456.99</v>
      </c>
      <c r="K95">
        <f t="shared" si="4"/>
        <v>47.019999999999996</v>
      </c>
      <c r="L95">
        <f t="shared" si="5"/>
        <v>53.209999999999994</v>
      </c>
      <c r="M95">
        <f t="shared" si="6"/>
        <v>-6.1899999999999977</v>
      </c>
      <c r="N95">
        <v>7.05</v>
      </c>
      <c r="O95">
        <v>84.94</v>
      </c>
      <c r="P95">
        <v>73</v>
      </c>
      <c r="Q95">
        <v>16.7</v>
      </c>
      <c r="R95">
        <v>11.23</v>
      </c>
      <c r="S95">
        <v>13.55</v>
      </c>
      <c r="T95">
        <v>4.8499999999999996</v>
      </c>
      <c r="U95">
        <v>11.9</v>
      </c>
      <c r="V95">
        <v>3480.6</v>
      </c>
      <c r="W95">
        <v>1059.24</v>
      </c>
      <c r="X95">
        <v>1484.88</v>
      </c>
      <c r="Y95">
        <v>804.01</v>
      </c>
      <c r="Z95">
        <v>5.74</v>
      </c>
      <c r="AA95">
        <v>1.65</v>
      </c>
      <c r="AB95">
        <v>4.33</v>
      </c>
      <c r="AC95">
        <v>69.84</v>
      </c>
      <c r="AD95">
        <v>490</v>
      </c>
      <c r="AE95">
        <v>4700</v>
      </c>
      <c r="AF95">
        <v>80.78</v>
      </c>
      <c r="AG95">
        <v>0.47</v>
      </c>
      <c r="AH95">
        <v>7.41</v>
      </c>
      <c r="AI95">
        <v>41.48</v>
      </c>
      <c r="AJ95">
        <v>60</v>
      </c>
      <c r="AK95">
        <v>9</v>
      </c>
      <c r="AL95">
        <v>9</v>
      </c>
      <c r="AM95">
        <v>0.55000000000000004</v>
      </c>
      <c r="AN95">
        <v>294</v>
      </c>
      <c r="AO95">
        <v>298.91000000000003</v>
      </c>
      <c r="AP95">
        <v>345905.34</v>
      </c>
      <c r="AQ95">
        <v>142599.6</v>
      </c>
      <c r="AR95" t="s">
        <v>1005</v>
      </c>
      <c r="AT95" s="6">
        <f t="shared" si="7"/>
        <v>11.604208904109591</v>
      </c>
    </row>
    <row r="96" spans="1:46" x14ac:dyDescent="0.55000000000000004">
      <c r="A96">
        <v>18.78</v>
      </c>
      <c r="B96">
        <v>30.01</v>
      </c>
      <c r="C96">
        <v>5410.71</v>
      </c>
      <c r="D96">
        <v>7.58</v>
      </c>
      <c r="E96" t="s">
        <v>134</v>
      </c>
      <c r="F96" t="s">
        <v>379</v>
      </c>
      <c r="G96" t="s">
        <v>607</v>
      </c>
      <c r="H96" t="s">
        <v>770</v>
      </c>
      <c r="I96">
        <v>0</v>
      </c>
      <c r="J96">
        <v>746.95</v>
      </c>
      <c r="K96">
        <f t="shared" si="4"/>
        <v>63.95</v>
      </c>
      <c r="L96">
        <f t="shared" si="5"/>
        <v>74.34</v>
      </c>
      <c r="M96">
        <f t="shared" si="6"/>
        <v>-10.39</v>
      </c>
      <c r="N96">
        <v>7.24</v>
      </c>
      <c r="O96">
        <v>85.13</v>
      </c>
      <c r="P96">
        <v>72</v>
      </c>
      <c r="Q96">
        <v>17.399999999999999</v>
      </c>
      <c r="R96">
        <v>11.23</v>
      </c>
      <c r="S96">
        <v>14.09</v>
      </c>
      <c r="T96">
        <v>4.68</v>
      </c>
      <c r="U96">
        <v>7.24</v>
      </c>
      <c r="V96">
        <v>3462.85</v>
      </c>
      <c r="W96">
        <v>1032.05</v>
      </c>
      <c r="X96">
        <v>1243.6600000000001</v>
      </c>
      <c r="Y96">
        <v>741.06</v>
      </c>
      <c r="Z96">
        <v>5.16</v>
      </c>
      <c r="AA96">
        <v>1.53</v>
      </c>
      <c r="AB96">
        <v>4.53</v>
      </c>
      <c r="AC96">
        <v>70.569999999999993</v>
      </c>
      <c r="AD96">
        <v>490</v>
      </c>
      <c r="AE96">
        <v>4700</v>
      </c>
      <c r="AF96">
        <v>80.760000000000005</v>
      </c>
      <c r="AG96">
        <v>0.47</v>
      </c>
      <c r="AH96">
        <v>12.93</v>
      </c>
      <c r="AI96">
        <v>27.41</v>
      </c>
      <c r="AJ96">
        <v>60</v>
      </c>
      <c r="AK96">
        <v>9</v>
      </c>
      <c r="AL96">
        <v>9</v>
      </c>
      <c r="AM96">
        <v>0.83</v>
      </c>
      <c r="AN96">
        <v>294</v>
      </c>
      <c r="AO96">
        <v>301.43</v>
      </c>
      <c r="AP96">
        <v>362056.53</v>
      </c>
      <c r="AQ96">
        <v>206209.5</v>
      </c>
      <c r="AR96" t="s">
        <v>1006</v>
      </c>
      <c r="AT96" s="6">
        <f t="shared" si="7"/>
        <v>8.8953784246575367</v>
      </c>
    </row>
    <row r="97" spans="1:46" x14ac:dyDescent="0.55000000000000004">
      <c r="A97">
        <v>18.8</v>
      </c>
      <c r="B97">
        <v>30.13</v>
      </c>
      <c r="C97">
        <v>5401.88</v>
      </c>
      <c r="D97">
        <v>7.61</v>
      </c>
      <c r="E97" t="s">
        <v>135</v>
      </c>
      <c r="F97" t="s">
        <v>380</v>
      </c>
      <c r="G97" t="s">
        <v>608</v>
      </c>
      <c r="H97" t="s">
        <v>771</v>
      </c>
      <c r="I97">
        <v>0</v>
      </c>
      <c r="J97">
        <v>506.25</v>
      </c>
      <c r="K97">
        <f t="shared" si="4"/>
        <v>48.85</v>
      </c>
      <c r="L97">
        <f t="shared" si="5"/>
        <v>55.370000000000005</v>
      </c>
      <c r="M97">
        <f t="shared" si="6"/>
        <v>-6.5200000000000031</v>
      </c>
      <c r="N97">
        <v>7.08</v>
      </c>
      <c r="O97">
        <v>85.21</v>
      </c>
      <c r="P97">
        <v>64</v>
      </c>
      <c r="Q97">
        <v>19</v>
      </c>
      <c r="R97">
        <v>11.32</v>
      </c>
      <c r="S97">
        <v>14.61</v>
      </c>
      <c r="T97">
        <v>4.1900000000000004</v>
      </c>
      <c r="U97">
        <v>10.67</v>
      </c>
      <c r="V97">
        <v>3457.2</v>
      </c>
      <c r="W97">
        <v>1045.6500000000001</v>
      </c>
      <c r="X97">
        <v>1409.08</v>
      </c>
      <c r="Y97">
        <v>781.52</v>
      </c>
      <c r="Z97">
        <v>5.73</v>
      </c>
      <c r="AA97">
        <v>1.62</v>
      </c>
      <c r="AB97">
        <v>4.38</v>
      </c>
      <c r="AC97">
        <v>72.98</v>
      </c>
      <c r="AD97">
        <v>490</v>
      </c>
      <c r="AE97">
        <v>4700</v>
      </c>
      <c r="AF97">
        <v>81.44</v>
      </c>
      <c r="AG97">
        <v>0.47</v>
      </c>
      <c r="AH97">
        <v>8.42</v>
      </c>
      <c r="AI97">
        <v>39.869999999999997</v>
      </c>
      <c r="AJ97">
        <v>60</v>
      </c>
      <c r="AK97">
        <v>9</v>
      </c>
      <c r="AL97">
        <v>9</v>
      </c>
      <c r="AM97">
        <v>0.56999999999999995</v>
      </c>
      <c r="AN97">
        <v>294</v>
      </c>
      <c r="AO97">
        <v>299.11</v>
      </c>
      <c r="AP97">
        <v>347699.37</v>
      </c>
      <c r="AQ97">
        <v>157687.74</v>
      </c>
      <c r="AR97" t="s">
        <v>1007</v>
      </c>
      <c r="AT97" s="6">
        <f t="shared" si="7"/>
        <v>10.845412671232877</v>
      </c>
    </row>
    <row r="98" spans="1:46" x14ac:dyDescent="0.55000000000000004">
      <c r="A98">
        <v>18.440000000000001</v>
      </c>
      <c r="B98">
        <v>30.05</v>
      </c>
      <c r="C98">
        <v>5373.21</v>
      </c>
      <c r="D98">
        <v>7.6</v>
      </c>
      <c r="E98" t="s">
        <v>136</v>
      </c>
      <c r="F98" t="s">
        <v>381</v>
      </c>
      <c r="G98" t="s">
        <v>609</v>
      </c>
      <c r="H98" t="s">
        <v>772</v>
      </c>
      <c r="I98">
        <v>0</v>
      </c>
      <c r="J98">
        <v>707.29</v>
      </c>
      <c r="K98">
        <f t="shared" si="4"/>
        <v>61.400000000000006</v>
      </c>
      <c r="L98">
        <f t="shared" si="5"/>
        <v>71.290000000000006</v>
      </c>
      <c r="M98">
        <f t="shared" si="6"/>
        <v>-9.89</v>
      </c>
      <c r="N98">
        <v>7.23</v>
      </c>
      <c r="O98">
        <v>84.71</v>
      </c>
      <c r="P98">
        <v>55</v>
      </c>
      <c r="Q98">
        <v>19.899999999999999</v>
      </c>
      <c r="R98">
        <v>11.6</v>
      </c>
      <c r="S98">
        <v>14.27</v>
      </c>
      <c r="T98">
        <v>4.17</v>
      </c>
      <c r="U98">
        <v>7.6</v>
      </c>
      <c r="V98">
        <v>3438.85</v>
      </c>
      <c r="W98">
        <v>1027.6600000000001</v>
      </c>
      <c r="X98">
        <v>1261.72</v>
      </c>
      <c r="Y98">
        <v>743.07</v>
      </c>
      <c r="Z98">
        <v>5.17</v>
      </c>
      <c r="AA98">
        <v>1.54</v>
      </c>
      <c r="AB98">
        <v>4.51</v>
      </c>
      <c r="AC98">
        <v>73.56</v>
      </c>
      <c r="AD98">
        <v>490</v>
      </c>
      <c r="AE98">
        <v>4700</v>
      </c>
      <c r="AF98">
        <v>83.44</v>
      </c>
      <c r="AG98">
        <v>0.47</v>
      </c>
      <c r="AH98">
        <v>12.65</v>
      </c>
      <c r="AI98">
        <v>28.58</v>
      </c>
      <c r="AJ98">
        <v>60</v>
      </c>
      <c r="AK98">
        <v>9</v>
      </c>
      <c r="AL98">
        <v>9</v>
      </c>
      <c r="AM98">
        <v>0.79</v>
      </c>
      <c r="AN98">
        <v>294</v>
      </c>
      <c r="AO98">
        <v>301.13</v>
      </c>
      <c r="AP98">
        <v>358240.37</v>
      </c>
      <c r="AQ98">
        <v>187000.3</v>
      </c>
      <c r="AR98" t="s">
        <v>1008</v>
      </c>
      <c r="AT98" s="6">
        <f t="shared" si="7"/>
        <v>9.7739765981735172</v>
      </c>
    </row>
    <row r="99" spans="1:46" x14ac:dyDescent="0.55000000000000004">
      <c r="A99">
        <v>18.829999999999998</v>
      </c>
      <c r="B99">
        <v>30.09</v>
      </c>
      <c r="C99">
        <v>5382.05</v>
      </c>
      <c r="D99">
        <v>7.6</v>
      </c>
      <c r="E99" t="s">
        <v>137</v>
      </c>
      <c r="F99" t="s">
        <v>382</v>
      </c>
      <c r="G99" t="s">
        <v>610</v>
      </c>
      <c r="H99" t="s">
        <v>773</v>
      </c>
      <c r="I99">
        <v>0</v>
      </c>
      <c r="J99">
        <v>810.57</v>
      </c>
      <c r="K99">
        <f t="shared" si="4"/>
        <v>70.260000000000005</v>
      </c>
      <c r="L99">
        <f t="shared" si="5"/>
        <v>81.910000000000011</v>
      </c>
      <c r="M99">
        <f t="shared" si="6"/>
        <v>-11.650000000000006</v>
      </c>
      <c r="N99">
        <v>7.3</v>
      </c>
      <c r="O99">
        <v>85.16</v>
      </c>
      <c r="P99">
        <v>60</v>
      </c>
      <c r="Q99">
        <v>19.8</v>
      </c>
      <c r="R99">
        <v>11.26</v>
      </c>
      <c r="S99">
        <v>14.83</v>
      </c>
      <c r="T99">
        <v>4</v>
      </c>
      <c r="U99">
        <v>6.64</v>
      </c>
      <c r="V99">
        <v>3444.51</v>
      </c>
      <c r="W99">
        <v>1024.6600000000001</v>
      </c>
      <c r="X99">
        <v>1213.8399999999999</v>
      </c>
      <c r="Y99">
        <v>731.66</v>
      </c>
      <c r="Z99">
        <v>5.15</v>
      </c>
      <c r="AA99">
        <v>1.54</v>
      </c>
      <c r="AB99">
        <v>4.53</v>
      </c>
      <c r="AC99">
        <v>73.790000000000006</v>
      </c>
      <c r="AD99">
        <v>490</v>
      </c>
      <c r="AE99">
        <v>4700</v>
      </c>
      <c r="AF99">
        <v>80.98</v>
      </c>
      <c r="AG99">
        <v>0.47</v>
      </c>
      <c r="AH99">
        <v>14.36</v>
      </c>
      <c r="AI99">
        <v>24.87</v>
      </c>
      <c r="AJ99">
        <v>60</v>
      </c>
      <c r="AK99">
        <v>9</v>
      </c>
      <c r="AL99">
        <v>9</v>
      </c>
      <c r="AM99">
        <v>0.91</v>
      </c>
      <c r="AN99">
        <v>294</v>
      </c>
      <c r="AO99">
        <v>302.19</v>
      </c>
      <c r="AP99">
        <v>367392.05</v>
      </c>
      <c r="AQ99">
        <v>234293.47</v>
      </c>
      <c r="AR99" t="s">
        <v>1009</v>
      </c>
      <c r="AT99" s="6">
        <f t="shared" si="7"/>
        <v>7.5969509132420088</v>
      </c>
    </row>
    <row r="100" spans="1:46" x14ac:dyDescent="0.55000000000000004">
      <c r="A100">
        <v>18.73</v>
      </c>
      <c r="B100">
        <v>30.12</v>
      </c>
      <c r="C100">
        <v>5406.79</v>
      </c>
      <c r="D100">
        <v>7.61</v>
      </c>
      <c r="E100" t="s">
        <v>138</v>
      </c>
      <c r="F100" t="s">
        <v>383</v>
      </c>
      <c r="G100" t="s">
        <v>607</v>
      </c>
      <c r="H100" t="s">
        <v>774</v>
      </c>
      <c r="I100">
        <v>0</v>
      </c>
      <c r="J100">
        <v>594.78</v>
      </c>
      <c r="K100">
        <f t="shared" si="4"/>
        <v>53.319999999999993</v>
      </c>
      <c r="L100">
        <f t="shared" si="5"/>
        <v>60.64</v>
      </c>
      <c r="M100">
        <f t="shared" si="6"/>
        <v>-7.3200000000000074</v>
      </c>
      <c r="N100">
        <v>7.14</v>
      </c>
      <c r="O100">
        <v>84.69</v>
      </c>
      <c r="P100">
        <v>57</v>
      </c>
      <c r="Q100">
        <v>20.3</v>
      </c>
      <c r="R100">
        <v>11.39</v>
      </c>
      <c r="S100">
        <v>14.89</v>
      </c>
      <c r="T100">
        <v>3.84</v>
      </c>
      <c r="U100">
        <v>9.09</v>
      </c>
      <c r="V100">
        <v>3460.35</v>
      </c>
      <c r="W100">
        <v>1039.8</v>
      </c>
      <c r="X100">
        <v>1334.84</v>
      </c>
      <c r="Y100">
        <v>763.57</v>
      </c>
      <c r="Z100">
        <v>5.71</v>
      </c>
      <c r="AA100">
        <v>1.59</v>
      </c>
      <c r="AB100">
        <v>4.43</v>
      </c>
      <c r="AC100">
        <v>74.790000000000006</v>
      </c>
      <c r="AD100">
        <v>490</v>
      </c>
      <c r="AE100">
        <v>4700</v>
      </c>
      <c r="AF100">
        <v>81.94</v>
      </c>
      <c r="AG100">
        <v>0.47</v>
      </c>
      <c r="AH100">
        <v>10.130000000000001</v>
      </c>
      <c r="AI100">
        <v>36.39</v>
      </c>
      <c r="AJ100">
        <v>60</v>
      </c>
      <c r="AK100">
        <v>9</v>
      </c>
      <c r="AL100">
        <v>9</v>
      </c>
      <c r="AM100">
        <v>0.62</v>
      </c>
      <c r="AN100">
        <v>294</v>
      </c>
      <c r="AO100">
        <v>299.60000000000002</v>
      </c>
      <c r="AP100">
        <v>350335.63</v>
      </c>
      <c r="AQ100">
        <v>183426.5</v>
      </c>
      <c r="AR100" t="s">
        <v>1010</v>
      </c>
      <c r="AT100" s="6">
        <f t="shared" si="7"/>
        <v>9.5267768264840189</v>
      </c>
    </row>
    <row r="101" spans="1:46" x14ac:dyDescent="0.55000000000000004">
      <c r="A101">
        <v>17.45</v>
      </c>
      <c r="B101">
        <v>28.86</v>
      </c>
      <c r="C101">
        <v>5373.23</v>
      </c>
      <c r="D101">
        <v>7.6</v>
      </c>
      <c r="E101" t="s">
        <v>139</v>
      </c>
      <c r="F101" t="s">
        <v>384</v>
      </c>
      <c r="G101" t="s">
        <v>611</v>
      </c>
      <c r="H101" t="s">
        <v>775</v>
      </c>
      <c r="I101">
        <v>0</v>
      </c>
      <c r="J101">
        <v>823.46</v>
      </c>
      <c r="K101">
        <f t="shared" si="4"/>
        <v>71.38</v>
      </c>
      <c r="L101">
        <f t="shared" si="5"/>
        <v>83.259999999999991</v>
      </c>
      <c r="M101">
        <f t="shared" si="6"/>
        <v>-11.879999999999995</v>
      </c>
      <c r="N101">
        <v>7.31</v>
      </c>
      <c r="O101">
        <v>84.98</v>
      </c>
      <c r="P101">
        <v>58</v>
      </c>
      <c r="Q101">
        <v>17.8</v>
      </c>
      <c r="R101">
        <v>11.41</v>
      </c>
      <c r="S101">
        <v>12.79</v>
      </c>
      <c r="T101">
        <v>4.6500000000000004</v>
      </c>
      <c r="U101">
        <v>6.53</v>
      </c>
      <c r="V101">
        <v>3438.87</v>
      </c>
      <c r="W101">
        <v>1022.69</v>
      </c>
      <c r="X101">
        <v>1208</v>
      </c>
      <c r="Y101">
        <v>729.59</v>
      </c>
      <c r="Z101">
        <v>5.14</v>
      </c>
      <c r="AA101">
        <v>1.51</v>
      </c>
      <c r="AB101">
        <v>4.59</v>
      </c>
      <c r="AC101">
        <v>71.03</v>
      </c>
      <c r="AD101">
        <v>490</v>
      </c>
      <c r="AE101">
        <v>4700</v>
      </c>
      <c r="AF101">
        <v>82.07</v>
      </c>
      <c r="AG101">
        <v>0.47</v>
      </c>
      <c r="AH101">
        <v>14.85</v>
      </c>
      <c r="AI101">
        <v>24.47</v>
      </c>
      <c r="AJ101">
        <v>60</v>
      </c>
      <c r="AK101">
        <v>9</v>
      </c>
      <c r="AL101">
        <v>9</v>
      </c>
      <c r="AM101">
        <v>0.93</v>
      </c>
      <c r="AN101">
        <v>294</v>
      </c>
      <c r="AO101">
        <v>302.33</v>
      </c>
      <c r="AP101">
        <v>366781.02</v>
      </c>
      <c r="AQ101">
        <v>239216.97</v>
      </c>
      <c r="AR101" t="s">
        <v>1011</v>
      </c>
      <c r="AT101" s="6">
        <f t="shared" si="7"/>
        <v>7.2810530821917814</v>
      </c>
    </row>
    <row r="102" spans="1:46" x14ac:dyDescent="0.55000000000000004">
      <c r="A102">
        <v>16.88</v>
      </c>
      <c r="B102">
        <v>28.15</v>
      </c>
      <c r="C102">
        <v>5496.42</v>
      </c>
      <c r="D102">
        <v>7.59</v>
      </c>
      <c r="E102" t="s">
        <v>140</v>
      </c>
      <c r="F102" t="s">
        <v>385</v>
      </c>
      <c r="G102" t="s">
        <v>612</v>
      </c>
      <c r="H102" t="s">
        <v>776</v>
      </c>
      <c r="I102">
        <v>0</v>
      </c>
      <c r="J102">
        <v>605.67999999999995</v>
      </c>
      <c r="K102">
        <f t="shared" si="4"/>
        <v>54.26</v>
      </c>
      <c r="L102">
        <f t="shared" si="5"/>
        <v>61.669999999999995</v>
      </c>
      <c r="M102">
        <f t="shared" si="6"/>
        <v>-7.4099999999999966</v>
      </c>
      <c r="N102">
        <v>7.15</v>
      </c>
      <c r="O102">
        <v>84.86</v>
      </c>
      <c r="P102">
        <v>83</v>
      </c>
      <c r="Q102">
        <v>12.4</v>
      </c>
      <c r="R102">
        <v>11.27</v>
      </c>
      <c r="S102">
        <v>10.55</v>
      </c>
      <c r="T102">
        <v>6.33</v>
      </c>
      <c r="U102">
        <v>9.07</v>
      </c>
      <c r="V102">
        <v>3517.71</v>
      </c>
      <c r="W102">
        <v>1056.3599999999999</v>
      </c>
      <c r="X102">
        <v>1349.33</v>
      </c>
      <c r="Y102">
        <v>774.36</v>
      </c>
      <c r="Z102">
        <v>5.72</v>
      </c>
      <c r="AA102">
        <v>1.55</v>
      </c>
      <c r="AB102">
        <v>4.5</v>
      </c>
      <c r="AC102">
        <v>64.03</v>
      </c>
      <c r="AD102">
        <v>490</v>
      </c>
      <c r="AE102">
        <v>4700</v>
      </c>
      <c r="AF102">
        <v>81.069999999999993</v>
      </c>
      <c r="AG102">
        <v>0.47</v>
      </c>
      <c r="AH102">
        <v>10.039999999999999</v>
      </c>
      <c r="AI102">
        <v>35.79</v>
      </c>
      <c r="AJ102">
        <v>60</v>
      </c>
      <c r="AK102">
        <v>9</v>
      </c>
      <c r="AL102">
        <v>9</v>
      </c>
      <c r="AM102">
        <v>0.63</v>
      </c>
      <c r="AN102">
        <v>294</v>
      </c>
      <c r="AO102">
        <v>299.69</v>
      </c>
      <c r="AP102">
        <v>353252.45</v>
      </c>
      <c r="AQ102">
        <v>187538.35</v>
      </c>
      <c r="AR102" t="s">
        <v>1012</v>
      </c>
      <c r="AT102" s="6">
        <f t="shared" si="7"/>
        <v>9.4585673515981732</v>
      </c>
    </row>
    <row r="103" spans="1:46" x14ac:dyDescent="0.55000000000000004">
      <c r="A103">
        <v>16.54</v>
      </c>
      <c r="B103">
        <v>27.9</v>
      </c>
      <c r="C103">
        <v>5512.61</v>
      </c>
      <c r="D103">
        <v>7.59</v>
      </c>
      <c r="E103" t="s">
        <v>141</v>
      </c>
      <c r="F103" t="s">
        <v>386</v>
      </c>
      <c r="G103" t="s">
        <v>613</v>
      </c>
      <c r="H103" t="s">
        <v>777</v>
      </c>
      <c r="I103">
        <v>0</v>
      </c>
      <c r="J103">
        <v>316.7</v>
      </c>
      <c r="K103">
        <f t="shared" si="4"/>
        <v>41.33</v>
      </c>
      <c r="L103">
        <f t="shared" si="5"/>
        <v>45.35</v>
      </c>
      <c r="M103">
        <f t="shared" si="6"/>
        <v>-4.0200000000000031</v>
      </c>
      <c r="N103">
        <v>6.95</v>
      </c>
      <c r="O103">
        <v>84.64</v>
      </c>
      <c r="P103">
        <v>79</v>
      </c>
      <c r="Q103">
        <v>13.2</v>
      </c>
      <c r="R103">
        <v>11.36</v>
      </c>
      <c r="S103">
        <v>10.89</v>
      </c>
      <c r="T103">
        <v>5.65</v>
      </c>
      <c r="U103">
        <v>17.41</v>
      </c>
      <c r="V103">
        <v>3528.07</v>
      </c>
      <c r="W103">
        <v>1096.8499999999999</v>
      </c>
      <c r="X103">
        <v>1761.08</v>
      </c>
      <c r="Y103">
        <v>878.36</v>
      </c>
      <c r="Z103">
        <v>6.38</v>
      </c>
      <c r="AA103">
        <v>1.67</v>
      </c>
      <c r="AB103">
        <v>4.25</v>
      </c>
      <c r="AC103">
        <v>66.78</v>
      </c>
      <c r="AD103">
        <v>490</v>
      </c>
      <c r="AE103">
        <v>4700</v>
      </c>
      <c r="AF103">
        <v>81.66</v>
      </c>
      <c r="AG103">
        <v>0.47</v>
      </c>
      <c r="AH103">
        <v>4.9800000000000004</v>
      </c>
      <c r="AI103">
        <v>52.41</v>
      </c>
      <c r="AJ103">
        <v>60</v>
      </c>
      <c r="AK103">
        <v>9</v>
      </c>
      <c r="AL103">
        <v>9</v>
      </c>
      <c r="AM103">
        <v>0.43</v>
      </c>
      <c r="AN103">
        <v>294</v>
      </c>
      <c r="AO103">
        <v>297.89</v>
      </c>
      <c r="AP103">
        <v>345119.28</v>
      </c>
      <c r="AQ103">
        <v>130336.81</v>
      </c>
      <c r="AR103" t="s">
        <v>1013</v>
      </c>
      <c r="AT103" s="6">
        <f t="shared" si="7"/>
        <v>12.259273401826485</v>
      </c>
    </row>
    <row r="104" spans="1:46" x14ac:dyDescent="0.55000000000000004">
      <c r="A104">
        <v>17.89</v>
      </c>
      <c r="B104">
        <v>29.09</v>
      </c>
      <c r="C104">
        <v>5451.56</v>
      </c>
      <c r="D104">
        <v>7.61</v>
      </c>
      <c r="E104" t="s">
        <v>142</v>
      </c>
      <c r="F104" t="s">
        <v>387</v>
      </c>
      <c r="G104" t="s">
        <v>614</v>
      </c>
      <c r="H104" t="s">
        <v>778</v>
      </c>
      <c r="I104">
        <v>0</v>
      </c>
      <c r="J104">
        <v>651.23</v>
      </c>
      <c r="K104">
        <f t="shared" si="4"/>
        <v>57.41</v>
      </c>
      <c r="L104">
        <f t="shared" si="5"/>
        <v>65.48</v>
      </c>
      <c r="M104">
        <f t="shared" si="6"/>
        <v>-8.0700000000000074</v>
      </c>
      <c r="N104">
        <v>7.19</v>
      </c>
      <c r="O104">
        <v>85.31</v>
      </c>
      <c r="P104">
        <v>71</v>
      </c>
      <c r="Q104">
        <v>16</v>
      </c>
      <c r="R104">
        <v>11.21</v>
      </c>
      <c r="S104">
        <v>12.67</v>
      </c>
      <c r="T104">
        <v>5.22</v>
      </c>
      <c r="U104">
        <v>8.3699999999999992</v>
      </c>
      <c r="V104">
        <v>3489</v>
      </c>
      <c r="W104">
        <v>1045.52</v>
      </c>
      <c r="X104">
        <v>1311.9</v>
      </c>
      <c r="Y104">
        <v>761.77</v>
      </c>
      <c r="Z104">
        <v>5.7</v>
      </c>
      <c r="AA104">
        <v>1.56</v>
      </c>
      <c r="AB104">
        <v>4.4800000000000004</v>
      </c>
      <c r="AC104">
        <v>68.23</v>
      </c>
      <c r="AD104">
        <v>490</v>
      </c>
      <c r="AE104">
        <v>4700</v>
      </c>
      <c r="AF104">
        <v>80.59</v>
      </c>
      <c r="AG104">
        <v>0.47</v>
      </c>
      <c r="AH104">
        <v>10.93</v>
      </c>
      <c r="AI104">
        <v>33.71</v>
      </c>
      <c r="AJ104">
        <v>60</v>
      </c>
      <c r="AK104">
        <v>9</v>
      </c>
      <c r="AL104">
        <v>9</v>
      </c>
      <c r="AM104">
        <v>0.67</v>
      </c>
      <c r="AN104">
        <v>294</v>
      </c>
      <c r="AO104">
        <v>300.04000000000002</v>
      </c>
      <c r="AP104">
        <v>354987.13</v>
      </c>
      <c r="AQ104">
        <v>203210.62</v>
      </c>
      <c r="AR104" t="s">
        <v>1014</v>
      </c>
      <c r="AT104" s="6">
        <f t="shared" si="7"/>
        <v>8.6630428082191795</v>
      </c>
    </row>
    <row r="105" spans="1:46" x14ac:dyDescent="0.55000000000000004">
      <c r="A105">
        <v>17.39</v>
      </c>
      <c r="B105">
        <v>28.79</v>
      </c>
      <c r="C105">
        <v>5481.56</v>
      </c>
      <c r="D105">
        <v>7.6</v>
      </c>
      <c r="E105" t="s">
        <v>143</v>
      </c>
      <c r="F105" t="s">
        <v>388</v>
      </c>
      <c r="G105" t="s">
        <v>615</v>
      </c>
      <c r="H105" t="s">
        <v>779</v>
      </c>
      <c r="I105">
        <v>0</v>
      </c>
      <c r="J105">
        <v>543.76</v>
      </c>
      <c r="K105">
        <f t="shared" si="4"/>
        <v>51.33</v>
      </c>
      <c r="L105">
        <f t="shared" si="5"/>
        <v>58.31</v>
      </c>
      <c r="M105">
        <f t="shared" si="6"/>
        <v>-6.980000000000004</v>
      </c>
      <c r="N105">
        <v>7.11</v>
      </c>
      <c r="O105">
        <v>84.87</v>
      </c>
      <c r="P105">
        <v>75</v>
      </c>
      <c r="Q105">
        <v>14.9</v>
      </c>
      <c r="R105">
        <v>11.4</v>
      </c>
      <c r="S105">
        <v>12.08</v>
      </c>
      <c r="T105">
        <v>5.31</v>
      </c>
      <c r="U105">
        <v>10.08</v>
      </c>
      <c r="V105">
        <v>3508.2</v>
      </c>
      <c r="W105">
        <v>1058.97</v>
      </c>
      <c r="X105">
        <v>1402.29</v>
      </c>
      <c r="Y105">
        <v>786.82</v>
      </c>
      <c r="Z105">
        <v>5.72</v>
      </c>
      <c r="AA105">
        <v>1.58</v>
      </c>
      <c r="AB105">
        <v>4.4400000000000004</v>
      </c>
      <c r="AC105">
        <v>68.209999999999994</v>
      </c>
      <c r="AD105">
        <v>490</v>
      </c>
      <c r="AE105">
        <v>4700</v>
      </c>
      <c r="AF105">
        <v>81.98</v>
      </c>
      <c r="AG105">
        <v>0.47</v>
      </c>
      <c r="AH105">
        <v>9.0299999999999994</v>
      </c>
      <c r="AI105">
        <v>37.85</v>
      </c>
      <c r="AJ105">
        <v>60</v>
      </c>
      <c r="AK105">
        <v>9</v>
      </c>
      <c r="AL105">
        <v>9</v>
      </c>
      <c r="AM105">
        <v>0.6</v>
      </c>
      <c r="AN105">
        <v>294</v>
      </c>
      <c r="AO105">
        <v>299.38</v>
      </c>
      <c r="AP105">
        <v>350505.75</v>
      </c>
      <c r="AQ105">
        <v>167101.70000000001</v>
      </c>
      <c r="AR105" t="s">
        <v>1015</v>
      </c>
      <c r="AT105" s="6">
        <f t="shared" si="7"/>
        <v>10.468267694063925</v>
      </c>
    </row>
    <row r="106" spans="1:46" x14ac:dyDescent="0.55000000000000004">
      <c r="A106">
        <v>16.73</v>
      </c>
      <c r="B106">
        <v>28.09</v>
      </c>
      <c r="C106">
        <v>5489.52</v>
      </c>
      <c r="D106">
        <v>7.59</v>
      </c>
      <c r="E106" t="s">
        <v>144</v>
      </c>
      <c r="F106" t="s">
        <v>389</v>
      </c>
      <c r="G106" t="s">
        <v>615</v>
      </c>
      <c r="H106" t="s">
        <v>780</v>
      </c>
      <c r="I106">
        <v>0</v>
      </c>
      <c r="J106">
        <v>550.16999999999996</v>
      </c>
      <c r="K106">
        <f t="shared" si="4"/>
        <v>51.620000000000005</v>
      </c>
      <c r="L106">
        <f t="shared" si="5"/>
        <v>58.050000000000004</v>
      </c>
      <c r="M106">
        <f t="shared" si="6"/>
        <v>-6.43</v>
      </c>
      <c r="N106">
        <v>7.12</v>
      </c>
      <c r="O106">
        <v>85.33</v>
      </c>
      <c r="P106">
        <v>80</v>
      </c>
      <c r="Q106">
        <v>13.1</v>
      </c>
      <c r="R106">
        <v>11.36</v>
      </c>
      <c r="S106">
        <v>10.9</v>
      </c>
      <c r="T106">
        <v>5.83</v>
      </c>
      <c r="U106">
        <v>9.98</v>
      </c>
      <c r="V106">
        <v>3513.29</v>
      </c>
      <c r="W106">
        <v>1059.99</v>
      </c>
      <c r="X106">
        <v>1398.64</v>
      </c>
      <c r="Y106">
        <v>786.55</v>
      </c>
      <c r="Z106">
        <v>5.78</v>
      </c>
      <c r="AA106">
        <v>1.56</v>
      </c>
      <c r="AB106">
        <v>4.47</v>
      </c>
      <c r="AC106">
        <v>66.08</v>
      </c>
      <c r="AD106">
        <v>490</v>
      </c>
      <c r="AE106">
        <v>4700</v>
      </c>
      <c r="AF106">
        <v>81.680000000000007</v>
      </c>
      <c r="AG106">
        <v>0.47</v>
      </c>
      <c r="AH106">
        <v>9.1</v>
      </c>
      <c r="AI106">
        <v>38.020000000000003</v>
      </c>
      <c r="AJ106">
        <v>60</v>
      </c>
      <c r="AK106">
        <v>9</v>
      </c>
      <c r="AL106">
        <v>9</v>
      </c>
      <c r="AM106">
        <v>0.6</v>
      </c>
      <c r="AN106">
        <v>294</v>
      </c>
      <c r="AO106">
        <v>299.36</v>
      </c>
      <c r="AP106">
        <v>355495.16</v>
      </c>
      <c r="AQ106">
        <v>165812.99</v>
      </c>
      <c r="AR106" t="s">
        <v>1016</v>
      </c>
      <c r="AT106" s="6">
        <f t="shared" si="7"/>
        <v>10.826607876712329</v>
      </c>
    </row>
    <row r="107" spans="1:46" x14ac:dyDescent="0.55000000000000004">
      <c r="A107">
        <v>17.61</v>
      </c>
      <c r="B107">
        <v>28.93</v>
      </c>
      <c r="C107">
        <v>5466.19</v>
      </c>
      <c r="D107">
        <v>7.63</v>
      </c>
      <c r="E107" t="s">
        <v>145</v>
      </c>
      <c r="F107" t="s">
        <v>390</v>
      </c>
      <c r="G107" t="s">
        <v>606</v>
      </c>
      <c r="H107" t="s">
        <v>781</v>
      </c>
      <c r="I107">
        <v>0</v>
      </c>
      <c r="J107">
        <v>421.55</v>
      </c>
      <c r="K107">
        <f t="shared" si="4"/>
        <v>45.58</v>
      </c>
      <c r="L107">
        <f t="shared" si="5"/>
        <v>51.51</v>
      </c>
      <c r="M107">
        <f t="shared" si="6"/>
        <v>-5.93</v>
      </c>
      <c r="N107">
        <v>7.02</v>
      </c>
      <c r="O107">
        <v>85.01</v>
      </c>
      <c r="P107">
        <v>73</v>
      </c>
      <c r="Q107">
        <v>15.4</v>
      </c>
      <c r="R107">
        <v>11.32</v>
      </c>
      <c r="S107">
        <v>12.33</v>
      </c>
      <c r="T107">
        <v>5.28</v>
      </c>
      <c r="U107">
        <v>12.97</v>
      </c>
      <c r="V107">
        <v>3498.36</v>
      </c>
      <c r="W107">
        <v>1069.23</v>
      </c>
      <c r="X107">
        <v>1542.31</v>
      </c>
      <c r="Y107">
        <v>820.58</v>
      </c>
      <c r="Z107">
        <v>5.75</v>
      </c>
      <c r="AA107">
        <v>1.66</v>
      </c>
      <c r="AB107">
        <v>4.3099999999999996</v>
      </c>
      <c r="AC107">
        <v>68.19</v>
      </c>
      <c r="AD107">
        <v>490</v>
      </c>
      <c r="AE107">
        <v>4700</v>
      </c>
      <c r="AF107">
        <v>81.41</v>
      </c>
      <c r="AG107">
        <v>0.47</v>
      </c>
      <c r="AH107">
        <v>6.8</v>
      </c>
      <c r="AI107">
        <v>42.86</v>
      </c>
      <c r="AJ107">
        <v>60</v>
      </c>
      <c r="AK107">
        <v>9</v>
      </c>
      <c r="AL107">
        <v>9</v>
      </c>
      <c r="AM107">
        <v>0.53</v>
      </c>
      <c r="AN107">
        <v>294</v>
      </c>
      <c r="AO107">
        <v>298.75</v>
      </c>
      <c r="AP107">
        <v>345033.43</v>
      </c>
      <c r="AQ107">
        <v>134002.75</v>
      </c>
      <c r="AR107" t="s">
        <v>1017</v>
      </c>
      <c r="AT107" s="6">
        <f t="shared" si="7"/>
        <v>12.045130136986302</v>
      </c>
    </row>
    <row r="108" spans="1:46" x14ac:dyDescent="0.55000000000000004">
      <c r="A108">
        <v>16.57</v>
      </c>
      <c r="B108">
        <v>27.87</v>
      </c>
      <c r="C108">
        <v>5491.76</v>
      </c>
      <c r="D108">
        <v>7.61</v>
      </c>
      <c r="E108" t="s">
        <v>146</v>
      </c>
      <c r="F108" t="s">
        <v>391</v>
      </c>
      <c r="G108" t="s">
        <v>616</v>
      </c>
      <c r="H108" t="s">
        <v>782</v>
      </c>
      <c r="I108">
        <v>0</v>
      </c>
      <c r="J108">
        <v>484.24</v>
      </c>
      <c r="K108">
        <f t="shared" si="4"/>
        <v>48.15</v>
      </c>
      <c r="L108">
        <f t="shared" si="5"/>
        <v>54.540000000000006</v>
      </c>
      <c r="M108">
        <f t="shared" si="6"/>
        <v>-6.3900000000000077</v>
      </c>
      <c r="N108">
        <v>7.06</v>
      </c>
      <c r="O108">
        <v>85.33</v>
      </c>
      <c r="P108">
        <v>85</v>
      </c>
      <c r="Q108">
        <v>11.8</v>
      </c>
      <c r="R108">
        <v>11.3</v>
      </c>
      <c r="S108">
        <v>10.17</v>
      </c>
      <c r="T108">
        <v>6.4</v>
      </c>
      <c r="U108">
        <v>11.34</v>
      </c>
      <c r="V108">
        <v>3514.73</v>
      </c>
      <c r="W108">
        <v>1066.01</v>
      </c>
      <c r="X108">
        <v>1462.11</v>
      </c>
      <c r="Y108">
        <v>802.28</v>
      </c>
      <c r="Z108">
        <v>5.74</v>
      </c>
      <c r="AA108">
        <v>1.59</v>
      </c>
      <c r="AB108">
        <v>4.42</v>
      </c>
      <c r="AC108">
        <v>63.84</v>
      </c>
      <c r="AD108">
        <v>490</v>
      </c>
      <c r="AE108">
        <v>4700</v>
      </c>
      <c r="AF108">
        <v>81.260000000000005</v>
      </c>
      <c r="AG108">
        <v>0.47</v>
      </c>
      <c r="AH108">
        <v>7.86</v>
      </c>
      <c r="AI108">
        <v>40.47</v>
      </c>
      <c r="AJ108">
        <v>60</v>
      </c>
      <c r="AK108">
        <v>9</v>
      </c>
      <c r="AL108">
        <v>9</v>
      </c>
      <c r="AM108">
        <v>0.56000000000000005</v>
      </c>
      <c r="AN108">
        <v>294</v>
      </c>
      <c r="AO108">
        <v>299.02999999999997</v>
      </c>
      <c r="AP108">
        <v>347420.99</v>
      </c>
      <c r="AQ108">
        <v>150745.51</v>
      </c>
      <c r="AR108" t="s">
        <v>1018</v>
      </c>
      <c r="AT108" s="6">
        <f t="shared" si="7"/>
        <v>11.225769406392693</v>
      </c>
    </row>
    <row r="109" spans="1:46" x14ac:dyDescent="0.55000000000000004">
      <c r="A109">
        <v>17.059999999999999</v>
      </c>
      <c r="B109">
        <v>28.29</v>
      </c>
      <c r="C109">
        <v>5480.94</v>
      </c>
      <c r="D109">
        <v>7.6</v>
      </c>
      <c r="E109" t="s">
        <v>147</v>
      </c>
      <c r="F109" t="s">
        <v>392</v>
      </c>
      <c r="G109" t="s">
        <v>617</v>
      </c>
      <c r="H109" t="s">
        <v>783</v>
      </c>
      <c r="I109">
        <v>0</v>
      </c>
      <c r="J109">
        <v>528.70000000000005</v>
      </c>
      <c r="K109">
        <f t="shared" si="4"/>
        <v>50.38</v>
      </c>
      <c r="L109">
        <f t="shared" si="5"/>
        <v>57.17</v>
      </c>
      <c r="M109">
        <f t="shared" si="6"/>
        <v>-6.7899999999999991</v>
      </c>
      <c r="N109">
        <v>7.1</v>
      </c>
      <c r="O109">
        <v>85.06</v>
      </c>
      <c r="P109">
        <v>79</v>
      </c>
      <c r="Q109">
        <v>13.8</v>
      </c>
      <c r="R109">
        <v>11.23</v>
      </c>
      <c r="S109">
        <v>11.47</v>
      </c>
      <c r="T109">
        <v>5.59</v>
      </c>
      <c r="U109">
        <v>10.37</v>
      </c>
      <c r="V109">
        <v>3507.8</v>
      </c>
      <c r="W109">
        <v>1059.79</v>
      </c>
      <c r="X109">
        <v>1413.72</v>
      </c>
      <c r="Y109">
        <v>789.44</v>
      </c>
      <c r="Z109">
        <v>5.73</v>
      </c>
      <c r="AA109">
        <v>1.58</v>
      </c>
      <c r="AB109">
        <v>4.4400000000000004</v>
      </c>
      <c r="AC109">
        <v>66.75</v>
      </c>
      <c r="AD109">
        <v>490</v>
      </c>
      <c r="AE109">
        <v>4700</v>
      </c>
      <c r="AF109">
        <v>80.739999999999995</v>
      </c>
      <c r="AG109">
        <v>0.47</v>
      </c>
      <c r="AH109">
        <v>8.6199999999999992</v>
      </c>
      <c r="AI109">
        <v>38.61</v>
      </c>
      <c r="AJ109">
        <v>60</v>
      </c>
      <c r="AK109">
        <v>9</v>
      </c>
      <c r="AL109">
        <v>9</v>
      </c>
      <c r="AM109">
        <v>0.59</v>
      </c>
      <c r="AN109">
        <v>294</v>
      </c>
      <c r="AO109">
        <v>299.27999999999997</v>
      </c>
      <c r="AP109">
        <v>349550.02</v>
      </c>
      <c r="AQ109">
        <v>162994.74</v>
      </c>
      <c r="AR109" t="s">
        <v>1019</v>
      </c>
      <c r="AT109" s="6">
        <f t="shared" si="7"/>
        <v>10.648132420091326</v>
      </c>
    </row>
    <row r="110" spans="1:46" x14ac:dyDescent="0.55000000000000004">
      <c r="A110">
        <v>18.059999999999999</v>
      </c>
      <c r="B110">
        <v>29.3</v>
      </c>
      <c r="C110">
        <v>5457.71</v>
      </c>
      <c r="D110">
        <v>7.59</v>
      </c>
      <c r="E110" t="s">
        <v>148</v>
      </c>
      <c r="F110" t="s">
        <v>393</v>
      </c>
      <c r="G110" t="s">
        <v>612</v>
      </c>
      <c r="H110" t="s">
        <v>784</v>
      </c>
      <c r="I110">
        <v>0</v>
      </c>
      <c r="J110">
        <v>777.46</v>
      </c>
      <c r="K110">
        <f t="shared" si="4"/>
        <v>66.539999999999992</v>
      </c>
      <c r="L110">
        <f t="shared" si="5"/>
        <v>77.44</v>
      </c>
      <c r="M110">
        <f t="shared" si="6"/>
        <v>-10.900000000000006</v>
      </c>
      <c r="N110">
        <v>7.27</v>
      </c>
      <c r="O110">
        <v>84.81</v>
      </c>
      <c r="P110">
        <v>72</v>
      </c>
      <c r="Q110">
        <v>16.100000000000001</v>
      </c>
      <c r="R110">
        <v>11.23</v>
      </c>
      <c r="S110">
        <v>12.87</v>
      </c>
      <c r="T110">
        <v>5.19</v>
      </c>
      <c r="U110">
        <v>7.02</v>
      </c>
      <c r="V110">
        <v>3492.93</v>
      </c>
      <c r="W110">
        <v>1039.9000000000001</v>
      </c>
      <c r="X110">
        <v>1241.6400000000001</v>
      </c>
      <c r="Y110">
        <v>744.38</v>
      </c>
      <c r="Z110">
        <v>5.16</v>
      </c>
      <c r="AA110">
        <v>1.53</v>
      </c>
      <c r="AB110">
        <v>4.54</v>
      </c>
      <c r="AC110">
        <v>68.400000000000006</v>
      </c>
      <c r="AD110">
        <v>490</v>
      </c>
      <c r="AE110">
        <v>4700</v>
      </c>
      <c r="AF110">
        <v>80.790000000000006</v>
      </c>
      <c r="AG110">
        <v>0.47</v>
      </c>
      <c r="AH110">
        <v>13.42</v>
      </c>
      <c r="AI110">
        <v>26.31</v>
      </c>
      <c r="AJ110">
        <v>60</v>
      </c>
      <c r="AK110">
        <v>9</v>
      </c>
      <c r="AL110">
        <v>9</v>
      </c>
      <c r="AM110">
        <v>0.86</v>
      </c>
      <c r="AN110">
        <v>294</v>
      </c>
      <c r="AO110">
        <v>301.74</v>
      </c>
      <c r="AP110">
        <v>363625.41</v>
      </c>
      <c r="AQ110">
        <v>218822.04</v>
      </c>
      <c r="AR110" t="s">
        <v>1020</v>
      </c>
      <c r="AT110" s="6">
        <f t="shared" si="7"/>
        <v>8.2650325342465738</v>
      </c>
    </row>
    <row r="111" spans="1:46" x14ac:dyDescent="0.55000000000000004">
      <c r="A111">
        <v>16.649999999999999</v>
      </c>
      <c r="B111">
        <v>27.98</v>
      </c>
      <c r="C111">
        <v>5488.39</v>
      </c>
      <c r="D111">
        <v>7.61</v>
      </c>
      <c r="E111" t="s">
        <v>149</v>
      </c>
      <c r="F111" t="s">
        <v>394</v>
      </c>
      <c r="G111" t="s">
        <v>618</v>
      </c>
      <c r="H111" t="s">
        <v>785</v>
      </c>
      <c r="I111">
        <v>0</v>
      </c>
      <c r="J111">
        <v>624.83000000000004</v>
      </c>
      <c r="K111">
        <f t="shared" si="4"/>
        <v>55.89</v>
      </c>
      <c r="L111">
        <f t="shared" si="5"/>
        <v>63.69</v>
      </c>
      <c r="M111">
        <f t="shared" si="6"/>
        <v>-7.7999999999999972</v>
      </c>
      <c r="N111">
        <v>7.17</v>
      </c>
      <c r="O111">
        <v>85.12</v>
      </c>
      <c r="P111">
        <v>88</v>
      </c>
      <c r="Q111">
        <v>11</v>
      </c>
      <c r="R111">
        <v>11.33</v>
      </c>
      <c r="S111">
        <v>9.6999999999999993</v>
      </c>
      <c r="T111">
        <v>6.95</v>
      </c>
      <c r="U111">
        <v>8.7799999999999994</v>
      </c>
      <c r="V111">
        <v>3512.57</v>
      </c>
      <c r="W111">
        <v>1054.23</v>
      </c>
      <c r="X111">
        <v>1338.55</v>
      </c>
      <c r="Y111">
        <v>771.38</v>
      </c>
      <c r="Z111">
        <v>5.7</v>
      </c>
      <c r="AA111">
        <v>1.56</v>
      </c>
      <c r="AB111">
        <v>4.5</v>
      </c>
      <c r="AC111">
        <v>61.98</v>
      </c>
      <c r="AD111">
        <v>490</v>
      </c>
      <c r="AE111">
        <v>4700</v>
      </c>
      <c r="AF111">
        <v>81.489999999999995</v>
      </c>
      <c r="AG111">
        <v>0.47</v>
      </c>
      <c r="AH111">
        <v>10.47</v>
      </c>
      <c r="AI111">
        <v>34.65</v>
      </c>
      <c r="AJ111">
        <v>60</v>
      </c>
      <c r="AK111">
        <v>9</v>
      </c>
      <c r="AL111">
        <v>9</v>
      </c>
      <c r="AM111">
        <v>0.65</v>
      </c>
      <c r="AN111">
        <v>294</v>
      </c>
      <c r="AO111">
        <v>299.88</v>
      </c>
      <c r="AP111">
        <v>354465.28000000003</v>
      </c>
      <c r="AQ111">
        <v>193993.44</v>
      </c>
      <c r="AR111" t="s">
        <v>1021</v>
      </c>
      <c r="AT111" s="6">
        <f t="shared" si="7"/>
        <v>9.159351598173517</v>
      </c>
    </row>
    <row r="112" spans="1:46" x14ac:dyDescent="0.55000000000000004">
      <c r="A112">
        <v>17.25</v>
      </c>
      <c r="B112">
        <v>28.56</v>
      </c>
      <c r="C112">
        <v>5477.47</v>
      </c>
      <c r="D112">
        <v>7.57</v>
      </c>
      <c r="E112" t="s">
        <v>150</v>
      </c>
      <c r="F112" t="s">
        <v>395</v>
      </c>
      <c r="G112" t="s">
        <v>619</v>
      </c>
      <c r="H112" t="s">
        <v>786</v>
      </c>
      <c r="I112">
        <v>0</v>
      </c>
      <c r="J112">
        <v>629.09</v>
      </c>
      <c r="K112">
        <f t="shared" si="4"/>
        <v>55.18</v>
      </c>
      <c r="L112">
        <f t="shared" si="5"/>
        <v>62.85</v>
      </c>
      <c r="M112">
        <f t="shared" si="6"/>
        <v>-7.6700000000000017</v>
      </c>
      <c r="N112">
        <v>7.16</v>
      </c>
      <c r="O112">
        <v>85.14</v>
      </c>
      <c r="P112">
        <v>78</v>
      </c>
      <c r="Q112">
        <v>14.4</v>
      </c>
      <c r="R112">
        <v>11.31</v>
      </c>
      <c r="S112">
        <v>11.93</v>
      </c>
      <c r="T112">
        <v>5.31</v>
      </c>
      <c r="U112">
        <v>8.7100000000000009</v>
      </c>
      <c r="V112">
        <v>3505.58</v>
      </c>
      <c r="W112">
        <v>1050.57</v>
      </c>
      <c r="X112">
        <v>1323.55</v>
      </c>
      <c r="Y112">
        <v>766.09</v>
      </c>
      <c r="Z112">
        <v>5.71</v>
      </c>
      <c r="AA112">
        <v>1.52</v>
      </c>
      <c r="AB112">
        <v>4.53</v>
      </c>
      <c r="AC112">
        <v>68.040000000000006</v>
      </c>
      <c r="AD112">
        <v>490</v>
      </c>
      <c r="AE112">
        <v>4700</v>
      </c>
      <c r="AF112">
        <v>81.349999999999994</v>
      </c>
      <c r="AG112">
        <v>0.47</v>
      </c>
      <c r="AH112">
        <v>10.56</v>
      </c>
      <c r="AI112">
        <v>35.119999999999997</v>
      </c>
      <c r="AJ112">
        <v>60</v>
      </c>
      <c r="AK112">
        <v>9</v>
      </c>
      <c r="AL112">
        <v>9</v>
      </c>
      <c r="AM112">
        <v>0.64</v>
      </c>
      <c r="AN112">
        <v>294</v>
      </c>
      <c r="AO112">
        <v>299.8</v>
      </c>
      <c r="AP112">
        <v>352943.02</v>
      </c>
      <c r="AQ112">
        <v>196961.82</v>
      </c>
      <c r="AR112" t="s">
        <v>1022</v>
      </c>
      <c r="AT112" s="6">
        <f t="shared" si="7"/>
        <v>8.9030365296803655</v>
      </c>
    </row>
    <row r="113" spans="1:46" x14ac:dyDescent="0.55000000000000004">
      <c r="A113">
        <v>16.48</v>
      </c>
      <c r="B113">
        <v>27.77</v>
      </c>
      <c r="C113">
        <v>5505.31</v>
      </c>
      <c r="D113">
        <v>7.59</v>
      </c>
      <c r="E113" t="s">
        <v>151</v>
      </c>
      <c r="F113" t="s">
        <v>396</v>
      </c>
      <c r="G113" t="s">
        <v>620</v>
      </c>
      <c r="H113" t="s">
        <v>787</v>
      </c>
      <c r="I113">
        <v>0</v>
      </c>
      <c r="J113">
        <v>240.56</v>
      </c>
      <c r="K113">
        <f t="shared" si="4"/>
        <v>38.989999999999995</v>
      </c>
      <c r="L113">
        <f t="shared" si="5"/>
        <v>43.08</v>
      </c>
      <c r="M113">
        <f t="shared" si="6"/>
        <v>-4.0900000000000034</v>
      </c>
      <c r="N113">
        <v>6.89</v>
      </c>
      <c r="O113">
        <v>85.11</v>
      </c>
      <c r="P113">
        <v>81</v>
      </c>
      <c r="Q113">
        <v>12.8</v>
      </c>
      <c r="R113">
        <v>11.29</v>
      </c>
      <c r="S113">
        <v>10.72</v>
      </c>
      <c r="T113">
        <v>5.75</v>
      </c>
      <c r="U113">
        <v>22.89</v>
      </c>
      <c r="V113">
        <v>3523.4</v>
      </c>
      <c r="W113">
        <v>1120.31</v>
      </c>
      <c r="X113">
        <v>2029.97</v>
      </c>
      <c r="Y113">
        <v>944.93</v>
      </c>
      <c r="Z113">
        <v>6.33</v>
      </c>
      <c r="AA113">
        <v>1.74</v>
      </c>
      <c r="AB113">
        <v>4.1100000000000003</v>
      </c>
      <c r="AC113">
        <v>66.25</v>
      </c>
      <c r="AD113">
        <v>490</v>
      </c>
      <c r="AE113">
        <v>4700</v>
      </c>
      <c r="AF113">
        <v>81.22</v>
      </c>
      <c r="AG113">
        <v>0.47</v>
      </c>
      <c r="AH113">
        <v>3.71</v>
      </c>
      <c r="AI113">
        <v>55.17</v>
      </c>
      <c r="AJ113">
        <v>60</v>
      </c>
      <c r="AK113">
        <v>9</v>
      </c>
      <c r="AL113">
        <v>9</v>
      </c>
      <c r="AM113">
        <v>0.41</v>
      </c>
      <c r="AN113">
        <v>294</v>
      </c>
      <c r="AO113">
        <v>297.69</v>
      </c>
      <c r="AP113">
        <v>339758.59</v>
      </c>
      <c r="AQ113">
        <v>117340.5</v>
      </c>
      <c r="AR113" t="s">
        <v>1023</v>
      </c>
      <c r="AT113" s="6">
        <f t="shared" si="7"/>
        <v>12.695096461187216</v>
      </c>
    </row>
    <row r="114" spans="1:46" x14ac:dyDescent="0.55000000000000004">
      <c r="A114">
        <v>16.739999999999998</v>
      </c>
      <c r="B114">
        <v>28.04</v>
      </c>
      <c r="C114">
        <v>5496.99</v>
      </c>
      <c r="D114">
        <v>7.6</v>
      </c>
      <c r="E114" t="s">
        <v>152</v>
      </c>
      <c r="F114" t="s">
        <v>397</v>
      </c>
      <c r="G114" t="s">
        <v>611</v>
      </c>
      <c r="H114" t="s">
        <v>788</v>
      </c>
      <c r="I114">
        <v>0</v>
      </c>
      <c r="J114">
        <v>383.87</v>
      </c>
      <c r="K114">
        <f t="shared" si="4"/>
        <v>44.31</v>
      </c>
      <c r="L114">
        <f t="shared" si="5"/>
        <v>49.99</v>
      </c>
      <c r="M114">
        <f t="shared" si="6"/>
        <v>-5.68</v>
      </c>
      <c r="N114">
        <v>7</v>
      </c>
      <c r="O114">
        <v>85.06</v>
      </c>
      <c r="P114">
        <v>84</v>
      </c>
      <c r="Q114">
        <v>12.4</v>
      </c>
      <c r="R114">
        <v>11.31</v>
      </c>
      <c r="S114">
        <v>10.65</v>
      </c>
      <c r="T114">
        <v>6.09</v>
      </c>
      <c r="U114">
        <v>14.32</v>
      </c>
      <c r="V114">
        <v>3518.07</v>
      </c>
      <c r="W114">
        <v>1082.24</v>
      </c>
      <c r="X114">
        <v>1622.77</v>
      </c>
      <c r="Y114">
        <v>843.74</v>
      </c>
      <c r="Z114">
        <v>5.76</v>
      </c>
      <c r="AA114">
        <v>1.65</v>
      </c>
      <c r="AB114">
        <v>4.3099999999999996</v>
      </c>
      <c r="AC114">
        <v>65.010000000000005</v>
      </c>
      <c r="AD114">
        <v>490</v>
      </c>
      <c r="AE114">
        <v>4700</v>
      </c>
      <c r="AF114">
        <v>81.31</v>
      </c>
      <c r="AG114">
        <v>0.47</v>
      </c>
      <c r="AH114">
        <v>6.1</v>
      </c>
      <c r="AI114">
        <v>44.15</v>
      </c>
      <c r="AJ114">
        <v>60</v>
      </c>
      <c r="AK114">
        <v>9</v>
      </c>
      <c r="AL114">
        <v>9</v>
      </c>
      <c r="AM114">
        <v>0.51</v>
      </c>
      <c r="AN114">
        <v>294</v>
      </c>
      <c r="AO114">
        <v>298.61</v>
      </c>
      <c r="AP114">
        <v>343771.28</v>
      </c>
      <c r="AQ114">
        <v>123769.12</v>
      </c>
      <c r="AR114" t="s">
        <v>1024</v>
      </c>
      <c r="AT114" s="6">
        <f t="shared" si="7"/>
        <v>12.557200913242012</v>
      </c>
    </row>
    <row r="115" spans="1:46" x14ac:dyDescent="0.55000000000000004">
      <c r="A115">
        <v>16.91</v>
      </c>
      <c r="B115">
        <v>28.25</v>
      </c>
      <c r="C115">
        <v>5486.5</v>
      </c>
      <c r="D115">
        <v>7.61</v>
      </c>
      <c r="E115" t="s">
        <v>153</v>
      </c>
      <c r="F115" t="s">
        <v>398</v>
      </c>
      <c r="G115" t="s">
        <v>621</v>
      </c>
      <c r="H115" t="s">
        <v>789</v>
      </c>
      <c r="I115">
        <v>0</v>
      </c>
      <c r="J115">
        <v>531.86</v>
      </c>
      <c r="K115">
        <f t="shared" si="4"/>
        <v>50.089999999999996</v>
      </c>
      <c r="L115">
        <f t="shared" si="5"/>
        <v>56.83</v>
      </c>
      <c r="M115">
        <f t="shared" si="6"/>
        <v>-6.740000000000002</v>
      </c>
      <c r="N115">
        <v>7.09</v>
      </c>
      <c r="O115">
        <v>84.95</v>
      </c>
      <c r="P115">
        <v>80</v>
      </c>
      <c r="Q115">
        <v>13.6</v>
      </c>
      <c r="R115">
        <v>11.35</v>
      </c>
      <c r="S115">
        <v>11.38</v>
      </c>
      <c r="T115">
        <v>5.52</v>
      </c>
      <c r="U115">
        <v>10.32</v>
      </c>
      <c r="V115">
        <v>3511.36</v>
      </c>
      <c r="W115">
        <v>1059.6400000000001</v>
      </c>
      <c r="X115">
        <v>1405.25</v>
      </c>
      <c r="Y115">
        <v>787.28</v>
      </c>
      <c r="Z115">
        <v>5.73</v>
      </c>
      <c r="AA115">
        <v>1.58</v>
      </c>
      <c r="AB115">
        <v>4.45</v>
      </c>
      <c r="AC115">
        <v>67.260000000000005</v>
      </c>
      <c r="AD115">
        <v>490</v>
      </c>
      <c r="AE115">
        <v>4700</v>
      </c>
      <c r="AF115">
        <v>81.59</v>
      </c>
      <c r="AG115">
        <v>0.47</v>
      </c>
      <c r="AH115">
        <v>8.76</v>
      </c>
      <c r="AI115">
        <v>38.83</v>
      </c>
      <c r="AJ115">
        <v>60</v>
      </c>
      <c r="AK115">
        <v>9</v>
      </c>
      <c r="AL115">
        <v>9</v>
      </c>
      <c r="AM115">
        <v>0.57999999999999996</v>
      </c>
      <c r="AN115">
        <v>294</v>
      </c>
      <c r="AO115">
        <v>299.25</v>
      </c>
      <c r="AP115">
        <v>349036.19</v>
      </c>
      <c r="AQ115">
        <v>165231.26</v>
      </c>
      <c r="AR115" t="s">
        <v>1025</v>
      </c>
      <c r="AT115" s="6">
        <f t="shared" si="7"/>
        <v>10.491148972602739</v>
      </c>
    </row>
    <row r="116" spans="1:46" x14ac:dyDescent="0.55000000000000004">
      <c r="A116">
        <v>16.8</v>
      </c>
      <c r="B116">
        <v>28.12</v>
      </c>
      <c r="C116">
        <v>5496.05</v>
      </c>
      <c r="D116">
        <v>7.59</v>
      </c>
      <c r="E116" t="s">
        <v>154</v>
      </c>
      <c r="F116" t="s">
        <v>399</v>
      </c>
      <c r="G116" t="s">
        <v>622</v>
      </c>
      <c r="H116" t="s">
        <v>790</v>
      </c>
      <c r="I116">
        <v>0</v>
      </c>
      <c r="J116">
        <v>556.54</v>
      </c>
      <c r="K116">
        <f t="shared" si="4"/>
        <v>50.999999999999993</v>
      </c>
      <c r="L116">
        <f t="shared" si="5"/>
        <v>57.910000000000004</v>
      </c>
      <c r="M116">
        <f t="shared" si="6"/>
        <v>-6.9100000000000108</v>
      </c>
      <c r="N116">
        <v>7.1</v>
      </c>
      <c r="O116">
        <v>84.98</v>
      </c>
      <c r="P116">
        <v>81</v>
      </c>
      <c r="Q116">
        <v>13.1</v>
      </c>
      <c r="R116">
        <v>11.32</v>
      </c>
      <c r="S116">
        <v>11.01</v>
      </c>
      <c r="T116">
        <v>5.79</v>
      </c>
      <c r="U116">
        <v>9.8800000000000008</v>
      </c>
      <c r="V116">
        <v>3517.47</v>
      </c>
      <c r="W116">
        <v>1058.77</v>
      </c>
      <c r="X116">
        <v>1380.45</v>
      </c>
      <c r="Y116">
        <v>781.52</v>
      </c>
      <c r="Z116">
        <v>5.73</v>
      </c>
      <c r="AA116">
        <v>1.56</v>
      </c>
      <c r="AB116">
        <v>4.4800000000000004</v>
      </c>
      <c r="AC116">
        <v>66.180000000000007</v>
      </c>
      <c r="AD116">
        <v>490</v>
      </c>
      <c r="AE116">
        <v>4700</v>
      </c>
      <c r="AF116">
        <v>81.42</v>
      </c>
      <c r="AG116">
        <v>0.47</v>
      </c>
      <c r="AH116">
        <v>9.17</v>
      </c>
      <c r="AI116">
        <v>38.119999999999997</v>
      </c>
      <c r="AJ116">
        <v>60</v>
      </c>
      <c r="AK116">
        <v>9</v>
      </c>
      <c r="AL116">
        <v>9</v>
      </c>
      <c r="AM116">
        <v>0.59</v>
      </c>
      <c r="AN116">
        <v>294</v>
      </c>
      <c r="AO116">
        <v>299.33999999999997</v>
      </c>
      <c r="AP116">
        <v>349634.16</v>
      </c>
      <c r="AQ116">
        <v>173533.12</v>
      </c>
      <c r="AR116" t="s">
        <v>1026</v>
      </c>
      <c r="AT116" s="6">
        <f t="shared" si="7"/>
        <v>10.051429223744291</v>
      </c>
    </row>
    <row r="117" spans="1:46" x14ac:dyDescent="0.55000000000000004">
      <c r="A117">
        <v>16.73</v>
      </c>
      <c r="B117">
        <v>28.04</v>
      </c>
      <c r="C117">
        <v>5511.54</v>
      </c>
      <c r="D117">
        <v>7.6</v>
      </c>
      <c r="E117" t="s">
        <v>155</v>
      </c>
      <c r="F117" t="s">
        <v>400</v>
      </c>
      <c r="G117" t="s">
        <v>623</v>
      </c>
      <c r="H117" t="s">
        <v>791</v>
      </c>
      <c r="I117">
        <v>0</v>
      </c>
      <c r="J117">
        <v>665.76</v>
      </c>
      <c r="K117">
        <f t="shared" si="4"/>
        <v>57.919999999999995</v>
      </c>
      <c r="L117">
        <f t="shared" si="5"/>
        <v>65.02000000000001</v>
      </c>
      <c r="M117">
        <f t="shared" si="6"/>
        <v>-7.1000000000000156</v>
      </c>
      <c r="N117">
        <v>7.19</v>
      </c>
      <c r="O117">
        <v>84.69</v>
      </c>
      <c r="P117">
        <v>81</v>
      </c>
      <c r="Q117">
        <v>12.9</v>
      </c>
      <c r="R117">
        <v>11.31</v>
      </c>
      <c r="S117">
        <v>10.82</v>
      </c>
      <c r="T117">
        <v>5.91</v>
      </c>
      <c r="U117">
        <v>8.2799999999999994</v>
      </c>
      <c r="V117">
        <v>3527.39</v>
      </c>
      <c r="W117">
        <v>1055.8800000000001</v>
      </c>
      <c r="X117">
        <v>1314.96</v>
      </c>
      <c r="Y117">
        <v>767.15</v>
      </c>
      <c r="Z117">
        <v>5.79</v>
      </c>
      <c r="AA117">
        <v>1.54</v>
      </c>
      <c r="AB117">
        <v>4.5199999999999996</v>
      </c>
      <c r="AC117">
        <v>65.69</v>
      </c>
      <c r="AD117">
        <v>490</v>
      </c>
      <c r="AE117">
        <v>4700</v>
      </c>
      <c r="AF117">
        <v>81.34</v>
      </c>
      <c r="AG117">
        <v>0.47</v>
      </c>
      <c r="AH117">
        <v>11.17</v>
      </c>
      <c r="AI117">
        <v>33.950000000000003</v>
      </c>
      <c r="AJ117">
        <v>60</v>
      </c>
      <c r="AK117">
        <v>9</v>
      </c>
      <c r="AL117">
        <v>9</v>
      </c>
      <c r="AM117">
        <v>0.67</v>
      </c>
      <c r="AN117">
        <v>294</v>
      </c>
      <c r="AO117">
        <v>300</v>
      </c>
      <c r="AP117">
        <v>363289.98</v>
      </c>
      <c r="AQ117">
        <v>203125.02</v>
      </c>
      <c r="AR117" t="s">
        <v>1027</v>
      </c>
      <c r="AT117" s="6">
        <f t="shared" si="7"/>
        <v>9.141835616438355</v>
      </c>
    </row>
    <row r="118" spans="1:46" x14ac:dyDescent="0.55000000000000004">
      <c r="A118">
        <v>16.809999999999999</v>
      </c>
      <c r="B118">
        <v>28.19</v>
      </c>
      <c r="C118">
        <v>5489.93</v>
      </c>
      <c r="D118">
        <v>7.6</v>
      </c>
      <c r="E118" t="s">
        <v>156</v>
      </c>
      <c r="F118" t="s">
        <v>401</v>
      </c>
      <c r="G118" t="s">
        <v>624</v>
      </c>
      <c r="H118" t="s">
        <v>792</v>
      </c>
      <c r="I118">
        <v>0</v>
      </c>
      <c r="J118">
        <v>703.32</v>
      </c>
      <c r="K118">
        <f t="shared" si="4"/>
        <v>61.94</v>
      </c>
      <c r="L118">
        <f t="shared" si="5"/>
        <v>69.72</v>
      </c>
      <c r="M118">
        <f t="shared" si="6"/>
        <v>-7.7800000000000011</v>
      </c>
      <c r="N118">
        <v>7.23</v>
      </c>
      <c r="O118">
        <v>85.09</v>
      </c>
      <c r="P118">
        <v>79</v>
      </c>
      <c r="Q118">
        <v>13.2</v>
      </c>
      <c r="R118">
        <v>11.38</v>
      </c>
      <c r="S118">
        <v>10.89</v>
      </c>
      <c r="T118">
        <v>5.91</v>
      </c>
      <c r="U118">
        <v>7.81</v>
      </c>
      <c r="V118">
        <v>3513.56</v>
      </c>
      <c r="W118">
        <v>1050.51</v>
      </c>
      <c r="X118">
        <v>1293.68</v>
      </c>
      <c r="Y118">
        <v>760.51</v>
      </c>
      <c r="Z118">
        <v>5.77</v>
      </c>
      <c r="AA118">
        <v>1.53</v>
      </c>
      <c r="AB118">
        <v>4.54</v>
      </c>
      <c r="AC118">
        <v>65.81</v>
      </c>
      <c r="AD118">
        <v>490</v>
      </c>
      <c r="AE118">
        <v>4700</v>
      </c>
      <c r="AF118">
        <v>81.84</v>
      </c>
      <c r="AG118">
        <v>0.47</v>
      </c>
      <c r="AH118">
        <v>12.03</v>
      </c>
      <c r="AI118">
        <v>31.66</v>
      </c>
      <c r="AJ118">
        <v>60</v>
      </c>
      <c r="AK118">
        <v>9</v>
      </c>
      <c r="AL118">
        <v>9</v>
      </c>
      <c r="AM118">
        <v>0.72</v>
      </c>
      <c r="AN118">
        <v>294</v>
      </c>
      <c r="AO118">
        <v>300.44</v>
      </c>
      <c r="AP118">
        <v>370954.27</v>
      </c>
      <c r="AQ118">
        <v>219913.44</v>
      </c>
      <c r="AR118" t="s">
        <v>1028</v>
      </c>
      <c r="AT118" s="6">
        <f t="shared" si="7"/>
        <v>8.6210519406392709</v>
      </c>
    </row>
    <row r="119" spans="1:46" x14ac:dyDescent="0.55000000000000004">
      <c r="A119">
        <v>16.87</v>
      </c>
      <c r="B119">
        <v>28.17</v>
      </c>
      <c r="C119">
        <v>5493.35</v>
      </c>
      <c r="D119">
        <v>7.59</v>
      </c>
      <c r="E119" t="s">
        <v>157</v>
      </c>
      <c r="F119" t="s">
        <v>402</v>
      </c>
      <c r="G119" t="s">
        <v>613</v>
      </c>
      <c r="H119" t="s">
        <v>793</v>
      </c>
      <c r="I119">
        <v>0</v>
      </c>
      <c r="J119">
        <v>513.38</v>
      </c>
      <c r="K119">
        <f t="shared" si="4"/>
        <v>49.220000000000006</v>
      </c>
      <c r="L119">
        <f t="shared" si="5"/>
        <v>55.8</v>
      </c>
      <c r="M119">
        <f t="shared" si="6"/>
        <v>-6.5799999999999912</v>
      </c>
      <c r="N119">
        <v>7.08</v>
      </c>
      <c r="O119">
        <v>84.96</v>
      </c>
      <c r="P119">
        <v>79</v>
      </c>
      <c r="Q119">
        <v>13.6</v>
      </c>
      <c r="R119">
        <v>11.29</v>
      </c>
      <c r="S119">
        <v>11.28</v>
      </c>
      <c r="T119">
        <v>5.6</v>
      </c>
      <c r="U119">
        <v>10.7</v>
      </c>
      <c r="V119">
        <v>3515.74</v>
      </c>
      <c r="W119">
        <v>1063.07</v>
      </c>
      <c r="X119">
        <v>1428.39</v>
      </c>
      <c r="Y119">
        <v>793.82</v>
      </c>
      <c r="Z119">
        <v>5.73</v>
      </c>
      <c r="AA119">
        <v>1.57</v>
      </c>
      <c r="AB119">
        <v>4.45</v>
      </c>
      <c r="AC119">
        <v>66.87</v>
      </c>
      <c r="AD119">
        <v>490</v>
      </c>
      <c r="AE119">
        <v>4700</v>
      </c>
      <c r="AF119">
        <v>81.209999999999994</v>
      </c>
      <c r="AG119">
        <v>0.47</v>
      </c>
      <c r="AH119">
        <v>8.3699999999999992</v>
      </c>
      <c r="AI119">
        <v>39.549999999999997</v>
      </c>
      <c r="AJ119">
        <v>60</v>
      </c>
      <c r="AK119">
        <v>9</v>
      </c>
      <c r="AL119">
        <v>9</v>
      </c>
      <c r="AM119">
        <v>0.56999999999999995</v>
      </c>
      <c r="AN119">
        <v>294</v>
      </c>
      <c r="AO119">
        <v>299.14999999999998</v>
      </c>
      <c r="AP119">
        <v>347367.3</v>
      </c>
      <c r="AQ119">
        <v>158721.67000000001</v>
      </c>
      <c r="AR119" t="s">
        <v>1029</v>
      </c>
      <c r="AT119" s="6">
        <f t="shared" si="7"/>
        <v>10.767444634703194</v>
      </c>
    </row>
    <row r="120" spans="1:46" x14ac:dyDescent="0.55000000000000004">
      <c r="A120">
        <v>16.850000000000001</v>
      </c>
      <c r="B120">
        <v>28.18</v>
      </c>
      <c r="C120">
        <v>5500.52</v>
      </c>
      <c r="D120">
        <v>7.61</v>
      </c>
      <c r="E120" t="s">
        <v>158</v>
      </c>
      <c r="F120" t="s">
        <v>403</v>
      </c>
      <c r="G120" t="s">
        <v>625</v>
      </c>
      <c r="H120" t="s">
        <v>794</v>
      </c>
      <c r="I120">
        <v>0</v>
      </c>
      <c r="J120">
        <v>248.05</v>
      </c>
      <c r="K120">
        <f t="shared" si="4"/>
        <v>39.72</v>
      </c>
      <c r="L120">
        <f t="shared" si="5"/>
        <v>43.98</v>
      </c>
      <c r="M120">
        <f t="shared" si="6"/>
        <v>-4.259999999999998</v>
      </c>
      <c r="N120">
        <v>6.91</v>
      </c>
      <c r="O120">
        <v>84.9</v>
      </c>
      <c r="P120">
        <v>85</v>
      </c>
      <c r="Q120">
        <v>12.5</v>
      </c>
      <c r="R120">
        <v>11.33</v>
      </c>
      <c r="S120">
        <v>10.85</v>
      </c>
      <c r="T120">
        <v>6</v>
      </c>
      <c r="U120">
        <v>22.17</v>
      </c>
      <c r="V120">
        <v>3520.33</v>
      </c>
      <c r="W120">
        <v>1120.22</v>
      </c>
      <c r="X120">
        <v>2023.37</v>
      </c>
      <c r="Y120">
        <v>944.96</v>
      </c>
      <c r="Z120">
        <v>6.32</v>
      </c>
      <c r="AA120">
        <v>1.76</v>
      </c>
      <c r="AB120">
        <v>4.08</v>
      </c>
      <c r="AC120">
        <v>65.38</v>
      </c>
      <c r="AD120">
        <v>490</v>
      </c>
      <c r="AE120">
        <v>4700</v>
      </c>
      <c r="AF120">
        <v>81.459999999999994</v>
      </c>
      <c r="AG120">
        <v>0.47</v>
      </c>
      <c r="AH120">
        <v>3.85</v>
      </c>
      <c r="AI120">
        <v>54.05</v>
      </c>
      <c r="AJ120">
        <v>60</v>
      </c>
      <c r="AK120">
        <v>9</v>
      </c>
      <c r="AL120">
        <v>9</v>
      </c>
      <c r="AM120">
        <v>0.42</v>
      </c>
      <c r="AN120">
        <v>294</v>
      </c>
      <c r="AO120">
        <v>297.77</v>
      </c>
      <c r="AP120">
        <v>339986.26</v>
      </c>
      <c r="AQ120">
        <v>116329.79</v>
      </c>
      <c r="AR120" t="s">
        <v>1030</v>
      </c>
      <c r="AT120" s="6">
        <f t="shared" si="7"/>
        <v>12.765780251141555</v>
      </c>
    </row>
    <row r="121" spans="1:46" x14ac:dyDescent="0.55000000000000004">
      <c r="A121">
        <v>17.11</v>
      </c>
      <c r="B121">
        <v>28.43</v>
      </c>
      <c r="C121">
        <v>5478.82</v>
      </c>
      <c r="D121">
        <v>7.59</v>
      </c>
      <c r="E121" t="s">
        <v>159</v>
      </c>
      <c r="F121" t="s">
        <v>404</v>
      </c>
      <c r="G121" t="s">
        <v>609</v>
      </c>
      <c r="H121" t="s">
        <v>795</v>
      </c>
      <c r="I121">
        <v>0</v>
      </c>
      <c r="J121">
        <v>599.42999999999995</v>
      </c>
      <c r="K121">
        <f t="shared" si="4"/>
        <v>54.400000000000006</v>
      </c>
      <c r="L121">
        <f t="shared" si="5"/>
        <v>61.929999999999993</v>
      </c>
      <c r="M121">
        <f t="shared" si="6"/>
        <v>-7.5299999999999869</v>
      </c>
      <c r="N121">
        <v>7.15</v>
      </c>
      <c r="O121">
        <v>85.13</v>
      </c>
      <c r="P121">
        <v>80</v>
      </c>
      <c r="Q121">
        <v>13.8</v>
      </c>
      <c r="R121">
        <v>11.32</v>
      </c>
      <c r="S121">
        <v>11.58</v>
      </c>
      <c r="T121">
        <v>5.53</v>
      </c>
      <c r="U121">
        <v>9.14</v>
      </c>
      <c r="V121">
        <v>3506.44</v>
      </c>
      <c r="W121">
        <v>1054.3800000000001</v>
      </c>
      <c r="X121">
        <v>1356.8</v>
      </c>
      <c r="Y121">
        <v>775.33</v>
      </c>
      <c r="Z121">
        <v>5.71</v>
      </c>
      <c r="AA121">
        <v>1.55</v>
      </c>
      <c r="AB121">
        <v>4.49</v>
      </c>
      <c r="AC121">
        <v>67.17</v>
      </c>
      <c r="AD121">
        <v>490</v>
      </c>
      <c r="AE121">
        <v>4700</v>
      </c>
      <c r="AF121">
        <v>81.38</v>
      </c>
      <c r="AG121">
        <v>0.47</v>
      </c>
      <c r="AH121">
        <v>10</v>
      </c>
      <c r="AI121">
        <v>35.64</v>
      </c>
      <c r="AJ121">
        <v>60</v>
      </c>
      <c r="AK121">
        <v>9</v>
      </c>
      <c r="AL121">
        <v>9</v>
      </c>
      <c r="AM121">
        <v>0.64</v>
      </c>
      <c r="AN121">
        <v>294</v>
      </c>
      <c r="AO121">
        <v>299.72000000000003</v>
      </c>
      <c r="AP121">
        <v>352404.12</v>
      </c>
      <c r="AQ121">
        <v>184118.28</v>
      </c>
      <c r="AR121" t="s">
        <v>1031</v>
      </c>
      <c r="AT121" s="6">
        <f t="shared" si="7"/>
        <v>9.6053561643835614</v>
      </c>
    </row>
    <row r="122" spans="1:46" x14ac:dyDescent="0.5500000000000000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f t="shared" si="4"/>
        <v>0</v>
      </c>
      <c r="L122">
        <f t="shared" si="5"/>
        <v>0</v>
      </c>
      <c r="M122">
        <f t="shared" si="6"/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T122" s="6">
        <f t="shared" si="7"/>
        <v>0</v>
      </c>
    </row>
    <row r="123" spans="1:46" x14ac:dyDescent="0.55000000000000004">
      <c r="A123">
        <v>18.899999999999999</v>
      </c>
      <c r="B123">
        <v>29.95</v>
      </c>
      <c r="C123">
        <v>5458.56</v>
      </c>
      <c r="D123">
        <v>7.62</v>
      </c>
      <c r="E123" t="s">
        <v>160</v>
      </c>
      <c r="F123" t="s">
        <v>405</v>
      </c>
      <c r="G123" t="s">
        <v>626</v>
      </c>
      <c r="H123" t="s">
        <v>796</v>
      </c>
      <c r="I123">
        <v>0</v>
      </c>
      <c r="J123">
        <v>620.29</v>
      </c>
      <c r="K123">
        <f t="shared" si="4"/>
        <v>54.650000000000006</v>
      </c>
      <c r="L123">
        <f t="shared" si="5"/>
        <v>61.34</v>
      </c>
      <c r="M123">
        <f t="shared" si="6"/>
        <v>-6.6899999999999977</v>
      </c>
      <c r="N123">
        <v>7.15</v>
      </c>
      <c r="O123">
        <v>84.96</v>
      </c>
      <c r="P123">
        <v>59</v>
      </c>
      <c r="Q123">
        <v>18.7</v>
      </c>
      <c r="R123">
        <v>11.05</v>
      </c>
      <c r="S123">
        <v>13.72</v>
      </c>
      <c r="T123">
        <v>5.19</v>
      </c>
      <c r="U123">
        <v>8.8000000000000007</v>
      </c>
      <c r="V123">
        <v>3493.48</v>
      </c>
      <c r="W123">
        <v>1047.23</v>
      </c>
      <c r="X123">
        <v>1323.13</v>
      </c>
      <c r="Y123">
        <v>764.35</v>
      </c>
      <c r="Z123">
        <v>5.79</v>
      </c>
      <c r="AA123">
        <v>1.6</v>
      </c>
      <c r="AB123">
        <v>4.42</v>
      </c>
      <c r="AC123">
        <v>68.05</v>
      </c>
      <c r="AD123">
        <v>490</v>
      </c>
      <c r="AE123">
        <v>4700</v>
      </c>
      <c r="AF123">
        <v>79.45</v>
      </c>
      <c r="AG123">
        <v>0.47</v>
      </c>
      <c r="AH123">
        <v>10.19</v>
      </c>
      <c r="AI123">
        <v>35.99</v>
      </c>
      <c r="AJ123">
        <v>60</v>
      </c>
      <c r="AK123">
        <v>9</v>
      </c>
      <c r="AL123">
        <v>9</v>
      </c>
      <c r="AM123">
        <v>0.63</v>
      </c>
      <c r="AN123">
        <v>294</v>
      </c>
      <c r="AO123">
        <v>299.66000000000003</v>
      </c>
      <c r="AP123">
        <v>360790.09</v>
      </c>
      <c r="AQ123">
        <v>190294.8</v>
      </c>
      <c r="AR123" t="s">
        <v>1032</v>
      </c>
      <c r="AT123" s="6">
        <f t="shared" si="7"/>
        <v>9.7314663242009161</v>
      </c>
    </row>
    <row r="124" spans="1:46" x14ac:dyDescent="0.55000000000000004">
      <c r="A124">
        <v>18.559999999999999</v>
      </c>
      <c r="B124">
        <v>29.54</v>
      </c>
      <c r="C124">
        <v>5469.04</v>
      </c>
      <c r="D124">
        <v>7.61</v>
      </c>
      <c r="E124" t="s">
        <v>161</v>
      </c>
      <c r="F124" t="s">
        <v>406</v>
      </c>
      <c r="G124" t="s">
        <v>617</v>
      </c>
      <c r="H124" t="s">
        <v>797</v>
      </c>
      <c r="I124">
        <v>0</v>
      </c>
      <c r="J124">
        <v>761.41</v>
      </c>
      <c r="K124">
        <f t="shared" si="4"/>
        <v>65.240000000000009</v>
      </c>
      <c r="L124">
        <f t="shared" si="5"/>
        <v>73.28</v>
      </c>
      <c r="M124">
        <f t="shared" si="6"/>
        <v>-8.039999999999992</v>
      </c>
      <c r="N124">
        <v>7.26</v>
      </c>
      <c r="O124">
        <v>85.12</v>
      </c>
      <c r="P124">
        <v>61</v>
      </c>
      <c r="Q124">
        <v>18.2</v>
      </c>
      <c r="R124">
        <v>10.99</v>
      </c>
      <c r="S124">
        <v>13.51</v>
      </c>
      <c r="T124">
        <v>5.04</v>
      </c>
      <c r="U124">
        <v>7.18</v>
      </c>
      <c r="V124">
        <v>3500.19</v>
      </c>
      <c r="W124">
        <v>1043.05</v>
      </c>
      <c r="X124">
        <v>1253.9100000000001</v>
      </c>
      <c r="Y124">
        <v>748.52</v>
      </c>
      <c r="Z124">
        <v>5.34</v>
      </c>
      <c r="AA124">
        <v>1.56</v>
      </c>
      <c r="AB124">
        <v>4.49</v>
      </c>
      <c r="AC124">
        <v>68.55</v>
      </c>
      <c r="AD124">
        <v>490</v>
      </c>
      <c r="AE124">
        <v>4700</v>
      </c>
      <c r="AF124">
        <v>79.02</v>
      </c>
      <c r="AG124">
        <v>0.47</v>
      </c>
      <c r="AH124">
        <v>12.78</v>
      </c>
      <c r="AI124">
        <v>27.81</v>
      </c>
      <c r="AJ124">
        <v>60</v>
      </c>
      <c r="AK124">
        <v>9</v>
      </c>
      <c r="AL124">
        <v>9</v>
      </c>
      <c r="AM124">
        <v>0.81</v>
      </c>
      <c r="AN124">
        <v>294</v>
      </c>
      <c r="AO124">
        <v>301.33</v>
      </c>
      <c r="AP124">
        <v>383433.43</v>
      </c>
      <c r="AQ124">
        <v>198536.38</v>
      </c>
      <c r="AR124" t="s">
        <v>1033</v>
      </c>
      <c r="AT124" s="6">
        <f t="shared" si="7"/>
        <v>10.553484589041096</v>
      </c>
    </row>
    <row r="125" spans="1:46" x14ac:dyDescent="0.55000000000000004">
      <c r="A125">
        <v>17.91</v>
      </c>
      <c r="B125">
        <v>28.98</v>
      </c>
      <c r="C125">
        <v>5516.95</v>
      </c>
      <c r="D125">
        <v>7.58</v>
      </c>
      <c r="E125" t="s">
        <v>162</v>
      </c>
      <c r="F125" t="s">
        <v>407</v>
      </c>
      <c r="G125" t="s">
        <v>627</v>
      </c>
      <c r="H125" t="s">
        <v>798</v>
      </c>
      <c r="I125">
        <v>0</v>
      </c>
      <c r="J125">
        <v>788.52</v>
      </c>
      <c r="K125">
        <f t="shared" si="4"/>
        <v>66.94</v>
      </c>
      <c r="L125">
        <f t="shared" si="5"/>
        <v>74.81</v>
      </c>
      <c r="M125">
        <f t="shared" si="6"/>
        <v>-7.8700000000000045</v>
      </c>
      <c r="N125">
        <v>7.27</v>
      </c>
      <c r="O125">
        <v>84.33</v>
      </c>
      <c r="P125">
        <v>65</v>
      </c>
      <c r="Q125">
        <v>17.100000000000001</v>
      </c>
      <c r="R125">
        <v>11.07</v>
      </c>
      <c r="S125">
        <v>12.99</v>
      </c>
      <c r="T125">
        <v>4.91</v>
      </c>
      <c r="U125">
        <v>7</v>
      </c>
      <c r="V125">
        <v>3530.85</v>
      </c>
      <c r="W125">
        <v>1050.1400000000001</v>
      </c>
      <c r="X125">
        <v>1245.92</v>
      </c>
      <c r="Y125">
        <v>749.87</v>
      </c>
      <c r="Z125">
        <v>5.37</v>
      </c>
      <c r="AA125">
        <v>1.52</v>
      </c>
      <c r="AB125">
        <v>4.54</v>
      </c>
      <c r="AC125">
        <v>69.27</v>
      </c>
      <c r="AD125">
        <v>490</v>
      </c>
      <c r="AE125">
        <v>4700</v>
      </c>
      <c r="AF125">
        <v>79.63</v>
      </c>
      <c r="AG125">
        <v>0.47</v>
      </c>
      <c r="AH125">
        <v>13.28</v>
      </c>
      <c r="AI125">
        <v>27.24</v>
      </c>
      <c r="AJ125">
        <v>60</v>
      </c>
      <c r="AK125">
        <v>9</v>
      </c>
      <c r="AL125">
        <v>9</v>
      </c>
      <c r="AM125">
        <v>0.83</v>
      </c>
      <c r="AN125">
        <v>294</v>
      </c>
      <c r="AO125">
        <v>301.48</v>
      </c>
      <c r="AP125">
        <v>390752.63</v>
      </c>
      <c r="AQ125">
        <v>211761.14</v>
      </c>
      <c r="AR125" t="s">
        <v>1034</v>
      </c>
      <c r="AT125" s="6">
        <f t="shared" si="7"/>
        <v>10.216409246575342</v>
      </c>
    </row>
    <row r="126" spans="1:46" x14ac:dyDescent="0.5500000000000000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f t="shared" si="4"/>
        <v>0</v>
      </c>
      <c r="L126">
        <f t="shared" si="5"/>
        <v>0</v>
      </c>
      <c r="M126">
        <f t="shared" si="6"/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T126" s="6">
        <f t="shared" si="7"/>
        <v>0</v>
      </c>
    </row>
    <row r="127" spans="1:46" x14ac:dyDescent="0.5500000000000000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f t="shared" si="4"/>
        <v>0</v>
      </c>
      <c r="L127">
        <f t="shared" si="5"/>
        <v>0</v>
      </c>
      <c r="M127">
        <f t="shared" si="6"/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T127" s="6">
        <f t="shared" si="7"/>
        <v>0</v>
      </c>
    </row>
    <row r="128" spans="1:46" x14ac:dyDescent="0.55000000000000004">
      <c r="A128">
        <v>19.260000000000002</v>
      </c>
      <c r="B128">
        <v>30.53</v>
      </c>
      <c r="C128">
        <v>5437.12</v>
      </c>
      <c r="D128">
        <v>7.61</v>
      </c>
      <c r="E128" t="s">
        <v>163</v>
      </c>
      <c r="F128" t="s">
        <v>408</v>
      </c>
      <c r="G128" t="s">
        <v>628</v>
      </c>
      <c r="H128" t="s">
        <v>799</v>
      </c>
      <c r="I128">
        <v>0</v>
      </c>
      <c r="J128">
        <v>802.53</v>
      </c>
      <c r="K128">
        <f t="shared" si="4"/>
        <v>70.34</v>
      </c>
      <c r="L128">
        <f t="shared" si="5"/>
        <v>82.01</v>
      </c>
      <c r="M128">
        <f t="shared" si="6"/>
        <v>-11.670000000000002</v>
      </c>
      <c r="N128">
        <v>7.3</v>
      </c>
      <c r="O128">
        <v>84.83</v>
      </c>
      <c r="P128">
        <v>51</v>
      </c>
      <c r="Q128">
        <v>20.399999999999999</v>
      </c>
      <c r="R128">
        <v>11.27</v>
      </c>
      <c r="S128">
        <v>14.18</v>
      </c>
      <c r="T128">
        <v>5.08</v>
      </c>
      <c r="U128">
        <v>6.77</v>
      </c>
      <c r="V128">
        <v>3479.76</v>
      </c>
      <c r="W128">
        <v>1036.07</v>
      </c>
      <c r="X128">
        <v>1234.0999999999999</v>
      </c>
      <c r="Y128">
        <v>741.42</v>
      </c>
      <c r="Z128">
        <v>5.15</v>
      </c>
      <c r="AA128">
        <v>1.56</v>
      </c>
      <c r="AB128">
        <v>4.4800000000000004</v>
      </c>
      <c r="AC128">
        <v>68.930000000000007</v>
      </c>
      <c r="AD128">
        <v>490</v>
      </c>
      <c r="AE128">
        <v>4700</v>
      </c>
      <c r="AF128">
        <v>81.06</v>
      </c>
      <c r="AG128">
        <v>0.47</v>
      </c>
      <c r="AH128">
        <v>14.04</v>
      </c>
      <c r="AI128">
        <v>24.84</v>
      </c>
      <c r="AJ128">
        <v>60</v>
      </c>
      <c r="AK128">
        <v>9</v>
      </c>
      <c r="AL128">
        <v>9</v>
      </c>
      <c r="AM128">
        <v>0.91</v>
      </c>
      <c r="AN128">
        <v>294</v>
      </c>
      <c r="AO128">
        <v>302.2</v>
      </c>
      <c r="AP128">
        <v>367785</v>
      </c>
      <c r="AQ128">
        <v>229286.3</v>
      </c>
      <c r="AR128" t="s">
        <v>1035</v>
      </c>
      <c r="AT128" s="6">
        <f t="shared" si="7"/>
        <v>7.9051769406392705</v>
      </c>
    </row>
    <row r="129" spans="1:46" x14ac:dyDescent="0.55000000000000004">
      <c r="A129">
        <v>19.13</v>
      </c>
      <c r="B129">
        <v>30.1</v>
      </c>
      <c r="C129">
        <v>5463.18</v>
      </c>
      <c r="D129">
        <v>7.59</v>
      </c>
      <c r="E129" t="s">
        <v>164</v>
      </c>
      <c r="F129" t="s">
        <v>409</v>
      </c>
      <c r="G129" t="s">
        <v>616</v>
      </c>
      <c r="H129" t="s">
        <v>800</v>
      </c>
      <c r="I129">
        <v>0</v>
      </c>
      <c r="J129">
        <v>725.03</v>
      </c>
      <c r="K129">
        <f t="shared" si="4"/>
        <v>62.4</v>
      </c>
      <c r="L129">
        <f t="shared" si="5"/>
        <v>72.47</v>
      </c>
      <c r="M129">
        <f t="shared" si="6"/>
        <v>-10.07</v>
      </c>
      <c r="N129">
        <v>7.23</v>
      </c>
      <c r="O129">
        <v>84.75</v>
      </c>
      <c r="P129">
        <v>55</v>
      </c>
      <c r="Q129">
        <v>19.399999999999999</v>
      </c>
      <c r="R129">
        <v>10.97</v>
      </c>
      <c r="S129">
        <v>13.83</v>
      </c>
      <c r="T129">
        <v>5.3</v>
      </c>
      <c r="U129">
        <v>7.54</v>
      </c>
      <c r="V129">
        <v>3496.44</v>
      </c>
      <c r="W129">
        <v>1043.3800000000001</v>
      </c>
      <c r="X129">
        <v>1268.96</v>
      </c>
      <c r="Y129">
        <v>751.72</v>
      </c>
      <c r="Z129">
        <v>5.17</v>
      </c>
      <c r="AA129">
        <v>1.56</v>
      </c>
      <c r="AB129">
        <v>4.4800000000000004</v>
      </c>
      <c r="AC129">
        <v>67.42</v>
      </c>
      <c r="AD129">
        <v>490</v>
      </c>
      <c r="AE129">
        <v>4700</v>
      </c>
      <c r="AF129">
        <v>78.88</v>
      </c>
      <c r="AG129">
        <v>0.47</v>
      </c>
      <c r="AH129">
        <v>12.07</v>
      </c>
      <c r="AI129">
        <v>28.11</v>
      </c>
      <c r="AJ129">
        <v>60</v>
      </c>
      <c r="AK129">
        <v>9</v>
      </c>
      <c r="AL129">
        <v>9</v>
      </c>
      <c r="AM129">
        <v>0.81</v>
      </c>
      <c r="AN129">
        <v>294</v>
      </c>
      <c r="AO129">
        <v>301.25</v>
      </c>
      <c r="AP129">
        <v>360061.07</v>
      </c>
      <c r="AQ129">
        <v>195956.94</v>
      </c>
      <c r="AR129" t="s">
        <v>1036</v>
      </c>
      <c r="AT129" s="6">
        <f t="shared" si="7"/>
        <v>9.3666740867579907</v>
      </c>
    </row>
    <row r="130" spans="1:46" x14ac:dyDescent="0.55000000000000004">
      <c r="A130">
        <v>19.489999999999998</v>
      </c>
      <c r="B130">
        <v>30.63</v>
      </c>
      <c r="C130">
        <v>5436.32</v>
      </c>
      <c r="D130">
        <v>7.61</v>
      </c>
      <c r="E130" t="s">
        <v>165</v>
      </c>
      <c r="F130" t="s">
        <v>410</v>
      </c>
      <c r="G130" t="s">
        <v>629</v>
      </c>
      <c r="H130" t="s">
        <v>801</v>
      </c>
      <c r="I130">
        <v>0</v>
      </c>
      <c r="J130">
        <v>704.24</v>
      </c>
      <c r="K130">
        <f t="shared" si="4"/>
        <v>60.370000000000005</v>
      </c>
      <c r="L130">
        <f t="shared" si="5"/>
        <v>70.05</v>
      </c>
      <c r="M130">
        <f t="shared" si="6"/>
        <v>-9.6799999999999926</v>
      </c>
      <c r="N130">
        <v>7.21</v>
      </c>
      <c r="O130">
        <v>85.1</v>
      </c>
      <c r="P130">
        <v>48</v>
      </c>
      <c r="Q130">
        <v>21.5</v>
      </c>
      <c r="R130">
        <v>11.14</v>
      </c>
      <c r="S130">
        <v>14.71</v>
      </c>
      <c r="T130">
        <v>4.78</v>
      </c>
      <c r="U130">
        <v>7.72</v>
      </c>
      <c r="V130">
        <v>3479.24</v>
      </c>
      <c r="W130">
        <v>1038.6600000000001</v>
      </c>
      <c r="X130">
        <v>1269.3399999999999</v>
      </c>
      <c r="Y130">
        <v>749.37</v>
      </c>
      <c r="Z130">
        <v>5.17</v>
      </c>
      <c r="AA130">
        <v>1.59</v>
      </c>
      <c r="AB130">
        <v>4.4400000000000004</v>
      </c>
      <c r="AC130">
        <v>69.97</v>
      </c>
      <c r="AD130">
        <v>490</v>
      </c>
      <c r="AE130">
        <v>4700</v>
      </c>
      <c r="AF130">
        <v>80.099999999999994</v>
      </c>
      <c r="AG130">
        <v>0.47</v>
      </c>
      <c r="AH130">
        <v>11.92</v>
      </c>
      <c r="AI130">
        <v>29.09</v>
      </c>
      <c r="AJ130">
        <v>60</v>
      </c>
      <c r="AK130">
        <v>9</v>
      </c>
      <c r="AL130">
        <v>9</v>
      </c>
      <c r="AM130">
        <v>0.78</v>
      </c>
      <c r="AN130">
        <v>294</v>
      </c>
      <c r="AO130">
        <v>301</v>
      </c>
      <c r="AP130">
        <v>358357.08</v>
      </c>
      <c r="AQ130">
        <v>189097.29</v>
      </c>
      <c r="AR130" t="s">
        <v>1037</v>
      </c>
      <c r="AT130" s="6">
        <f t="shared" si="7"/>
        <v>9.6609469178082197</v>
      </c>
    </row>
    <row r="131" spans="1:46" x14ac:dyDescent="0.55000000000000004">
      <c r="A131">
        <v>17.170000000000002</v>
      </c>
      <c r="B131">
        <v>28.42</v>
      </c>
      <c r="C131">
        <v>5541.97</v>
      </c>
      <c r="D131">
        <v>7.59</v>
      </c>
      <c r="E131" t="s">
        <v>166</v>
      </c>
      <c r="F131" t="s">
        <v>411</v>
      </c>
      <c r="G131" t="s">
        <v>630</v>
      </c>
      <c r="H131" t="s">
        <v>802</v>
      </c>
      <c r="I131">
        <v>0</v>
      </c>
      <c r="J131">
        <v>247.16</v>
      </c>
      <c r="K131">
        <f t="shared" ref="K131:K194" si="8">IF(E131=0,0,
VALUE(MID(E131,2,FIND(",",E131)-2))+
VALUE(MID(F131,2,FIND(",",F131)-2))+
VALUE(MID(G131,2,FIND(",",G131)-2))
)</f>
        <v>39.26</v>
      </c>
      <c r="L131">
        <f t="shared" ref="L131:L194" si="9">IF(E131=0,0,
VALUE(MID(E131,FIND(",",E131)+1,FIND("]",E131)-FIND(",",E131)-1))+
VALUE(MID(F131,FIND(",",F131)+1,FIND("]",F131)-FIND(",",F131)-1))+
VALUE(MID(G131,FIND(",",G131)+1,FIND("]",G131)-FIND(",",G131)-1))
)</f>
        <v>41.870000000000005</v>
      </c>
      <c r="M131">
        <f t="shared" ref="M131:M194" si="10">(K131-L131)</f>
        <v>-2.6100000000000065</v>
      </c>
      <c r="N131">
        <v>6.9</v>
      </c>
      <c r="O131">
        <v>84.48</v>
      </c>
      <c r="P131">
        <v>68</v>
      </c>
      <c r="Q131">
        <v>16.2</v>
      </c>
      <c r="R131">
        <v>11.25</v>
      </c>
      <c r="S131">
        <v>12.51</v>
      </c>
      <c r="T131">
        <v>4.66</v>
      </c>
      <c r="U131">
        <v>22.42</v>
      </c>
      <c r="V131">
        <v>3546.86</v>
      </c>
      <c r="W131">
        <v>1125.5999999999999</v>
      </c>
      <c r="X131">
        <v>2017.65</v>
      </c>
      <c r="Y131">
        <v>945.08</v>
      </c>
      <c r="Z131">
        <v>6.56</v>
      </c>
      <c r="AA131">
        <v>1.75</v>
      </c>
      <c r="AB131">
        <v>4.09</v>
      </c>
      <c r="AC131">
        <v>70.7</v>
      </c>
      <c r="AD131">
        <v>490</v>
      </c>
      <c r="AE131">
        <v>4700</v>
      </c>
      <c r="AF131">
        <v>80.87</v>
      </c>
      <c r="AG131">
        <v>0.47</v>
      </c>
      <c r="AH131">
        <v>3.77</v>
      </c>
      <c r="AI131">
        <v>56.77</v>
      </c>
      <c r="AJ131">
        <v>60</v>
      </c>
      <c r="AK131">
        <v>9</v>
      </c>
      <c r="AL131">
        <v>9</v>
      </c>
      <c r="AM131">
        <v>0.4</v>
      </c>
      <c r="AN131">
        <v>294</v>
      </c>
      <c r="AO131">
        <v>297.58999999999997</v>
      </c>
      <c r="AP131">
        <v>353292.64</v>
      </c>
      <c r="AQ131">
        <v>109733.22</v>
      </c>
      <c r="AR131" t="s">
        <v>1038</v>
      </c>
      <c r="AT131" s="6">
        <f t="shared" ref="AT131:AT194" si="11">(AP131-AQ131)/(365*24*2)</f>
        <v>13.901793378995434</v>
      </c>
    </row>
    <row r="132" spans="1:46" x14ac:dyDescent="0.55000000000000004">
      <c r="A132">
        <v>15.86</v>
      </c>
      <c r="B132">
        <v>27.52</v>
      </c>
      <c r="C132">
        <v>5490.81</v>
      </c>
      <c r="D132">
        <v>7.6</v>
      </c>
      <c r="E132" t="s">
        <v>167</v>
      </c>
      <c r="F132" t="s">
        <v>412</v>
      </c>
      <c r="G132" t="s">
        <v>580</v>
      </c>
      <c r="H132" t="s">
        <v>803</v>
      </c>
      <c r="I132">
        <v>0</v>
      </c>
      <c r="J132">
        <v>577.01</v>
      </c>
      <c r="K132">
        <f t="shared" si="8"/>
        <v>52.779999999999994</v>
      </c>
      <c r="L132">
        <f t="shared" si="9"/>
        <v>59.949999999999996</v>
      </c>
      <c r="M132">
        <f t="shared" si="10"/>
        <v>-7.1700000000000017</v>
      </c>
      <c r="N132">
        <v>7.13</v>
      </c>
      <c r="O132">
        <v>85.28</v>
      </c>
      <c r="P132">
        <v>78</v>
      </c>
      <c r="Q132">
        <v>12.7</v>
      </c>
      <c r="R132">
        <v>11.66</v>
      </c>
      <c r="S132">
        <v>10.31</v>
      </c>
      <c r="T132">
        <v>5.55</v>
      </c>
      <c r="U132">
        <v>9.52</v>
      </c>
      <c r="V132">
        <v>3514.12</v>
      </c>
      <c r="W132">
        <v>1058.08</v>
      </c>
      <c r="X132">
        <v>1375.71</v>
      </c>
      <c r="Y132">
        <v>780.89</v>
      </c>
      <c r="Z132">
        <v>5.72</v>
      </c>
      <c r="AA132">
        <v>1.54</v>
      </c>
      <c r="AB132">
        <v>4.51</v>
      </c>
      <c r="AC132">
        <v>67.73</v>
      </c>
      <c r="AD132">
        <v>490</v>
      </c>
      <c r="AE132">
        <v>4700</v>
      </c>
      <c r="AF132">
        <v>83.82</v>
      </c>
      <c r="AG132">
        <v>0.47</v>
      </c>
      <c r="AH132">
        <v>9.84</v>
      </c>
      <c r="AI132">
        <v>36.81</v>
      </c>
      <c r="AJ132">
        <v>60</v>
      </c>
      <c r="AK132">
        <v>9</v>
      </c>
      <c r="AL132">
        <v>9</v>
      </c>
      <c r="AM132">
        <v>0.61</v>
      </c>
      <c r="AN132">
        <v>294</v>
      </c>
      <c r="AO132">
        <v>299.52999999999997</v>
      </c>
      <c r="AP132">
        <v>350399.55</v>
      </c>
      <c r="AQ132">
        <v>176038.7</v>
      </c>
      <c r="AR132" t="s">
        <v>1039</v>
      </c>
      <c r="AT132" s="6">
        <f t="shared" si="11"/>
        <v>9.9521033105022809</v>
      </c>
    </row>
    <row r="133" spans="1:46" x14ac:dyDescent="0.55000000000000004">
      <c r="A133">
        <v>19.579999999999998</v>
      </c>
      <c r="B133">
        <v>30.69</v>
      </c>
      <c r="C133">
        <v>5454.71</v>
      </c>
      <c r="D133">
        <v>7.6</v>
      </c>
      <c r="E133" t="s">
        <v>168</v>
      </c>
      <c r="F133" t="s">
        <v>413</v>
      </c>
      <c r="G133" t="s">
        <v>584</v>
      </c>
      <c r="H133" t="s">
        <v>770</v>
      </c>
      <c r="I133">
        <v>0</v>
      </c>
      <c r="J133">
        <v>744.27</v>
      </c>
      <c r="K133">
        <f t="shared" si="8"/>
        <v>63.97</v>
      </c>
      <c r="L133">
        <f t="shared" si="9"/>
        <v>74.37</v>
      </c>
      <c r="M133">
        <f t="shared" si="10"/>
        <v>-10.400000000000006</v>
      </c>
      <c r="N133">
        <v>7.25</v>
      </c>
      <c r="O133">
        <v>84.79</v>
      </c>
      <c r="P133">
        <v>47</v>
      </c>
      <c r="Q133">
        <v>21.8</v>
      </c>
      <c r="R133">
        <v>11.12</v>
      </c>
      <c r="S133">
        <v>14.82</v>
      </c>
      <c r="T133">
        <v>4.76</v>
      </c>
      <c r="U133">
        <v>7.33</v>
      </c>
      <c r="V133">
        <v>3491.01</v>
      </c>
      <c r="W133">
        <v>1041.1600000000001</v>
      </c>
      <c r="X133">
        <v>1259.4000000000001</v>
      </c>
      <c r="Y133">
        <v>748.79</v>
      </c>
      <c r="Z133">
        <v>5.16</v>
      </c>
      <c r="AA133">
        <v>1.57</v>
      </c>
      <c r="AB133">
        <v>4.46</v>
      </c>
      <c r="AC133">
        <v>70.02</v>
      </c>
      <c r="AD133">
        <v>490</v>
      </c>
      <c r="AE133">
        <v>4700</v>
      </c>
      <c r="AF133">
        <v>79.94</v>
      </c>
      <c r="AG133">
        <v>0.47</v>
      </c>
      <c r="AH133">
        <v>12.63</v>
      </c>
      <c r="AI133">
        <v>27.4</v>
      </c>
      <c r="AJ133">
        <v>60</v>
      </c>
      <c r="AK133">
        <v>9</v>
      </c>
      <c r="AL133">
        <v>9</v>
      </c>
      <c r="AM133">
        <v>0.83</v>
      </c>
      <c r="AN133">
        <v>294</v>
      </c>
      <c r="AO133">
        <v>301.44</v>
      </c>
      <c r="AP133">
        <v>360468.07</v>
      </c>
      <c r="AQ133">
        <v>202645.84</v>
      </c>
      <c r="AR133" t="s">
        <v>1040</v>
      </c>
      <c r="AT133" s="6">
        <f t="shared" si="11"/>
        <v>9.0081181506849326</v>
      </c>
    </row>
    <row r="134" spans="1:46" x14ac:dyDescent="0.55000000000000004">
      <c r="A134">
        <v>19.45</v>
      </c>
      <c r="B134">
        <v>30.43</v>
      </c>
      <c r="C134">
        <v>5439.28</v>
      </c>
      <c r="D134">
        <v>7.59</v>
      </c>
      <c r="E134" t="s">
        <v>169</v>
      </c>
      <c r="F134" t="s">
        <v>414</v>
      </c>
      <c r="G134" t="s">
        <v>631</v>
      </c>
      <c r="H134" t="s">
        <v>804</v>
      </c>
      <c r="I134">
        <v>0</v>
      </c>
      <c r="J134">
        <v>808.98</v>
      </c>
      <c r="K134">
        <f t="shared" si="8"/>
        <v>68.77</v>
      </c>
      <c r="L134">
        <f t="shared" si="9"/>
        <v>80.14</v>
      </c>
      <c r="M134">
        <f t="shared" si="10"/>
        <v>-11.370000000000005</v>
      </c>
      <c r="N134">
        <v>7.29</v>
      </c>
      <c r="O134">
        <v>85.19</v>
      </c>
      <c r="P134">
        <v>53</v>
      </c>
      <c r="Q134">
        <v>19.899999999999999</v>
      </c>
      <c r="R134">
        <v>10.98</v>
      </c>
      <c r="S134">
        <v>14.01</v>
      </c>
      <c r="T134">
        <v>5.44</v>
      </c>
      <c r="U134">
        <v>6.72</v>
      </c>
      <c r="V134">
        <v>3481.14</v>
      </c>
      <c r="W134">
        <v>1034.9100000000001</v>
      </c>
      <c r="X134">
        <v>1222.26</v>
      </c>
      <c r="Y134">
        <v>737.96</v>
      </c>
      <c r="Z134">
        <v>5.15</v>
      </c>
      <c r="AA134">
        <v>1.55</v>
      </c>
      <c r="AB134">
        <v>4.5</v>
      </c>
      <c r="AC134">
        <v>66.89</v>
      </c>
      <c r="AD134">
        <v>490</v>
      </c>
      <c r="AE134">
        <v>4700</v>
      </c>
      <c r="AF134">
        <v>78.97</v>
      </c>
      <c r="AG134">
        <v>0.47</v>
      </c>
      <c r="AH134">
        <v>13.8</v>
      </c>
      <c r="AI134">
        <v>25.43</v>
      </c>
      <c r="AJ134">
        <v>60</v>
      </c>
      <c r="AK134">
        <v>9</v>
      </c>
      <c r="AL134">
        <v>9</v>
      </c>
      <c r="AM134">
        <v>0.89</v>
      </c>
      <c r="AN134">
        <v>294</v>
      </c>
      <c r="AO134">
        <v>302.01</v>
      </c>
      <c r="AP134">
        <v>364284.01</v>
      </c>
      <c r="AQ134">
        <v>233300.91</v>
      </c>
      <c r="AR134" t="s">
        <v>1041</v>
      </c>
      <c r="AT134" s="6">
        <f t="shared" si="11"/>
        <v>7.476204337899544</v>
      </c>
    </row>
    <row r="135" spans="1:46" x14ac:dyDescent="0.55000000000000004">
      <c r="A135">
        <v>16.829999999999998</v>
      </c>
      <c r="B135">
        <v>28.19</v>
      </c>
      <c r="C135">
        <v>5490.37</v>
      </c>
      <c r="D135">
        <v>7.6</v>
      </c>
      <c r="E135" t="s">
        <v>170</v>
      </c>
      <c r="F135" t="s">
        <v>415</v>
      </c>
      <c r="G135" t="s">
        <v>632</v>
      </c>
      <c r="H135" t="s">
        <v>805</v>
      </c>
      <c r="I135">
        <v>0</v>
      </c>
      <c r="J135">
        <v>212.43</v>
      </c>
      <c r="K135">
        <f t="shared" si="8"/>
        <v>39.020000000000003</v>
      </c>
      <c r="L135">
        <f t="shared" si="9"/>
        <v>43.16</v>
      </c>
      <c r="M135">
        <f t="shared" si="10"/>
        <v>-4.1399999999999935</v>
      </c>
      <c r="N135">
        <v>6.9</v>
      </c>
      <c r="O135">
        <v>85.6</v>
      </c>
      <c r="P135">
        <v>81</v>
      </c>
      <c r="Q135">
        <v>12.4</v>
      </c>
      <c r="R135">
        <v>11.36</v>
      </c>
      <c r="S135">
        <v>10.34</v>
      </c>
      <c r="T135">
        <v>6.5</v>
      </c>
      <c r="U135">
        <v>25.85</v>
      </c>
      <c r="V135">
        <v>3513.84</v>
      </c>
      <c r="W135">
        <v>1139.1300000000001</v>
      </c>
      <c r="X135">
        <v>2232.94</v>
      </c>
      <c r="Y135">
        <v>998.63</v>
      </c>
      <c r="Z135">
        <v>6.33</v>
      </c>
      <c r="AA135">
        <v>1.8</v>
      </c>
      <c r="AB135">
        <v>3.99</v>
      </c>
      <c r="AC135">
        <v>63.62</v>
      </c>
      <c r="AD135">
        <v>490</v>
      </c>
      <c r="AE135">
        <v>4700</v>
      </c>
      <c r="AF135">
        <v>81.66</v>
      </c>
      <c r="AG135">
        <v>0.47</v>
      </c>
      <c r="AH135">
        <v>3.29</v>
      </c>
      <c r="AI135">
        <v>55.07</v>
      </c>
      <c r="AJ135">
        <v>60</v>
      </c>
      <c r="AK135">
        <v>9</v>
      </c>
      <c r="AL135">
        <v>9</v>
      </c>
      <c r="AM135">
        <v>0.41</v>
      </c>
      <c r="AN135">
        <v>294</v>
      </c>
      <c r="AO135">
        <v>297.7</v>
      </c>
      <c r="AP135">
        <v>339412.96</v>
      </c>
      <c r="AQ135">
        <v>107451.83</v>
      </c>
      <c r="AR135" t="s">
        <v>1042</v>
      </c>
      <c r="AT135" s="6">
        <f t="shared" si="11"/>
        <v>13.239790525114156</v>
      </c>
    </row>
    <row r="136" spans="1:46" x14ac:dyDescent="0.55000000000000004">
      <c r="A136">
        <v>19.68</v>
      </c>
      <c r="B136">
        <v>30.93</v>
      </c>
      <c r="C136">
        <v>5423.31</v>
      </c>
      <c r="D136">
        <v>7.6</v>
      </c>
      <c r="E136" t="s">
        <v>171</v>
      </c>
      <c r="F136" t="s">
        <v>416</v>
      </c>
      <c r="G136" t="s">
        <v>633</v>
      </c>
      <c r="H136" t="s">
        <v>806</v>
      </c>
      <c r="I136">
        <v>0</v>
      </c>
      <c r="J136">
        <v>687.41</v>
      </c>
      <c r="K136">
        <f t="shared" si="8"/>
        <v>60.7</v>
      </c>
      <c r="L136">
        <f t="shared" si="9"/>
        <v>69.37</v>
      </c>
      <c r="M136">
        <f t="shared" si="10"/>
        <v>-8.6700000000000017</v>
      </c>
      <c r="N136">
        <v>7.22</v>
      </c>
      <c r="O136">
        <v>84.88</v>
      </c>
      <c r="P136">
        <v>47</v>
      </c>
      <c r="Q136">
        <v>22</v>
      </c>
      <c r="R136">
        <v>11.25</v>
      </c>
      <c r="S136">
        <v>14.99</v>
      </c>
      <c r="T136">
        <v>4.6900000000000004</v>
      </c>
      <c r="U136">
        <v>7.89</v>
      </c>
      <c r="V136">
        <v>3470.92</v>
      </c>
      <c r="W136">
        <v>1038.8399999999999</v>
      </c>
      <c r="X136">
        <v>1288.75</v>
      </c>
      <c r="Y136">
        <v>754.11</v>
      </c>
      <c r="Z136">
        <v>5.69</v>
      </c>
      <c r="AA136">
        <v>1.58</v>
      </c>
      <c r="AB136">
        <v>4.4400000000000004</v>
      </c>
      <c r="AC136">
        <v>70.56</v>
      </c>
      <c r="AD136">
        <v>490</v>
      </c>
      <c r="AE136">
        <v>4700</v>
      </c>
      <c r="AF136">
        <v>80.91</v>
      </c>
      <c r="AG136">
        <v>0.47</v>
      </c>
      <c r="AH136">
        <v>11.74</v>
      </c>
      <c r="AI136">
        <v>31.82</v>
      </c>
      <c r="AJ136">
        <v>60</v>
      </c>
      <c r="AK136">
        <v>9</v>
      </c>
      <c r="AL136">
        <v>9</v>
      </c>
      <c r="AM136">
        <v>0.71</v>
      </c>
      <c r="AN136">
        <v>294</v>
      </c>
      <c r="AO136">
        <v>300.39999999999998</v>
      </c>
      <c r="AP136">
        <v>358949.41</v>
      </c>
      <c r="AQ136">
        <v>217259.35</v>
      </c>
      <c r="AR136" t="s">
        <v>1043</v>
      </c>
      <c r="AT136" s="6">
        <f t="shared" si="11"/>
        <v>8.0873321917808205</v>
      </c>
    </row>
    <row r="137" spans="1:46" x14ac:dyDescent="0.55000000000000004">
      <c r="A137">
        <v>16.690000000000001</v>
      </c>
      <c r="B137">
        <v>28.01</v>
      </c>
      <c r="C137">
        <v>5483.12</v>
      </c>
      <c r="D137">
        <v>7.61</v>
      </c>
      <c r="E137" t="s">
        <v>172</v>
      </c>
      <c r="F137" t="s">
        <v>417</v>
      </c>
      <c r="G137" t="s">
        <v>634</v>
      </c>
      <c r="H137" t="s">
        <v>807</v>
      </c>
      <c r="I137">
        <v>0</v>
      </c>
      <c r="J137">
        <v>304.89</v>
      </c>
      <c r="K137">
        <f t="shared" si="8"/>
        <v>40.849999999999994</v>
      </c>
      <c r="L137">
        <f t="shared" si="9"/>
        <v>45.289999999999992</v>
      </c>
      <c r="M137">
        <f t="shared" si="10"/>
        <v>-4.4399999999999977</v>
      </c>
      <c r="N137">
        <v>6.93</v>
      </c>
      <c r="O137">
        <v>85.08</v>
      </c>
      <c r="P137">
        <v>81</v>
      </c>
      <c r="Q137">
        <v>12.6</v>
      </c>
      <c r="R137">
        <v>11.32</v>
      </c>
      <c r="S137">
        <v>10.53</v>
      </c>
      <c r="T137">
        <v>6.16</v>
      </c>
      <c r="U137">
        <v>17.98</v>
      </c>
      <c r="V137">
        <v>3509.2</v>
      </c>
      <c r="W137">
        <v>1093.52</v>
      </c>
      <c r="X137">
        <v>1781.14</v>
      </c>
      <c r="Y137">
        <v>880.77</v>
      </c>
      <c r="Z137">
        <v>6.31</v>
      </c>
      <c r="AA137">
        <v>1.69</v>
      </c>
      <c r="AB137">
        <v>4.22</v>
      </c>
      <c r="AC137">
        <v>64.73</v>
      </c>
      <c r="AD137">
        <v>490</v>
      </c>
      <c r="AE137">
        <v>4700</v>
      </c>
      <c r="AF137">
        <v>81.37</v>
      </c>
      <c r="AG137">
        <v>0.47</v>
      </c>
      <c r="AH137">
        <v>4.79</v>
      </c>
      <c r="AI137">
        <v>52.48</v>
      </c>
      <c r="AJ137">
        <v>60</v>
      </c>
      <c r="AK137">
        <v>9</v>
      </c>
      <c r="AL137">
        <v>9</v>
      </c>
      <c r="AM137">
        <v>0.43</v>
      </c>
      <c r="AN137">
        <v>294</v>
      </c>
      <c r="AO137">
        <v>297.88</v>
      </c>
      <c r="AP137">
        <v>340619.53</v>
      </c>
      <c r="AQ137">
        <v>130845.21</v>
      </c>
      <c r="AR137" t="s">
        <v>1044</v>
      </c>
      <c r="AT137" s="6">
        <f t="shared" si="11"/>
        <v>11.973420091324201</v>
      </c>
    </row>
    <row r="138" spans="1:46" x14ac:dyDescent="0.55000000000000004">
      <c r="A138">
        <v>19.600000000000001</v>
      </c>
      <c r="B138">
        <v>30.8</v>
      </c>
      <c r="C138">
        <v>5418.23</v>
      </c>
      <c r="D138">
        <v>7.6</v>
      </c>
      <c r="E138" t="s">
        <v>173</v>
      </c>
      <c r="F138" t="s">
        <v>418</v>
      </c>
      <c r="G138" t="s">
        <v>635</v>
      </c>
      <c r="H138" t="s">
        <v>808</v>
      </c>
      <c r="I138">
        <v>0</v>
      </c>
      <c r="J138">
        <v>820.34</v>
      </c>
      <c r="K138">
        <f t="shared" si="8"/>
        <v>69.5</v>
      </c>
      <c r="L138">
        <f t="shared" si="9"/>
        <v>81</v>
      </c>
      <c r="M138">
        <f t="shared" si="10"/>
        <v>-11.5</v>
      </c>
      <c r="N138">
        <v>7.29</v>
      </c>
      <c r="O138">
        <v>85.22</v>
      </c>
      <c r="P138">
        <v>47</v>
      </c>
      <c r="Q138">
        <v>22</v>
      </c>
      <c r="R138">
        <v>11.2</v>
      </c>
      <c r="S138">
        <v>14.99</v>
      </c>
      <c r="T138">
        <v>4.6100000000000003</v>
      </c>
      <c r="U138">
        <v>6.6</v>
      </c>
      <c r="V138">
        <v>3467.67</v>
      </c>
      <c r="W138">
        <v>1030.02</v>
      </c>
      <c r="X138">
        <v>1209.55</v>
      </c>
      <c r="Y138">
        <v>732.87</v>
      </c>
      <c r="Z138">
        <v>5.15</v>
      </c>
      <c r="AA138">
        <v>1.54</v>
      </c>
      <c r="AB138">
        <v>4.51</v>
      </c>
      <c r="AC138">
        <v>70.84</v>
      </c>
      <c r="AD138">
        <v>490</v>
      </c>
      <c r="AE138">
        <v>4700</v>
      </c>
      <c r="AF138">
        <v>80.53</v>
      </c>
      <c r="AG138">
        <v>0.47</v>
      </c>
      <c r="AH138">
        <v>14.37</v>
      </c>
      <c r="AI138">
        <v>25.15</v>
      </c>
      <c r="AJ138">
        <v>60</v>
      </c>
      <c r="AK138">
        <v>9</v>
      </c>
      <c r="AL138">
        <v>9</v>
      </c>
      <c r="AM138">
        <v>0.9</v>
      </c>
      <c r="AN138">
        <v>294</v>
      </c>
      <c r="AO138">
        <v>302.10000000000002</v>
      </c>
      <c r="AP138">
        <v>365926.62</v>
      </c>
      <c r="AQ138">
        <v>240811.7</v>
      </c>
      <c r="AR138" t="s">
        <v>1045</v>
      </c>
      <c r="AT138" s="6">
        <f t="shared" si="11"/>
        <v>7.1412625570776243</v>
      </c>
    </row>
    <row r="139" spans="1:46" x14ac:dyDescent="0.55000000000000004">
      <c r="A139">
        <v>15.84</v>
      </c>
      <c r="B139">
        <v>27.52</v>
      </c>
      <c r="C139">
        <v>5484.26</v>
      </c>
      <c r="D139">
        <v>7.61</v>
      </c>
      <c r="E139" t="s">
        <v>174</v>
      </c>
      <c r="F139" t="s">
        <v>419</v>
      </c>
      <c r="G139" t="s">
        <v>576</v>
      </c>
      <c r="H139" t="s">
        <v>809</v>
      </c>
      <c r="I139">
        <v>0</v>
      </c>
      <c r="J139">
        <v>739.71</v>
      </c>
      <c r="K139">
        <f t="shared" si="8"/>
        <v>63.62</v>
      </c>
      <c r="L139">
        <f t="shared" si="9"/>
        <v>73.22</v>
      </c>
      <c r="M139">
        <f t="shared" si="10"/>
        <v>-9.6000000000000014</v>
      </c>
      <c r="N139">
        <v>7.24</v>
      </c>
      <c r="O139">
        <v>84.85</v>
      </c>
      <c r="P139">
        <v>81</v>
      </c>
      <c r="Q139">
        <v>12</v>
      </c>
      <c r="R139">
        <v>11.68</v>
      </c>
      <c r="S139">
        <v>9.9499999999999993</v>
      </c>
      <c r="T139">
        <v>5.89</v>
      </c>
      <c r="U139">
        <v>7.41</v>
      </c>
      <c r="V139">
        <v>3509.93</v>
      </c>
      <c r="W139">
        <v>1046.81</v>
      </c>
      <c r="X139">
        <v>1267.06</v>
      </c>
      <c r="Y139">
        <v>752.96</v>
      </c>
      <c r="Z139">
        <v>5.21</v>
      </c>
      <c r="AA139">
        <v>1.52</v>
      </c>
      <c r="AB139">
        <v>4.58</v>
      </c>
      <c r="AC139">
        <v>66.48</v>
      </c>
      <c r="AD139">
        <v>490</v>
      </c>
      <c r="AE139">
        <v>4700</v>
      </c>
      <c r="AF139">
        <v>83.98</v>
      </c>
      <c r="AG139">
        <v>0.47</v>
      </c>
      <c r="AH139">
        <v>13.09</v>
      </c>
      <c r="AI139">
        <v>27.83</v>
      </c>
      <c r="AJ139">
        <v>60</v>
      </c>
      <c r="AK139">
        <v>9</v>
      </c>
      <c r="AL139">
        <v>9</v>
      </c>
      <c r="AM139">
        <v>0.81</v>
      </c>
      <c r="AN139">
        <v>294</v>
      </c>
      <c r="AO139">
        <v>301.32</v>
      </c>
      <c r="AP139">
        <v>367405.46</v>
      </c>
      <c r="AQ139">
        <v>198596.33</v>
      </c>
      <c r="AR139" t="s">
        <v>1046</v>
      </c>
      <c r="AT139" s="6">
        <f t="shared" si="11"/>
        <v>9.6352243150684949</v>
      </c>
    </row>
    <row r="140" spans="1:46" x14ac:dyDescent="0.55000000000000004">
      <c r="A140">
        <v>19.329999999999998</v>
      </c>
      <c r="B140">
        <v>30.57</v>
      </c>
      <c r="C140">
        <v>5415.31</v>
      </c>
      <c r="D140">
        <v>7.62</v>
      </c>
      <c r="E140" t="s">
        <v>175</v>
      </c>
      <c r="F140" t="s">
        <v>420</v>
      </c>
      <c r="G140" t="s">
        <v>636</v>
      </c>
      <c r="H140" t="s">
        <v>810</v>
      </c>
      <c r="I140">
        <v>0</v>
      </c>
      <c r="J140">
        <v>754.78</v>
      </c>
      <c r="K140">
        <f t="shared" si="8"/>
        <v>63.89</v>
      </c>
      <c r="L140">
        <f t="shared" si="9"/>
        <v>74.260000000000005</v>
      </c>
      <c r="M140">
        <f t="shared" si="10"/>
        <v>-10.370000000000005</v>
      </c>
      <c r="N140">
        <v>7.25</v>
      </c>
      <c r="O140">
        <v>85.27</v>
      </c>
      <c r="P140">
        <v>49</v>
      </c>
      <c r="Q140">
        <v>21</v>
      </c>
      <c r="R140">
        <v>11.25</v>
      </c>
      <c r="S140">
        <v>14.42</v>
      </c>
      <c r="T140">
        <v>4.9000000000000004</v>
      </c>
      <c r="U140">
        <v>7.17</v>
      </c>
      <c r="V140">
        <v>3465.8</v>
      </c>
      <c r="W140">
        <v>1032.4100000000001</v>
      </c>
      <c r="X140">
        <v>1239.72</v>
      </c>
      <c r="Y140">
        <v>740.35</v>
      </c>
      <c r="Z140">
        <v>5.16</v>
      </c>
      <c r="AA140">
        <v>1.57</v>
      </c>
      <c r="AB140">
        <v>4.47</v>
      </c>
      <c r="AC140">
        <v>69.64</v>
      </c>
      <c r="AD140">
        <v>490</v>
      </c>
      <c r="AE140">
        <v>4700</v>
      </c>
      <c r="AF140">
        <v>80.89</v>
      </c>
      <c r="AG140">
        <v>0.47</v>
      </c>
      <c r="AH140">
        <v>13.1</v>
      </c>
      <c r="AI140">
        <v>27.44</v>
      </c>
      <c r="AJ140">
        <v>60</v>
      </c>
      <c r="AK140">
        <v>9</v>
      </c>
      <c r="AL140">
        <v>9</v>
      </c>
      <c r="AM140">
        <v>0.83</v>
      </c>
      <c r="AN140">
        <v>294</v>
      </c>
      <c r="AO140">
        <v>301.43</v>
      </c>
      <c r="AP140">
        <v>359724.64</v>
      </c>
      <c r="AQ140">
        <v>208153.31</v>
      </c>
      <c r="AR140" t="s">
        <v>1047</v>
      </c>
      <c r="AT140" s="6">
        <f t="shared" si="11"/>
        <v>8.6513316210045677</v>
      </c>
    </row>
    <row r="141" spans="1:46" x14ac:dyDescent="0.55000000000000004">
      <c r="A141">
        <v>16.14</v>
      </c>
      <c r="B141">
        <v>27.59</v>
      </c>
      <c r="C141">
        <v>5514.26</v>
      </c>
      <c r="D141">
        <v>7.6</v>
      </c>
      <c r="E141" t="s">
        <v>176</v>
      </c>
      <c r="F141" t="s">
        <v>421</v>
      </c>
      <c r="G141" t="s">
        <v>637</v>
      </c>
      <c r="H141" t="s">
        <v>811</v>
      </c>
      <c r="I141">
        <v>0</v>
      </c>
      <c r="J141">
        <v>421.46</v>
      </c>
      <c r="K141">
        <f t="shared" si="8"/>
        <v>46.07</v>
      </c>
      <c r="L141">
        <f t="shared" si="9"/>
        <v>51.480000000000004</v>
      </c>
      <c r="M141">
        <f t="shared" si="10"/>
        <v>-5.4100000000000037</v>
      </c>
      <c r="N141">
        <v>7.03</v>
      </c>
      <c r="O141">
        <v>84.39</v>
      </c>
      <c r="P141">
        <v>83</v>
      </c>
      <c r="Q141">
        <v>11.9</v>
      </c>
      <c r="R141">
        <v>11.45</v>
      </c>
      <c r="S141">
        <v>10.06</v>
      </c>
      <c r="T141">
        <v>6.08</v>
      </c>
      <c r="U141">
        <v>13.08</v>
      </c>
      <c r="V141">
        <v>3529.13</v>
      </c>
      <c r="W141">
        <v>1080.08</v>
      </c>
      <c r="X141">
        <v>1566.39</v>
      </c>
      <c r="Y141">
        <v>831.16</v>
      </c>
      <c r="Z141">
        <v>5.82</v>
      </c>
      <c r="AA141">
        <v>1.61</v>
      </c>
      <c r="AB141">
        <v>4.38</v>
      </c>
      <c r="AC141">
        <v>65.34</v>
      </c>
      <c r="AD141">
        <v>490</v>
      </c>
      <c r="AE141">
        <v>4700</v>
      </c>
      <c r="AF141">
        <v>82.35</v>
      </c>
      <c r="AG141">
        <v>0.47</v>
      </c>
      <c r="AH141">
        <v>6.82</v>
      </c>
      <c r="AI141">
        <v>42.87</v>
      </c>
      <c r="AJ141">
        <v>60</v>
      </c>
      <c r="AK141">
        <v>9</v>
      </c>
      <c r="AL141">
        <v>9</v>
      </c>
      <c r="AM141">
        <v>0.53</v>
      </c>
      <c r="AN141">
        <v>294</v>
      </c>
      <c r="AO141">
        <v>298.75</v>
      </c>
      <c r="AP141">
        <v>351257.86</v>
      </c>
      <c r="AQ141">
        <v>129457.56</v>
      </c>
      <c r="AR141" t="s">
        <v>1048</v>
      </c>
      <c r="AT141" s="6">
        <f t="shared" si="11"/>
        <v>12.659834474885844</v>
      </c>
    </row>
    <row r="142" spans="1:46" x14ac:dyDescent="0.55000000000000004">
      <c r="A142">
        <v>18.14</v>
      </c>
      <c r="B142">
        <v>29.49</v>
      </c>
      <c r="C142">
        <v>5448.64</v>
      </c>
      <c r="D142">
        <v>7.6</v>
      </c>
      <c r="E142" t="s">
        <v>177</v>
      </c>
      <c r="F142" t="s">
        <v>422</v>
      </c>
      <c r="G142" t="s">
        <v>638</v>
      </c>
      <c r="H142" t="s">
        <v>812</v>
      </c>
      <c r="I142">
        <v>0</v>
      </c>
      <c r="J142">
        <v>775.88</v>
      </c>
      <c r="K142">
        <f t="shared" si="8"/>
        <v>65.8</v>
      </c>
      <c r="L142">
        <f t="shared" si="9"/>
        <v>73.790000000000006</v>
      </c>
      <c r="M142">
        <f t="shared" si="10"/>
        <v>-7.9900000000000091</v>
      </c>
      <c r="N142">
        <v>7.26</v>
      </c>
      <c r="O142">
        <v>85.14</v>
      </c>
      <c r="P142">
        <v>57</v>
      </c>
      <c r="Q142">
        <v>17.899999999999999</v>
      </c>
      <c r="R142">
        <v>11.35</v>
      </c>
      <c r="S142">
        <v>12.76</v>
      </c>
      <c r="T142">
        <v>5.38</v>
      </c>
      <c r="U142">
        <v>7.02</v>
      </c>
      <c r="V142">
        <v>3487.13</v>
      </c>
      <c r="W142">
        <v>1038.04</v>
      </c>
      <c r="X142">
        <v>1238.8599999999999</v>
      </c>
      <c r="Y142">
        <v>742.87</v>
      </c>
      <c r="Z142">
        <v>5.35</v>
      </c>
      <c r="AA142">
        <v>1.53</v>
      </c>
      <c r="AB142">
        <v>4.53</v>
      </c>
      <c r="AC142">
        <v>67.84</v>
      </c>
      <c r="AD142">
        <v>490</v>
      </c>
      <c r="AE142">
        <v>4700</v>
      </c>
      <c r="AF142">
        <v>81.650000000000006</v>
      </c>
      <c r="AG142">
        <v>0.47</v>
      </c>
      <c r="AH142">
        <v>13.56</v>
      </c>
      <c r="AI142">
        <v>27.61</v>
      </c>
      <c r="AJ142">
        <v>60</v>
      </c>
      <c r="AK142">
        <v>9</v>
      </c>
      <c r="AL142">
        <v>9</v>
      </c>
      <c r="AM142">
        <v>0.82</v>
      </c>
      <c r="AN142">
        <v>294</v>
      </c>
      <c r="AO142">
        <v>301.38</v>
      </c>
      <c r="AP142">
        <v>384877.6</v>
      </c>
      <c r="AQ142">
        <v>204964.26</v>
      </c>
      <c r="AR142" t="s">
        <v>1049</v>
      </c>
      <c r="AT142" s="6">
        <f t="shared" si="11"/>
        <v>10.269026255707761</v>
      </c>
    </row>
    <row r="143" spans="1:46" x14ac:dyDescent="0.55000000000000004">
      <c r="A143">
        <v>18.16</v>
      </c>
      <c r="B143">
        <v>29.45</v>
      </c>
      <c r="C143">
        <v>5520.16</v>
      </c>
      <c r="D143">
        <v>7.59</v>
      </c>
      <c r="E143" t="s">
        <v>178</v>
      </c>
      <c r="F143" t="s">
        <v>423</v>
      </c>
      <c r="G143" t="s">
        <v>639</v>
      </c>
      <c r="H143" t="s">
        <v>813</v>
      </c>
      <c r="I143">
        <v>0</v>
      </c>
      <c r="J143">
        <v>684.14</v>
      </c>
      <c r="K143">
        <f t="shared" si="8"/>
        <v>58.089999999999996</v>
      </c>
      <c r="L143">
        <f t="shared" si="9"/>
        <v>58.44</v>
      </c>
      <c r="M143">
        <f t="shared" si="10"/>
        <v>-0.35000000000000142</v>
      </c>
      <c r="N143">
        <v>7.19</v>
      </c>
      <c r="O143">
        <v>84.94</v>
      </c>
      <c r="P143">
        <v>66</v>
      </c>
      <c r="Q143">
        <v>16.8</v>
      </c>
      <c r="R143">
        <v>11.29</v>
      </c>
      <c r="S143">
        <v>12.83</v>
      </c>
      <c r="T143">
        <v>5.33</v>
      </c>
      <c r="U143">
        <v>8.07</v>
      </c>
      <c r="V143">
        <v>3532.9</v>
      </c>
      <c r="W143">
        <v>1055.21</v>
      </c>
      <c r="X143">
        <v>1296.51</v>
      </c>
      <c r="Y143">
        <v>762.56</v>
      </c>
      <c r="Z143">
        <v>6.46</v>
      </c>
      <c r="AA143">
        <v>1.56</v>
      </c>
      <c r="AB143">
        <v>4.4800000000000004</v>
      </c>
      <c r="AC143">
        <v>67.94</v>
      </c>
      <c r="AD143">
        <v>490</v>
      </c>
      <c r="AE143">
        <v>4700</v>
      </c>
      <c r="AF143">
        <v>81.2</v>
      </c>
      <c r="AG143">
        <v>0.47</v>
      </c>
      <c r="AH143">
        <v>11.49</v>
      </c>
      <c r="AI143">
        <v>37.770000000000003</v>
      </c>
      <c r="AJ143">
        <v>60</v>
      </c>
      <c r="AK143">
        <v>9</v>
      </c>
      <c r="AL143">
        <v>9</v>
      </c>
      <c r="AM143">
        <v>0.6</v>
      </c>
      <c r="AN143">
        <v>294</v>
      </c>
      <c r="AO143">
        <v>299.39</v>
      </c>
      <c r="AP143">
        <v>421432.08</v>
      </c>
      <c r="AQ143">
        <v>178039.76</v>
      </c>
      <c r="AR143" t="s">
        <v>1050</v>
      </c>
      <c r="AT143" s="6">
        <f t="shared" si="11"/>
        <v>13.892255707762558</v>
      </c>
    </row>
    <row r="144" spans="1:46" x14ac:dyDescent="0.55000000000000004">
      <c r="A144">
        <v>17.95</v>
      </c>
      <c r="B144">
        <v>29.31</v>
      </c>
      <c r="C144">
        <v>5462.13</v>
      </c>
      <c r="D144">
        <v>7.6</v>
      </c>
      <c r="E144" t="s">
        <v>179</v>
      </c>
      <c r="F144" t="s">
        <v>424</v>
      </c>
      <c r="G144" t="s">
        <v>640</v>
      </c>
      <c r="H144" t="s">
        <v>814</v>
      </c>
      <c r="I144">
        <v>0</v>
      </c>
      <c r="J144">
        <v>619.51</v>
      </c>
      <c r="K144">
        <f t="shared" si="8"/>
        <v>55.05</v>
      </c>
      <c r="L144">
        <f t="shared" si="9"/>
        <v>62</v>
      </c>
      <c r="M144">
        <f t="shared" si="10"/>
        <v>-6.9500000000000028</v>
      </c>
      <c r="N144">
        <v>7.16</v>
      </c>
      <c r="O144">
        <v>85.22</v>
      </c>
      <c r="P144">
        <v>56</v>
      </c>
      <c r="Q144">
        <v>17.7</v>
      </c>
      <c r="R144">
        <v>11.36</v>
      </c>
      <c r="S144">
        <v>12.46</v>
      </c>
      <c r="T144">
        <v>5.49</v>
      </c>
      <c r="U144">
        <v>8.82</v>
      </c>
      <c r="V144">
        <v>3495.76</v>
      </c>
      <c r="W144">
        <v>1049</v>
      </c>
      <c r="X144">
        <v>1332.05</v>
      </c>
      <c r="Y144">
        <v>767.39</v>
      </c>
      <c r="Z144">
        <v>5.77</v>
      </c>
      <c r="AA144">
        <v>1.56</v>
      </c>
      <c r="AB144">
        <v>4.47</v>
      </c>
      <c r="AC144">
        <v>67.44</v>
      </c>
      <c r="AD144">
        <v>490</v>
      </c>
      <c r="AE144">
        <v>4700</v>
      </c>
      <c r="AF144">
        <v>81.7</v>
      </c>
      <c r="AG144">
        <v>0.47</v>
      </c>
      <c r="AH144">
        <v>10.45</v>
      </c>
      <c r="AI144">
        <v>35.6</v>
      </c>
      <c r="AJ144">
        <v>60</v>
      </c>
      <c r="AK144">
        <v>9</v>
      </c>
      <c r="AL144">
        <v>9</v>
      </c>
      <c r="AM144">
        <v>0.64</v>
      </c>
      <c r="AN144">
        <v>294</v>
      </c>
      <c r="AO144">
        <v>299.72000000000003</v>
      </c>
      <c r="AP144">
        <v>358800.81</v>
      </c>
      <c r="AQ144">
        <v>188691.38</v>
      </c>
      <c r="AR144" t="s">
        <v>1051</v>
      </c>
      <c r="AT144" s="6">
        <f t="shared" si="11"/>
        <v>9.7094423515981738</v>
      </c>
    </row>
    <row r="145" spans="1:46" x14ac:dyDescent="0.55000000000000004">
      <c r="A145">
        <v>17.86</v>
      </c>
      <c r="B145">
        <v>29.16</v>
      </c>
      <c r="C145">
        <v>5478.9</v>
      </c>
      <c r="D145">
        <v>7.59</v>
      </c>
      <c r="E145" t="s">
        <v>180</v>
      </c>
      <c r="F145" t="s">
        <v>425</v>
      </c>
      <c r="G145" t="s">
        <v>641</v>
      </c>
      <c r="H145" t="s">
        <v>815</v>
      </c>
      <c r="I145">
        <v>0</v>
      </c>
      <c r="J145">
        <v>507.47</v>
      </c>
      <c r="K145">
        <f t="shared" si="8"/>
        <v>48.58</v>
      </c>
      <c r="L145">
        <f t="shared" si="9"/>
        <v>55.050000000000004</v>
      </c>
      <c r="M145">
        <f t="shared" si="10"/>
        <v>-6.470000000000006</v>
      </c>
      <c r="N145">
        <v>7.07</v>
      </c>
      <c r="O145">
        <v>85.02</v>
      </c>
      <c r="P145">
        <v>57</v>
      </c>
      <c r="Q145">
        <v>17.399999999999999</v>
      </c>
      <c r="R145">
        <v>11.3</v>
      </c>
      <c r="S145">
        <v>12.31</v>
      </c>
      <c r="T145">
        <v>5.55</v>
      </c>
      <c r="U145">
        <v>10.8</v>
      </c>
      <c r="V145">
        <v>3506.5</v>
      </c>
      <c r="W145">
        <v>1059.27</v>
      </c>
      <c r="X145">
        <v>1419.36</v>
      </c>
      <c r="Y145">
        <v>789.61</v>
      </c>
      <c r="Z145">
        <v>5.74</v>
      </c>
      <c r="AA145">
        <v>1.59</v>
      </c>
      <c r="AB145">
        <v>4.41</v>
      </c>
      <c r="AC145">
        <v>67.069999999999993</v>
      </c>
      <c r="AD145">
        <v>490</v>
      </c>
      <c r="AE145">
        <v>4700</v>
      </c>
      <c r="AF145">
        <v>81.23</v>
      </c>
      <c r="AG145">
        <v>0.47</v>
      </c>
      <c r="AH145">
        <v>8.2899999999999991</v>
      </c>
      <c r="AI145">
        <v>40.1</v>
      </c>
      <c r="AJ145">
        <v>60</v>
      </c>
      <c r="AK145">
        <v>9</v>
      </c>
      <c r="AL145">
        <v>9</v>
      </c>
      <c r="AM145">
        <v>0.56000000000000005</v>
      </c>
      <c r="AN145">
        <v>294</v>
      </c>
      <c r="AO145">
        <v>299.08</v>
      </c>
      <c r="AP145">
        <v>348240.09</v>
      </c>
      <c r="AQ145">
        <v>160123.75</v>
      </c>
      <c r="AR145" t="s">
        <v>1052</v>
      </c>
      <c r="AT145" s="6">
        <f t="shared" si="11"/>
        <v>10.737234018264841</v>
      </c>
    </row>
    <row r="146" spans="1:46" x14ac:dyDescent="0.55000000000000004">
      <c r="A146">
        <v>19.399999999999999</v>
      </c>
      <c r="B146">
        <v>30.69</v>
      </c>
      <c r="C146">
        <v>5502.9</v>
      </c>
      <c r="D146">
        <v>7.59</v>
      </c>
      <c r="E146" t="s">
        <v>181</v>
      </c>
      <c r="F146" t="s">
        <v>426</v>
      </c>
      <c r="G146" t="s">
        <v>642</v>
      </c>
      <c r="H146" t="s">
        <v>816</v>
      </c>
      <c r="I146">
        <v>0</v>
      </c>
      <c r="J146">
        <v>728.48</v>
      </c>
      <c r="K146">
        <f t="shared" si="8"/>
        <v>62.14</v>
      </c>
      <c r="L146">
        <f t="shared" si="9"/>
        <v>72.08</v>
      </c>
      <c r="M146">
        <f t="shared" si="10"/>
        <v>-9.9399999999999977</v>
      </c>
      <c r="N146">
        <v>7.23</v>
      </c>
      <c r="O146">
        <v>84.76</v>
      </c>
      <c r="P146">
        <v>49</v>
      </c>
      <c r="Q146">
        <v>21.7</v>
      </c>
      <c r="R146">
        <v>11.29</v>
      </c>
      <c r="S146">
        <v>15.02</v>
      </c>
      <c r="T146">
        <v>4.38</v>
      </c>
      <c r="U146">
        <v>7.55</v>
      </c>
      <c r="V146">
        <v>3521.86</v>
      </c>
      <c r="W146">
        <v>1050.31</v>
      </c>
      <c r="X146">
        <v>1272.8399999999999</v>
      </c>
      <c r="Y146">
        <v>755.59</v>
      </c>
      <c r="Z146">
        <v>5.17</v>
      </c>
      <c r="AA146">
        <v>1.57</v>
      </c>
      <c r="AB146">
        <v>4.46</v>
      </c>
      <c r="AC146">
        <v>72.06</v>
      </c>
      <c r="AD146">
        <v>490</v>
      </c>
      <c r="AE146">
        <v>4700</v>
      </c>
      <c r="AF146">
        <v>81.22</v>
      </c>
      <c r="AG146">
        <v>0.47</v>
      </c>
      <c r="AH146">
        <v>12.39</v>
      </c>
      <c r="AI146">
        <v>28.27</v>
      </c>
      <c r="AJ146">
        <v>60</v>
      </c>
      <c r="AK146">
        <v>9</v>
      </c>
      <c r="AL146">
        <v>9</v>
      </c>
      <c r="AM146">
        <v>0.8</v>
      </c>
      <c r="AN146">
        <v>294</v>
      </c>
      <c r="AO146">
        <v>301.20999999999998</v>
      </c>
      <c r="AP146">
        <v>360247</v>
      </c>
      <c r="AQ146">
        <v>197735.97</v>
      </c>
      <c r="AR146" t="s">
        <v>1053</v>
      </c>
      <c r="AT146" s="6">
        <f t="shared" si="11"/>
        <v>9.275743721461188</v>
      </c>
    </row>
    <row r="147" spans="1:46" x14ac:dyDescent="0.55000000000000004">
      <c r="A147">
        <v>18.23</v>
      </c>
      <c r="B147">
        <v>29.47</v>
      </c>
      <c r="C147">
        <v>5530.71</v>
      </c>
      <c r="D147">
        <v>7.6</v>
      </c>
      <c r="E147" t="s">
        <v>182</v>
      </c>
      <c r="F147" t="s">
        <v>427</v>
      </c>
      <c r="G147" t="s">
        <v>601</v>
      </c>
      <c r="H147" t="s">
        <v>817</v>
      </c>
      <c r="I147">
        <v>0</v>
      </c>
      <c r="J147">
        <v>611.37</v>
      </c>
      <c r="K147">
        <f t="shared" si="8"/>
        <v>54.589999999999996</v>
      </c>
      <c r="L147">
        <f t="shared" si="9"/>
        <v>57.04</v>
      </c>
      <c r="M147">
        <f t="shared" si="10"/>
        <v>-2.4500000000000028</v>
      </c>
      <c r="N147">
        <v>7.15</v>
      </c>
      <c r="O147">
        <v>84.97</v>
      </c>
      <c r="P147">
        <v>64</v>
      </c>
      <c r="Q147">
        <v>17.5</v>
      </c>
      <c r="R147">
        <v>11.23</v>
      </c>
      <c r="S147">
        <v>13.24</v>
      </c>
      <c r="T147">
        <v>4.99</v>
      </c>
      <c r="U147">
        <v>9.0500000000000007</v>
      </c>
      <c r="V147">
        <v>3539.65</v>
      </c>
      <c r="W147">
        <v>1062.25</v>
      </c>
      <c r="X147">
        <v>1351.3</v>
      </c>
      <c r="Y147">
        <v>777.42</v>
      </c>
      <c r="Z147">
        <v>6.22</v>
      </c>
      <c r="AA147">
        <v>1.58</v>
      </c>
      <c r="AB147">
        <v>4.43</v>
      </c>
      <c r="AC147">
        <v>69.23</v>
      </c>
      <c r="AD147">
        <v>490</v>
      </c>
      <c r="AE147">
        <v>4700</v>
      </c>
      <c r="AF147">
        <v>80.78</v>
      </c>
      <c r="AG147">
        <v>0.47</v>
      </c>
      <c r="AH147">
        <v>10.039999999999999</v>
      </c>
      <c r="AI147">
        <v>38.69</v>
      </c>
      <c r="AJ147">
        <v>60</v>
      </c>
      <c r="AK147">
        <v>9</v>
      </c>
      <c r="AL147">
        <v>9</v>
      </c>
      <c r="AM147">
        <v>0.59</v>
      </c>
      <c r="AN147">
        <v>294</v>
      </c>
      <c r="AO147">
        <v>299.27</v>
      </c>
      <c r="AP147">
        <v>397728.34</v>
      </c>
      <c r="AQ147">
        <v>165512.04</v>
      </c>
      <c r="AR147" t="s">
        <v>1054</v>
      </c>
      <c r="AT147" s="6">
        <f t="shared" si="11"/>
        <v>13.254355022831051</v>
      </c>
    </row>
    <row r="148" spans="1:46" x14ac:dyDescent="0.55000000000000004">
      <c r="A148">
        <v>19.66</v>
      </c>
      <c r="B148">
        <v>31</v>
      </c>
      <c r="C148">
        <v>5476.67</v>
      </c>
      <c r="D148">
        <v>7.6</v>
      </c>
      <c r="E148" t="s">
        <v>183</v>
      </c>
      <c r="F148" t="s">
        <v>428</v>
      </c>
      <c r="G148" t="s">
        <v>596</v>
      </c>
      <c r="H148" t="s">
        <v>818</v>
      </c>
      <c r="I148">
        <v>0</v>
      </c>
      <c r="J148">
        <v>866.31</v>
      </c>
      <c r="K148">
        <f t="shared" si="8"/>
        <v>74.710000000000008</v>
      </c>
      <c r="L148">
        <f t="shared" si="9"/>
        <v>87.25</v>
      </c>
      <c r="M148">
        <f t="shared" si="10"/>
        <v>-12.539999999999992</v>
      </c>
      <c r="N148">
        <v>7.33</v>
      </c>
      <c r="O148">
        <v>84.88</v>
      </c>
      <c r="P148">
        <v>47</v>
      </c>
      <c r="Q148">
        <v>22.1</v>
      </c>
      <c r="R148">
        <v>11.34</v>
      </c>
      <c r="S148">
        <v>15.07</v>
      </c>
      <c r="T148">
        <v>4.59</v>
      </c>
      <c r="U148">
        <v>6.32</v>
      </c>
      <c r="V148">
        <v>3505.07</v>
      </c>
      <c r="W148">
        <v>1039.94</v>
      </c>
      <c r="X148">
        <v>1208.19</v>
      </c>
      <c r="Y148">
        <v>737.39</v>
      </c>
      <c r="Z148">
        <v>5.14</v>
      </c>
      <c r="AA148">
        <v>1.55</v>
      </c>
      <c r="AB148">
        <v>4.5</v>
      </c>
      <c r="AC148">
        <v>71.19</v>
      </c>
      <c r="AD148">
        <v>490</v>
      </c>
      <c r="AE148">
        <v>4700</v>
      </c>
      <c r="AF148">
        <v>81.540000000000006</v>
      </c>
      <c r="AG148">
        <v>0.47</v>
      </c>
      <c r="AH148">
        <v>15.32</v>
      </c>
      <c r="AI148">
        <v>23.35</v>
      </c>
      <c r="AJ148">
        <v>60</v>
      </c>
      <c r="AK148">
        <v>9</v>
      </c>
      <c r="AL148">
        <v>9</v>
      </c>
      <c r="AM148">
        <v>0.97</v>
      </c>
      <c r="AN148">
        <v>294</v>
      </c>
      <c r="AO148">
        <v>302.72000000000003</v>
      </c>
      <c r="AP148">
        <v>370327.91</v>
      </c>
      <c r="AQ148">
        <v>265143.40000000002</v>
      </c>
      <c r="AR148" t="s">
        <v>1055</v>
      </c>
      <c r="AT148" s="6">
        <f t="shared" si="11"/>
        <v>6.0036820776255677</v>
      </c>
    </row>
    <row r="149" spans="1:46" x14ac:dyDescent="0.55000000000000004">
      <c r="A149">
        <v>18.18</v>
      </c>
      <c r="B149">
        <v>29.43</v>
      </c>
      <c r="C149">
        <v>5526.99</v>
      </c>
      <c r="D149">
        <v>7.58</v>
      </c>
      <c r="E149" t="s">
        <v>184</v>
      </c>
      <c r="F149" t="s">
        <v>429</v>
      </c>
      <c r="G149" t="s">
        <v>607</v>
      </c>
      <c r="H149" t="s">
        <v>819</v>
      </c>
      <c r="I149">
        <v>0</v>
      </c>
      <c r="J149">
        <v>787.58</v>
      </c>
      <c r="K149">
        <f t="shared" si="8"/>
        <v>67.12</v>
      </c>
      <c r="L149">
        <f t="shared" si="9"/>
        <v>71.59</v>
      </c>
      <c r="M149">
        <f t="shared" si="10"/>
        <v>-4.4699999999999989</v>
      </c>
      <c r="N149">
        <v>7.27</v>
      </c>
      <c r="O149">
        <v>84.88</v>
      </c>
      <c r="P149">
        <v>66</v>
      </c>
      <c r="Q149">
        <v>17.100000000000001</v>
      </c>
      <c r="R149">
        <v>11.25</v>
      </c>
      <c r="S149">
        <v>13.11</v>
      </c>
      <c r="T149">
        <v>5.07</v>
      </c>
      <c r="U149">
        <v>7.02</v>
      </c>
      <c r="V149">
        <v>3537.27</v>
      </c>
      <c r="W149">
        <v>1052.5999999999999</v>
      </c>
      <c r="X149">
        <v>1252.3</v>
      </c>
      <c r="Y149">
        <v>752.52</v>
      </c>
      <c r="Z149">
        <v>5.63</v>
      </c>
      <c r="AA149">
        <v>1.53</v>
      </c>
      <c r="AB149">
        <v>4.53</v>
      </c>
      <c r="AC149">
        <v>68.92</v>
      </c>
      <c r="AD149">
        <v>490</v>
      </c>
      <c r="AE149">
        <v>4700</v>
      </c>
      <c r="AF149">
        <v>80.900000000000006</v>
      </c>
      <c r="AG149">
        <v>0.47</v>
      </c>
      <c r="AH149">
        <v>13.44</v>
      </c>
      <c r="AI149">
        <v>28.46</v>
      </c>
      <c r="AJ149">
        <v>60</v>
      </c>
      <c r="AK149">
        <v>9</v>
      </c>
      <c r="AL149">
        <v>9</v>
      </c>
      <c r="AM149">
        <v>0.8</v>
      </c>
      <c r="AN149">
        <v>294</v>
      </c>
      <c r="AO149">
        <v>301.16000000000003</v>
      </c>
      <c r="AP149">
        <v>418781.19</v>
      </c>
      <c r="AQ149">
        <v>194142.63</v>
      </c>
      <c r="AR149" t="s">
        <v>1056</v>
      </c>
      <c r="AT149" s="6">
        <f t="shared" si="11"/>
        <v>12.821835616438356</v>
      </c>
    </row>
    <row r="150" spans="1:46" x14ac:dyDescent="0.55000000000000004">
      <c r="A150">
        <v>18.559999999999999</v>
      </c>
      <c r="B150">
        <v>29.8</v>
      </c>
      <c r="C150">
        <v>5538.93</v>
      </c>
      <c r="D150">
        <v>7.59</v>
      </c>
      <c r="E150" t="s">
        <v>185</v>
      </c>
      <c r="F150" t="s">
        <v>430</v>
      </c>
      <c r="G150" t="s">
        <v>643</v>
      </c>
      <c r="H150" t="s">
        <v>820</v>
      </c>
      <c r="I150">
        <v>0</v>
      </c>
      <c r="J150">
        <v>766.12</v>
      </c>
      <c r="K150">
        <f t="shared" si="8"/>
        <v>65.42</v>
      </c>
      <c r="L150">
        <f t="shared" si="9"/>
        <v>73.290000000000006</v>
      </c>
      <c r="M150">
        <f t="shared" si="10"/>
        <v>-7.8700000000000045</v>
      </c>
      <c r="N150">
        <v>7.26</v>
      </c>
      <c r="O150">
        <v>84.71</v>
      </c>
      <c r="P150">
        <v>61</v>
      </c>
      <c r="Q150">
        <v>18.5</v>
      </c>
      <c r="R150">
        <v>11.24</v>
      </c>
      <c r="S150">
        <v>13.79</v>
      </c>
      <c r="T150">
        <v>4.7699999999999996</v>
      </c>
      <c r="U150">
        <v>7.23</v>
      </c>
      <c r="V150">
        <v>3544.92</v>
      </c>
      <c r="W150">
        <v>1055.77</v>
      </c>
      <c r="X150">
        <v>1264.73</v>
      </c>
      <c r="Y150">
        <v>756.57</v>
      </c>
      <c r="Z150">
        <v>5.36</v>
      </c>
      <c r="AA150">
        <v>1.55</v>
      </c>
      <c r="AB150">
        <v>4.49</v>
      </c>
      <c r="AC150">
        <v>70.2</v>
      </c>
      <c r="AD150">
        <v>490</v>
      </c>
      <c r="AE150">
        <v>4700</v>
      </c>
      <c r="AF150">
        <v>80.849999999999994</v>
      </c>
      <c r="AG150">
        <v>0.47</v>
      </c>
      <c r="AH150">
        <v>12.98</v>
      </c>
      <c r="AI150">
        <v>27.8</v>
      </c>
      <c r="AJ150">
        <v>60</v>
      </c>
      <c r="AK150">
        <v>9</v>
      </c>
      <c r="AL150">
        <v>9</v>
      </c>
      <c r="AM150">
        <v>0.81</v>
      </c>
      <c r="AN150">
        <v>294</v>
      </c>
      <c r="AO150">
        <v>301.33</v>
      </c>
      <c r="AP150">
        <v>386271.77</v>
      </c>
      <c r="AQ150">
        <v>201240.5</v>
      </c>
      <c r="AR150" t="s">
        <v>1057</v>
      </c>
      <c r="AT150" s="6">
        <f t="shared" si="11"/>
        <v>10.561145547945207</v>
      </c>
    </row>
    <row r="151" spans="1:46" x14ac:dyDescent="0.55000000000000004">
      <c r="A151">
        <v>19.829999999999998</v>
      </c>
      <c r="B151">
        <v>31.09</v>
      </c>
      <c r="C151">
        <v>5442.56</v>
      </c>
      <c r="D151">
        <v>7.6</v>
      </c>
      <c r="E151" t="s">
        <v>186</v>
      </c>
      <c r="F151" t="s">
        <v>431</v>
      </c>
      <c r="G151" t="s">
        <v>607</v>
      </c>
      <c r="H151" t="s">
        <v>821</v>
      </c>
      <c r="I151">
        <v>0</v>
      </c>
      <c r="J151">
        <v>691.39</v>
      </c>
      <c r="K151">
        <f t="shared" si="8"/>
        <v>59.480000000000004</v>
      </c>
      <c r="L151">
        <f t="shared" si="9"/>
        <v>68.97</v>
      </c>
      <c r="M151">
        <f t="shared" si="10"/>
        <v>-9.4899999999999949</v>
      </c>
      <c r="N151">
        <v>7.21</v>
      </c>
      <c r="O151">
        <v>85</v>
      </c>
      <c r="P151">
        <v>47</v>
      </c>
      <c r="Q151">
        <v>22.2</v>
      </c>
      <c r="R151">
        <v>11.26</v>
      </c>
      <c r="S151">
        <v>15.16</v>
      </c>
      <c r="T151">
        <v>4.68</v>
      </c>
      <c r="U151">
        <v>7.87</v>
      </c>
      <c r="V151">
        <v>3483.24</v>
      </c>
      <c r="W151">
        <v>1040.8699999999999</v>
      </c>
      <c r="X151">
        <v>1280.54</v>
      </c>
      <c r="Y151">
        <v>752.85</v>
      </c>
      <c r="Z151">
        <v>5.17</v>
      </c>
      <c r="AA151">
        <v>1.58</v>
      </c>
      <c r="AB151">
        <v>4.43</v>
      </c>
      <c r="AC151">
        <v>70.650000000000006</v>
      </c>
      <c r="AD151">
        <v>490</v>
      </c>
      <c r="AE151">
        <v>4700</v>
      </c>
      <c r="AF151">
        <v>80.959999999999994</v>
      </c>
      <c r="AG151">
        <v>0.47</v>
      </c>
      <c r="AH151">
        <v>11.78</v>
      </c>
      <c r="AI151">
        <v>29.54</v>
      </c>
      <c r="AJ151">
        <v>60</v>
      </c>
      <c r="AK151">
        <v>9</v>
      </c>
      <c r="AL151">
        <v>9</v>
      </c>
      <c r="AM151">
        <v>0.77</v>
      </c>
      <c r="AN151">
        <v>294</v>
      </c>
      <c r="AO151">
        <v>300.89999999999998</v>
      </c>
      <c r="AP151">
        <v>356276</v>
      </c>
      <c r="AQ151">
        <v>182571.51999999999</v>
      </c>
      <c r="AR151" t="s">
        <v>1058</v>
      </c>
      <c r="AT151" s="6">
        <f t="shared" si="11"/>
        <v>9.9146392694063934</v>
      </c>
    </row>
    <row r="152" spans="1:46" x14ac:dyDescent="0.55000000000000004">
      <c r="A152">
        <v>18.43</v>
      </c>
      <c r="B152">
        <v>29.78</v>
      </c>
      <c r="C152">
        <v>5453.07</v>
      </c>
      <c r="D152">
        <v>7.6</v>
      </c>
      <c r="E152" t="s">
        <v>187</v>
      </c>
      <c r="F152" t="s">
        <v>432</v>
      </c>
      <c r="G152" t="s">
        <v>617</v>
      </c>
      <c r="H152" t="s">
        <v>822</v>
      </c>
      <c r="I152">
        <v>0</v>
      </c>
      <c r="J152">
        <v>819.46</v>
      </c>
      <c r="K152">
        <f t="shared" si="8"/>
        <v>70.849999999999994</v>
      </c>
      <c r="L152">
        <f t="shared" si="9"/>
        <v>77.550000000000011</v>
      </c>
      <c r="M152">
        <f t="shared" si="10"/>
        <v>-6.7000000000000171</v>
      </c>
      <c r="N152">
        <v>7.3</v>
      </c>
      <c r="O152">
        <v>84.89</v>
      </c>
      <c r="P152">
        <v>58</v>
      </c>
      <c r="Q152">
        <v>18</v>
      </c>
      <c r="R152">
        <v>11.35</v>
      </c>
      <c r="S152">
        <v>12.97</v>
      </c>
      <c r="T152">
        <v>5.46</v>
      </c>
      <c r="U152">
        <v>6.65</v>
      </c>
      <c r="V152">
        <v>3489.96</v>
      </c>
      <c r="W152">
        <v>1037.58</v>
      </c>
      <c r="X152">
        <v>1224.3</v>
      </c>
      <c r="Y152">
        <v>739.79</v>
      </c>
      <c r="Z152">
        <v>5.48</v>
      </c>
      <c r="AA152">
        <v>1.53</v>
      </c>
      <c r="AB152">
        <v>4.53</v>
      </c>
      <c r="AC152">
        <v>67.510000000000005</v>
      </c>
      <c r="AD152">
        <v>490</v>
      </c>
      <c r="AE152">
        <v>4700</v>
      </c>
      <c r="AF152">
        <v>81.63</v>
      </c>
      <c r="AG152">
        <v>0.47</v>
      </c>
      <c r="AH152">
        <v>14.44</v>
      </c>
      <c r="AI152">
        <v>26.27</v>
      </c>
      <c r="AJ152">
        <v>60</v>
      </c>
      <c r="AK152">
        <v>9</v>
      </c>
      <c r="AL152">
        <v>9</v>
      </c>
      <c r="AM152">
        <v>0.86</v>
      </c>
      <c r="AN152">
        <v>294</v>
      </c>
      <c r="AO152">
        <v>301.76</v>
      </c>
      <c r="AP152">
        <v>411069.74</v>
      </c>
      <c r="AQ152">
        <v>217325.38</v>
      </c>
      <c r="AR152" t="s">
        <v>1059</v>
      </c>
      <c r="AT152" s="6">
        <f t="shared" si="11"/>
        <v>11.05846803652968</v>
      </c>
    </row>
    <row r="153" spans="1:46" x14ac:dyDescent="0.55000000000000004">
      <c r="A153">
        <v>19.3</v>
      </c>
      <c r="B153">
        <v>30.62</v>
      </c>
      <c r="C153">
        <v>5494.41</v>
      </c>
      <c r="D153">
        <v>7.59</v>
      </c>
      <c r="E153" t="s">
        <v>188</v>
      </c>
      <c r="F153" t="s">
        <v>433</v>
      </c>
      <c r="G153" t="s">
        <v>643</v>
      </c>
      <c r="H153" t="s">
        <v>823</v>
      </c>
      <c r="I153">
        <v>0</v>
      </c>
      <c r="J153">
        <v>811.04</v>
      </c>
      <c r="K153">
        <f t="shared" si="8"/>
        <v>69.430000000000007</v>
      </c>
      <c r="L153">
        <f t="shared" si="9"/>
        <v>80.849999999999994</v>
      </c>
      <c r="M153">
        <f t="shared" si="10"/>
        <v>-11.419999999999987</v>
      </c>
      <c r="N153">
        <v>7.29</v>
      </c>
      <c r="O153">
        <v>85.14</v>
      </c>
      <c r="P153">
        <v>53</v>
      </c>
      <c r="Q153">
        <v>20.9</v>
      </c>
      <c r="R153">
        <v>11.32</v>
      </c>
      <c r="S153">
        <v>14.88</v>
      </c>
      <c r="T153">
        <v>4.42</v>
      </c>
      <c r="U153">
        <v>6.77</v>
      </c>
      <c r="V153">
        <v>3516.42</v>
      </c>
      <c r="W153">
        <v>1045.51</v>
      </c>
      <c r="X153">
        <v>1235.17</v>
      </c>
      <c r="Y153">
        <v>745.66</v>
      </c>
      <c r="Z153">
        <v>5.15</v>
      </c>
      <c r="AA153">
        <v>1.55</v>
      </c>
      <c r="AB153">
        <v>4.5</v>
      </c>
      <c r="AC153">
        <v>71.930000000000007</v>
      </c>
      <c r="AD153">
        <v>490</v>
      </c>
      <c r="AE153">
        <v>4700</v>
      </c>
      <c r="AF153">
        <v>81.39</v>
      </c>
      <c r="AG153">
        <v>0.47</v>
      </c>
      <c r="AH153">
        <v>14.1</v>
      </c>
      <c r="AI153">
        <v>25.2</v>
      </c>
      <c r="AJ153">
        <v>60</v>
      </c>
      <c r="AK153">
        <v>9</v>
      </c>
      <c r="AL153">
        <v>9</v>
      </c>
      <c r="AM153">
        <v>0.9</v>
      </c>
      <c r="AN153">
        <v>294</v>
      </c>
      <c r="AO153">
        <v>302.08</v>
      </c>
      <c r="AP153">
        <v>366364.23</v>
      </c>
      <c r="AQ153">
        <v>234473.42</v>
      </c>
      <c r="AR153" t="s">
        <v>1060</v>
      </c>
      <c r="AT153" s="6">
        <f t="shared" si="11"/>
        <v>7.5280142694063912</v>
      </c>
    </row>
    <row r="154" spans="1:46" x14ac:dyDescent="0.55000000000000004">
      <c r="A154">
        <v>18.260000000000002</v>
      </c>
      <c r="B154">
        <v>29.53</v>
      </c>
      <c r="C154">
        <v>5506.08</v>
      </c>
      <c r="D154">
        <v>7.6</v>
      </c>
      <c r="E154" t="s">
        <v>189</v>
      </c>
      <c r="F154" t="s">
        <v>434</v>
      </c>
      <c r="G154" t="s">
        <v>644</v>
      </c>
      <c r="H154" t="s">
        <v>824</v>
      </c>
      <c r="I154">
        <v>0</v>
      </c>
      <c r="J154">
        <v>713.96</v>
      </c>
      <c r="K154">
        <f t="shared" si="8"/>
        <v>62.71</v>
      </c>
      <c r="L154">
        <f t="shared" si="9"/>
        <v>63.19</v>
      </c>
      <c r="M154">
        <f t="shared" si="10"/>
        <v>-0.47999999999999687</v>
      </c>
      <c r="N154">
        <v>7.24</v>
      </c>
      <c r="O154">
        <v>84.84</v>
      </c>
      <c r="P154">
        <v>63</v>
      </c>
      <c r="Q154">
        <v>17.399999999999999</v>
      </c>
      <c r="R154">
        <v>11.28</v>
      </c>
      <c r="S154">
        <v>13.03</v>
      </c>
      <c r="T154">
        <v>5.23</v>
      </c>
      <c r="U154">
        <v>7.71</v>
      </c>
      <c r="V154">
        <v>3523.89</v>
      </c>
      <c r="W154">
        <v>1053.44</v>
      </c>
      <c r="X154">
        <v>1294.3800000000001</v>
      </c>
      <c r="Y154">
        <v>762.16</v>
      </c>
      <c r="Z154">
        <v>6.45</v>
      </c>
      <c r="AA154">
        <v>1.56</v>
      </c>
      <c r="AB154">
        <v>4.4800000000000004</v>
      </c>
      <c r="AC154">
        <v>68.33</v>
      </c>
      <c r="AD154">
        <v>490</v>
      </c>
      <c r="AE154">
        <v>4700</v>
      </c>
      <c r="AF154">
        <v>81.09</v>
      </c>
      <c r="AG154">
        <v>0.47</v>
      </c>
      <c r="AH154">
        <v>12.08</v>
      </c>
      <c r="AI154">
        <v>34.93</v>
      </c>
      <c r="AJ154">
        <v>60</v>
      </c>
      <c r="AK154">
        <v>9</v>
      </c>
      <c r="AL154">
        <v>9</v>
      </c>
      <c r="AM154">
        <v>0.65</v>
      </c>
      <c r="AN154">
        <v>294</v>
      </c>
      <c r="AO154">
        <v>299.83</v>
      </c>
      <c r="AP154">
        <v>433805.58</v>
      </c>
      <c r="AQ154">
        <v>185273.45</v>
      </c>
      <c r="AR154" t="s">
        <v>1061</v>
      </c>
      <c r="AT154" s="6">
        <f t="shared" si="11"/>
        <v>14.185623858447489</v>
      </c>
    </row>
    <row r="155" spans="1:46" x14ac:dyDescent="0.55000000000000004">
      <c r="A155">
        <v>18.12</v>
      </c>
      <c r="B155">
        <v>29.38</v>
      </c>
      <c r="C155">
        <v>5508.72</v>
      </c>
      <c r="D155">
        <v>7.61</v>
      </c>
      <c r="E155" t="s">
        <v>190</v>
      </c>
      <c r="F155" t="s">
        <v>435</v>
      </c>
      <c r="G155" t="s">
        <v>617</v>
      </c>
      <c r="H155" t="s">
        <v>825</v>
      </c>
      <c r="I155">
        <v>0</v>
      </c>
      <c r="J155">
        <v>785.55</v>
      </c>
      <c r="K155">
        <f t="shared" si="8"/>
        <v>67.710000000000008</v>
      </c>
      <c r="L155">
        <f t="shared" si="9"/>
        <v>71.580000000000013</v>
      </c>
      <c r="M155">
        <f t="shared" si="10"/>
        <v>-3.8700000000000045</v>
      </c>
      <c r="N155">
        <v>7.28</v>
      </c>
      <c r="O155">
        <v>85.2</v>
      </c>
      <c r="P155">
        <v>66</v>
      </c>
      <c r="Q155">
        <v>16.8</v>
      </c>
      <c r="R155">
        <v>11.26</v>
      </c>
      <c r="S155">
        <v>12.83</v>
      </c>
      <c r="T155">
        <v>5.29</v>
      </c>
      <c r="U155">
        <v>7.01</v>
      </c>
      <c r="V155">
        <v>3525.58</v>
      </c>
      <c r="W155">
        <v>1049.48</v>
      </c>
      <c r="X155">
        <v>1251.07</v>
      </c>
      <c r="Y155">
        <v>750.9</v>
      </c>
      <c r="Z155">
        <v>5.68</v>
      </c>
      <c r="AA155">
        <v>1.55</v>
      </c>
      <c r="AB155">
        <v>4.5</v>
      </c>
      <c r="AC155">
        <v>68.05</v>
      </c>
      <c r="AD155">
        <v>490</v>
      </c>
      <c r="AE155">
        <v>4700</v>
      </c>
      <c r="AF155">
        <v>80.98</v>
      </c>
      <c r="AG155">
        <v>0.47</v>
      </c>
      <c r="AH155">
        <v>13.47</v>
      </c>
      <c r="AI155">
        <v>28.46</v>
      </c>
      <c r="AJ155">
        <v>60</v>
      </c>
      <c r="AK155">
        <v>9</v>
      </c>
      <c r="AL155">
        <v>9</v>
      </c>
      <c r="AM155">
        <v>0.8</v>
      </c>
      <c r="AN155">
        <v>294</v>
      </c>
      <c r="AO155">
        <v>301.16000000000003</v>
      </c>
      <c r="AP155">
        <v>427270.8</v>
      </c>
      <c r="AQ155">
        <v>191065.84</v>
      </c>
      <c r="AR155" t="s">
        <v>1062</v>
      </c>
      <c r="AT155" s="6">
        <f t="shared" si="11"/>
        <v>13.482018264840182</v>
      </c>
    </row>
    <row r="156" spans="1:46" x14ac:dyDescent="0.55000000000000004">
      <c r="A156">
        <v>18.600000000000001</v>
      </c>
      <c r="B156">
        <v>29.88</v>
      </c>
      <c r="C156">
        <v>5464.09</v>
      </c>
      <c r="D156">
        <v>7.62</v>
      </c>
      <c r="E156" t="s">
        <v>191</v>
      </c>
      <c r="F156" t="s">
        <v>436</v>
      </c>
      <c r="G156" t="s">
        <v>636</v>
      </c>
      <c r="H156" t="s">
        <v>826</v>
      </c>
      <c r="I156">
        <v>0</v>
      </c>
      <c r="J156">
        <v>690.54</v>
      </c>
      <c r="K156">
        <f t="shared" si="8"/>
        <v>58.99</v>
      </c>
      <c r="L156">
        <f t="shared" si="9"/>
        <v>60.61</v>
      </c>
      <c r="M156">
        <f t="shared" si="10"/>
        <v>-1.6199999999999974</v>
      </c>
      <c r="N156">
        <v>7.2</v>
      </c>
      <c r="O156">
        <v>85.02</v>
      </c>
      <c r="P156">
        <v>59</v>
      </c>
      <c r="Q156">
        <v>18.100000000000001</v>
      </c>
      <c r="R156">
        <v>11.28</v>
      </c>
      <c r="S156">
        <v>13.18</v>
      </c>
      <c r="T156">
        <v>5.42</v>
      </c>
      <c r="U156">
        <v>7.91</v>
      </c>
      <c r="V156">
        <v>3497.02</v>
      </c>
      <c r="W156">
        <v>1044.71</v>
      </c>
      <c r="X156">
        <v>1283.74</v>
      </c>
      <c r="Y156">
        <v>755.2</v>
      </c>
      <c r="Z156">
        <v>6.33</v>
      </c>
      <c r="AA156">
        <v>1.58</v>
      </c>
      <c r="AB156">
        <v>4.46</v>
      </c>
      <c r="AC156">
        <v>67.540000000000006</v>
      </c>
      <c r="AD156">
        <v>490</v>
      </c>
      <c r="AE156">
        <v>4700</v>
      </c>
      <c r="AF156">
        <v>81.12</v>
      </c>
      <c r="AG156">
        <v>0.47</v>
      </c>
      <c r="AH156">
        <v>11.73</v>
      </c>
      <c r="AI156">
        <v>36.42</v>
      </c>
      <c r="AJ156">
        <v>60</v>
      </c>
      <c r="AK156">
        <v>9</v>
      </c>
      <c r="AL156">
        <v>9</v>
      </c>
      <c r="AM156">
        <v>0.62</v>
      </c>
      <c r="AN156">
        <v>294</v>
      </c>
      <c r="AO156">
        <v>299.58999999999997</v>
      </c>
      <c r="AP156">
        <v>413090.64</v>
      </c>
      <c r="AQ156">
        <v>185559.28</v>
      </c>
      <c r="AR156" t="s">
        <v>1063</v>
      </c>
      <c r="AT156" s="6">
        <f t="shared" si="11"/>
        <v>12.986949771689499</v>
      </c>
    </row>
    <row r="157" spans="1:46" x14ac:dyDescent="0.55000000000000004">
      <c r="A157">
        <v>18.350000000000001</v>
      </c>
      <c r="B157">
        <v>29.6</v>
      </c>
      <c r="C157">
        <v>5520</v>
      </c>
      <c r="D157">
        <v>7.61</v>
      </c>
      <c r="E157" t="s">
        <v>192</v>
      </c>
      <c r="F157" t="s">
        <v>437</v>
      </c>
      <c r="G157" t="s">
        <v>645</v>
      </c>
      <c r="H157" t="s">
        <v>827</v>
      </c>
      <c r="I157">
        <v>0</v>
      </c>
      <c r="J157">
        <v>804.28</v>
      </c>
      <c r="K157">
        <f t="shared" si="8"/>
        <v>68.820000000000007</v>
      </c>
      <c r="L157">
        <f t="shared" si="9"/>
        <v>76.14</v>
      </c>
      <c r="M157">
        <f t="shared" si="10"/>
        <v>-7.3199999999999932</v>
      </c>
      <c r="N157">
        <v>7.29</v>
      </c>
      <c r="O157">
        <v>85.17</v>
      </c>
      <c r="P157">
        <v>64</v>
      </c>
      <c r="Q157">
        <v>17.8</v>
      </c>
      <c r="R157">
        <v>11.26</v>
      </c>
      <c r="S157">
        <v>13.51</v>
      </c>
      <c r="T157">
        <v>4.83</v>
      </c>
      <c r="U157">
        <v>6.86</v>
      </c>
      <c r="V157">
        <v>3532.8</v>
      </c>
      <c r="W157">
        <v>1050.69</v>
      </c>
      <c r="X157">
        <v>1244.0899999999999</v>
      </c>
      <c r="Y157">
        <v>749.95</v>
      </c>
      <c r="Z157">
        <v>5.42</v>
      </c>
      <c r="AA157">
        <v>1.56</v>
      </c>
      <c r="AB157">
        <v>4.5</v>
      </c>
      <c r="AC157">
        <v>69.959999999999994</v>
      </c>
      <c r="AD157">
        <v>490</v>
      </c>
      <c r="AE157">
        <v>4700</v>
      </c>
      <c r="AF157">
        <v>80.94</v>
      </c>
      <c r="AG157">
        <v>0.47</v>
      </c>
      <c r="AH157">
        <v>13.8</v>
      </c>
      <c r="AI157">
        <v>26.76</v>
      </c>
      <c r="AJ157">
        <v>60</v>
      </c>
      <c r="AK157">
        <v>9</v>
      </c>
      <c r="AL157">
        <v>9</v>
      </c>
      <c r="AM157">
        <v>0.85</v>
      </c>
      <c r="AN157">
        <v>294</v>
      </c>
      <c r="AO157">
        <v>301.61</v>
      </c>
      <c r="AP157">
        <v>399340.26</v>
      </c>
      <c r="AQ157">
        <v>213445.57</v>
      </c>
      <c r="AR157" t="s">
        <v>1064</v>
      </c>
      <c r="AT157" s="6">
        <f t="shared" si="11"/>
        <v>10.610427511415525</v>
      </c>
    </row>
    <row r="158" spans="1:46" x14ac:dyDescent="0.55000000000000004">
      <c r="A158">
        <v>18.940000000000001</v>
      </c>
      <c r="B158">
        <v>30.26</v>
      </c>
      <c r="C158">
        <v>5504.58</v>
      </c>
      <c r="D158">
        <v>7.61</v>
      </c>
      <c r="E158" t="s">
        <v>193</v>
      </c>
      <c r="F158" t="s">
        <v>438</v>
      </c>
      <c r="G158" t="s">
        <v>622</v>
      </c>
      <c r="H158" t="s">
        <v>828</v>
      </c>
      <c r="I158">
        <v>0</v>
      </c>
      <c r="J158">
        <v>734.49</v>
      </c>
      <c r="K158">
        <f t="shared" si="8"/>
        <v>62.32</v>
      </c>
      <c r="L158">
        <f t="shared" si="9"/>
        <v>72.320000000000007</v>
      </c>
      <c r="M158">
        <f t="shared" si="10"/>
        <v>-10.000000000000007</v>
      </c>
      <c r="N158">
        <v>7.23</v>
      </c>
      <c r="O158">
        <v>85.22</v>
      </c>
      <c r="P158">
        <v>57</v>
      </c>
      <c r="Q158">
        <v>19.7</v>
      </c>
      <c r="R158">
        <v>11.33</v>
      </c>
      <c r="S158">
        <v>14.36</v>
      </c>
      <c r="T158">
        <v>4.58</v>
      </c>
      <c r="U158">
        <v>7.49</v>
      </c>
      <c r="V158">
        <v>3522.93</v>
      </c>
      <c r="W158">
        <v>1050</v>
      </c>
      <c r="X158">
        <v>1267.5899999999999</v>
      </c>
      <c r="Y158">
        <v>754.23</v>
      </c>
      <c r="Z158">
        <v>5.17</v>
      </c>
      <c r="AA158">
        <v>1.57</v>
      </c>
      <c r="AB158">
        <v>4.46</v>
      </c>
      <c r="AC158">
        <v>71.209999999999994</v>
      </c>
      <c r="AD158">
        <v>490</v>
      </c>
      <c r="AE158">
        <v>4700</v>
      </c>
      <c r="AF158">
        <v>81.459999999999994</v>
      </c>
      <c r="AG158">
        <v>0.47</v>
      </c>
      <c r="AH158">
        <v>12.54</v>
      </c>
      <c r="AI158">
        <v>28.17</v>
      </c>
      <c r="AJ158">
        <v>60</v>
      </c>
      <c r="AK158">
        <v>9</v>
      </c>
      <c r="AL158">
        <v>9</v>
      </c>
      <c r="AM158">
        <v>0.8</v>
      </c>
      <c r="AN158">
        <v>294</v>
      </c>
      <c r="AO158">
        <v>301.23</v>
      </c>
      <c r="AP158">
        <v>360364.34</v>
      </c>
      <c r="AQ158">
        <v>201161.9</v>
      </c>
      <c r="AR158" t="s">
        <v>1065</v>
      </c>
      <c r="AT158" s="6">
        <f t="shared" si="11"/>
        <v>9.0868972602739753</v>
      </c>
    </row>
    <row r="159" spans="1:46" x14ac:dyDescent="0.55000000000000004">
      <c r="A159">
        <v>18.46</v>
      </c>
      <c r="B159">
        <v>29.69</v>
      </c>
      <c r="C159">
        <v>5477.54</v>
      </c>
      <c r="D159">
        <v>7.59</v>
      </c>
      <c r="E159" t="s">
        <v>194</v>
      </c>
      <c r="F159" t="s">
        <v>439</v>
      </c>
      <c r="G159" t="s">
        <v>616</v>
      </c>
      <c r="H159" t="s">
        <v>829</v>
      </c>
      <c r="I159">
        <v>0</v>
      </c>
      <c r="J159">
        <v>855.86</v>
      </c>
      <c r="K159">
        <f t="shared" si="8"/>
        <v>74.41</v>
      </c>
      <c r="L159">
        <f t="shared" si="9"/>
        <v>78.509999999999991</v>
      </c>
      <c r="M159">
        <f t="shared" si="10"/>
        <v>-4.0999999999999943</v>
      </c>
      <c r="N159">
        <v>7.32</v>
      </c>
      <c r="O159">
        <v>85.05</v>
      </c>
      <c r="P159">
        <v>60</v>
      </c>
      <c r="Q159">
        <v>17.8</v>
      </c>
      <c r="R159">
        <v>11.23</v>
      </c>
      <c r="S159">
        <v>13.03</v>
      </c>
      <c r="T159">
        <v>5.43</v>
      </c>
      <c r="U159">
        <v>6.4</v>
      </c>
      <c r="V159">
        <v>3505.63</v>
      </c>
      <c r="W159">
        <v>1040.8599999999999</v>
      </c>
      <c r="X159">
        <v>1215.08</v>
      </c>
      <c r="Y159">
        <v>739.38</v>
      </c>
      <c r="Z159">
        <v>5.69</v>
      </c>
      <c r="AA159">
        <v>1.52</v>
      </c>
      <c r="AB159">
        <v>4.54</v>
      </c>
      <c r="AC159">
        <v>67.42</v>
      </c>
      <c r="AD159">
        <v>490</v>
      </c>
      <c r="AE159">
        <v>4700</v>
      </c>
      <c r="AF159">
        <v>80.75</v>
      </c>
      <c r="AG159">
        <v>0.47</v>
      </c>
      <c r="AH159">
        <v>14.95</v>
      </c>
      <c r="AI159">
        <v>25.95</v>
      </c>
      <c r="AJ159">
        <v>60</v>
      </c>
      <c r="AK159">
        <v>9</v>
      </c>
      <c r="AL159">
        <v>9</v>
      </c>
      <c r="AM159">
        <v>0.87</v>
      </c>
      <c r="AN159">
        <v>294</v>
      </c>
      <c r="AO159">
        <v>301.85000000000002</v>
      </c>
      <c r="AP159">
        <v>441921.75</v>
      </c>
      <c r="AQ159">
        <v>222480.19</v>
      </c>
      <c r="AR159" t="s">
        <v>1066</v>
      </c>
      <c r="AT159" s="6">
        <f t="shared" si="11"/>
        <v>12.525203196347032</v>
      </c>
    </row>
    <row r="160" spans="1:46" x14ac:dyDescent="0.55000000000000004">
      <c r="A160">
        <v>19.48</v>
      </c>
      <c r="B160">
        <v>30.85</v>
      </c>
      <c r="C160">
        <v>5477.54</v>
      </c>
      <c r="D160">
        <v>7.61</v>
      </c>
      <c r="E160" t="s">
        <v>195</v>
      </c>
      <c r="F160" t="s">
        <v>440</v>
      </c>
      <c r="G160" t="s">
        <v>631</v>
      </c>
      <c r="H160" t="s">
        <v>763</v>
      </c>
      <c r="I160">
        <v>0</v>
      </c>
      <c r="J160">
        <v>697.02</v>
      </c>
      <c r="K160">
        <f t="shared" si="8"/>
        <v>59.89</v>
      </c>
      <c r="L160">
        <f t="shared" si="9"/>
        <v>69.47999999999999</v>
      </c>
      <c r="M160">
        <f t="shared" si="10"/>
        <v>-9.5899999999999892</v>
      </c>
      <c r="N160">
        <v>7.21</v>
      </c>
      <c r="O160">
        <v>85.21</v>
      </c>
      <c r="P160">
        <v>48</v>
      </c>
      <c r="Q160">
        <v>22</v>
      </c>
      <c r="R160">
        <v>11.37</v>
      </c>
      <c r="S160">
        <v>15.13</v>
      </c>
      <c r="T160">
        <v>4.3499999999999996</v>
      </c>
      <c r="U160">
        <v>7.86</v>
      </c>
      <c r="V160">
        <v>3505.63</v>
      </c>
      <c r="W160">
        <v>1046.92</v>
      </c>
      <c r="X160">
        <v>1283.03</v>
      </c>
      <c r="Y160">
        <v>756.07</v>
      </c>
      <c r="Z160">
        <v>5.17</v>
      </c>
      <c r="AA160">
        <v>1.59</v>
      </c>
      <c r="AB160">
        <v>4.43</v>
      </c>
      <c r="AC160">
        <v>72.319999999999993</v>
      </c>
      <c r="AD160">
        <v>490</v>
      </c>
      <c r="AE160">
        <v>4700</v>
      </c>
      <c r="AF160">
        <v>81.760000000000005</v>
      </c>
      <c r="AG160">
        <v>0.47</v>
      </c>
      <c r="AH160">
        <v>11.92</v>
      </c>
      <c r="AI160">
        <v>29.32</v>
      </c>
      <c r="AJ160">
        <v>60</v>
      </c>
      <c r="AK160">
        <v>9</v>
      </c>
      <c r="AL160">
        <v>9</v>
      </c>
      <c r="AM160">
        <v>0.77</v>
      </c>
      <c r="AN160">
        <v>294</v>
      </c>
      <c r="AO160">
        <v>300.95</v>
      </c>
      <c r="AP160">
        <v>358103.14</v>
      </c>
      <c r="AQ160">
        <v>186428.66</v>
      </c>
      <c r="AR160" t="s">
        <v>1067</v>
      </c>
      <c r="AT160" s="6">
        <f t="shared" si="11"/>
        <v>9.7987716894977179</v>
      </c>
    </row>
    <row r="161" spans="1:46" x14ac:dyDescent="0.55000000000000004">
      <c r="A161">
        <v>18.77</v>
      </c>
      <c r="B161">
        <v>30.02</v>
      </c>
      <c r="C161">
        <v>5534.01</v>
      </c>
      <c r="D161">
        <v>7.61</v>
      </c>
      <c r="E161" t="s">
        <v>196</v>
      </c>
      <c r="F161" t="s">
        <v>441</v>
      </c>
      <c r="G161" t="s">
        <v>620</v>
      </c>
      <c r="H161" t="s">
        <v>830</v>
      </c>
      <c r="I161">
        <v>0</v>
      </c>
      <c r="J161">
        <v>470.03</v>
      </c>
      <c r="K161">
        <f t="shared" si="8"/>
        <v>47.33</v>
      </c>
      <c r="L161">
        <f t="shared" si="9"/>
        <v>52.55</v>
      </c>
      <c r="M161">
        <f t="shared" si="10"/>
        <v>-5.2199999999999989</v>
      </c>
      <c r="N161">
        <v>7.05</v>
      </c>
      <c r="O161">
        <v>84.96</v>
      </c>
      <c r="P161">
        <v>59</v>
      </c>
      <c r="Q161">
        <v>19.100000000000001</v>
      </c>
      <c r="R161">
        <v>11.25</v>
      </c>
      <c r="S161">
        <v>14.08</v>
      </c>
      <c r="T161">
        <v>4.6900000000000004</v>
      </c>
      <c r="U161">
        <v>11.77</v>
      </c>
      <c r="V161">
        <v>3541.77</v>
      </c>
      <c r="W161">
        <v>1075.44</v>
      </c>
      <c r="X161">
        <v>1487.98</v>
      </c>
      <c r="Y161">
        <v>811.94</v>
      </c>
      <c r="Z161">
        <v>5.85</v>
      </c>
      <c r="AA161">
        <v>1.65</v>
      </c>
      <c r="AB161">
        <v>4.3099999999999996</v>
      </c>
      <c r="AC161">
        <v>70.58</v>
      </c>
      <c r="AD161">
        <v>490</v>
      </c>
      <c r="AE161">
        <v>4700</v>
      </c>
      <c r="AF161">
        <v>80.91</v>
      </c>
      <c r="AG161">
        <v>0.47</v>
      </c>
      <c r="AH161">
        <v>7.51</v>
      </c>
      <c r="AI161">
        <v>42</v>
      </c>
      <c r="AJ161">
        <v>60</v>
      </c>
      <c r="AK161">
        <v>9</v>
      </c>
      <c r="AL161">
        <v>9</v>
      </c>
      <c r="AM161">
        <v>0.54</v>
      </c>
      <c r="AN161">
        <v>294</v>
      </c>
      <c r="AO161">
        <v>298.85000000000002</v>
      </c>
      <c r="AP161">
        <v>355092.05</v>
      </c>
      <c r="AQ161">
        <v>142085.25</v>
      </c>
      <c r="AR161" t="s">
        <v>1068</v>
      </c>
      <c r="AT161" s="6">
        <f t="shared" si="11"/>
        <v>12.157922374429223</v>
      </c>
    </row>
    <row r="162" spans="1:46" x14ac:dyDescent="0.55000000000000004">
      <c r="A162">
        <v>19.02</v>
      </c>
      <c r="B162">
        <v>30.15</v>
      </c>
      <c r="C162">
        <v>5471.44</v>
      </c>
      <c r="D162">
        <v>7.59</v>
      </c>
      <c r="E162" t="s">
        <v>197</v>
      </c>
      <c r="F162" t="s">
        <v>442</v>
      </c>
      <c r="G162" t="s">
        <v>586</v>
      </c>
      <c r="H162" t="s">
        <v>831</v>
      </c>
      <c r="I162">
        <v>0</v>
      </c>
      <c r="J162">
        <v>820.49</v>
      </c>
      <c r="K162">
        <f t="shared" si="8"/>
        <v>70.38</v>
      </c>
      <c r="L162">
        <f t="shared" si="9"/>
        <v>82.06</v>
      </c>
      <c r="M162">
        <f t="shared" si="10"/>
        <v>-11.680000000000007</v>
      </c>
      <c r="N162">
        <v>7.3</v>
      </c>
      <c r="O162">
        <v>84.74</v>
      </c>
      <c r="P162">
        <v>43</v>
      </c>
      <c r="Q162">
        <v>20.7</v>
      </c>
      <c r="R162">
        <v>11.13</v>
      </c>
      <c r="S162">
        <v>13.32</v>
      </c>
      <c r="T162">
        <v>5.69</v>
      </c>
      <c r="U162">
        <v>6.67</v>
      </c>
      <c r="V162">
        <v>3501.72</v>
      </c>
      <c r="W162">
        <v>1040.67</v>
      </c>
      <c r="X162">
        <v>1225.3399999999999</v>
      </c>
      <c r="Y162">
        <v>741.32</v>
      </c>
      <c r="Z162">
        <v>5.15</v>
      </c>
      <c r="AA162">
        <v>1.54</v>
      </c>
      <c r="AB162">
        <v>4.5199999999999996</v>
      </c>
      <c r="AC162">
        <v>66.16</v>
      </c>
      <c r="AD162">
        <v>490</v>
      </c>
      <c r="AE162">
        <v>4700</v>
      </c>
      <c r="AF162">
        <v>80.040000000000006</v>
      </c>
      <c r="AG162">
        <v>0.47</v>
      </c>
      <c r="AH162">
        <v>14.12</v>
      </c>
      <c r="AI162">
        <v>24.83</v>
      </c>
      <c r="AJ162">
        <v>60</v>
      </c>
      <c r="AK162">
        <v>9</v>
      </c>
      <c r="AL162">
        <v>9</v>
      </c>
      <c r="AM162">
        <v>0.91</v>
      </c>
      <c r="AN162">
        <v>294</v>
      </c>
      <c r="AO162">
        <v>302.20999999999998</v>
      </c>
      <c r="AP162">
        <v>367402.34</v>
      </c>
      <c r="AQ162">
        <v>240509.84</v>
      </c>
      <c r="AR162" t="s">
        <v>1069</v>
      </c>
      <c r="AT162" s="6">
        <f t="shared" si="11"/>
        <v>7.242722602739728</v>
      </c>
    </row>
    <row r="163" spans="1:46" x14ac:dyDescent="0.55000000000000004">
      <c r="A163">
        <v>18.18</v>
      </c>
      <c r="B163">
        <v>29.43</v>
      </c>
      <c r="C163">
        <v>5475.87</v>
      </c>
      <c r="D163">
        <v>7.6</v>
      </c>
      <c r="E163" t="s">
        <v>198</v>
      </c>
      <c r="F163" t="s">
        <v>443</v>
      </c>
      <c r="G163" t="s">
        <v>646</v>
      </c>
      <c r="H163" t="s">
        <v>832</v>
      </c>
      <c r="I163">
        <v>0</v>
      </c>
      <c r="J163">
        <v>704.91</v>
      </c>
      <c r="K163">
        <f t="shared" si="8"/>
        <v>60.660000000000004</v>
      </c>
      <c r="L163">
        <f t="shared" si="9"/>
        <v>70.38</v>
      </c>
      <c r="M163">
        <f t="shared" si="10"/>
        <v>-9.7199999999999918</v>
      </c>
      <c r="N163">
        <v>7.22</v>
      </c>
      <c r="O163">
        <v>84.6</v>
      </c>
      <c r="P163">
        <v>49</v>
      </c>
      <c r="Q163">
        <v>18.600000000000001</v>
      </c>
      <c r="R163">
        <v>11.26</v>
      </c>
      <c r="S163">
        <v>12.37</v>
      </c>
      <c r="T163">
        <v>5.81</v>
      </c>
      <c r="U163">
        <v>7.77</v>
      </c>
      <c r="V163">
        <v>3504.56</v>
      </c>
      <c r="W163">
        <v>1046.76</v>
      </c>
      <c r="X163">
        <v>1282.3499999999999</v>
      </c>
      <c r="Y163">
        <v>756.06</v>
      </c>
      <c r="Z163">
        <v>5.17</v>
      </c>
      <c r="AA163">
        <v>1.56</v>
      </c>
      <c r="AB163">
        <v>4.49</v>
      </c>
      <c r="AC163">
        <v>65.95</v>
      </c>
      <c r="AD163">
        <v>490</v>
      </c>
      <c r="AE163">
        <v>4700</v>
      </c>
      <c r="AF163">
        <v>80.94</v>
      </c>
      <c r="AG163">
        <v>0.47</v>
      </c>
      <c r="AH163">
        <v>11.96</v>
      </c>
      <c r="AI163">
        <v>28.94</v>
      </c>
      <c r="AJ163">
        <v>60</v>
      </c>
      <c r="AK163">
        <v>9</v>
      </c>
      <c r="AL163">
        <v>9</v>
      </c>
      <c r="AM163">
        <v>0.78</v>
      </c>
      <c r="AN163">
        <v>294</v>
      </c>
      <c r="AO163">
        <v>301.04000000000002</v>
      </c>
      <c r="AP163">
        <v>357578.93</v>
      </c>
      <c r="AQ163">
        <v>187413.44</v>
      </c>
      <c r="AR163" t="s">
        <v>1070</v>
      </c>
      <c r="AT163" s="6">
        <f t="shared" si="11"/>
        <v>9.7126421232876705</v>
      </c>
    </row>
    <row r="164" spans="1:46" x14ac:dyDescent="0.55000000000000004">
      <c r="A164">
        <v>17.059999999999999</v>
      </c>
      <c r="B164">
        <v>28.76</v>
      </c>
      <c r="C164">
        <v>5492.22</v>
      </c>
      <c r="D164">
        <v>7.6</v>
      </c>
      <c r="E164" t="s">
        <v>199</v>
      </c>
      <c r="F164" t="s">
        <v>444</v>
      </c>
      <c r="G164" t="s">
        <v>590</v>
      </c>
      <c r="H164" t="s">
        <v>833</v>
      </c>
      <c r="I164">
        <v>0</v>
      </c>
      <c r="J164">
        <v>611.25</v>
      </c>
      <c r="K164">
        <f t="shared" si="8"/>
        <v>54.62</v>
      </c>
      <c r="L164">
        <f t="shared" si="9"/>
        <v>62.08</v>
      </c>
      <c r="M164">
        <f t="shared" si="10"/>
        <v>-7.4600000000000009</v>
      </c>
      <c r="N164">
        <v>7.15</v>
      </c>
      <c r="O164">
        <v>85.41</v>
      </c>
      <c r="P164">
        <v>54</v>
      </c>
      <c r="Q164">
        <v>16.5</v>
      </c>
      <c r="R164">
        <v>11.7</v>
      </c>
      <c r="S164">
        <v>11.16</v>
      </c>
      <c r="T164">
        <v>5.9</v>
      </c>
      <c r="U164">
        <v>8.99</v>
      </c>
      <c r="V164">
        <v>3515.02</v>
      </c>
      <c r="W164">
        <v>1054.9100000000001</v>
      </c>
      <c r="X164">
        <v>1342.29</v>
      </c>
      <c r="Y164">
        <v>772.13</v>
      </c>
      <c r="Z164">
        <v>5.72</v>
      </c>
      <c r="AA164">
        <v>1.55</v>
      </c>
      <c r="AB164">
        <v>4.49</v>
      </c>
      <c r="AC164">
        <v>66.47</v>
      </c>
      <c r="AD164">
        <v>490</v>
      </c>
      <c r="AE164">
        <v>4700</v>
      </c>
      <c r="AF164">
        <v>84.1</v>
      </c>
      <c r="AG164">
        <v>0.47</v>
      </c>
      <c r="AH164">
        <v>10.53</v>
      </c>
      <c r="AI164">
        <v>35.56</v>
      </c>
      <c r="AJ164">
        <v>60</v>
      </c>
      <c r="AK164">
        <v>9</v>
      </c>
      <c r="AL164">
        <v>9</v>
      </c>
      <c r="AM164">
        <v>0.64</v>
      </c>
      <c r="AN164">
        <v>294</v>
      </c>
      <c r="AO164">
        <v>299.73</v>
      </c>
      <c r="AP164">
        <v>354920.79</v>
      </c>
      <c r="AQ164">
        <v>190491.86</v>
      </c>
      <c r="AR164" t="s">
        <v>1071</v>
      </c>
      <c r="AT164" s="6">
        <f t="shared" si="11"/>
        <v>9.3852128995433795</v>
      </c>
    </row>
    <row r="165" spans="1:46" x14ac:dyDescent="0.55000000000000004">
      <c r="A165">
        <v>17.940000000000001</v>
      </c>
      <c r="B165">
        <v>29.13</v>
      </c>
      <c r="C165">
        <v>5491.02</v>
      </c>
      <c r="D165">
        <v>7.62</v>
      </c>
      <c r="E165" t="s">
        <v>200</v>
      </c>
      <c r="F165" t="s">
        <v>445</v>
      </c>
      <c r="G165" t="s">
        <v>647</v>
      </c>
      <c r="H165" t="s">
        <v>834</v>
      </c>
      <c r="I165">
        <v>0</v>
      </c>
      <c r="J165">
        <v>875.34</v>
      </c>
      <c r="K165">
        <f t="shared" si="8"/>
        <v>76.2</v>
      </c>
      <c r="L165">
        <f t="shared" si="9"/>
        <v>87.350000000000009</v>
      </c>
      <c r="M165">
        <f t="shared" si="10"/>
        <v>-11.150000000000006</v>
      </c>
      <c r="N165">
        <v>7.34</v>
      </c>
      <c r="O165">
        <v>84.78</v>
      </c>
      <c r="P165">
        <v>49</v>
      </c>
      <c r="Q165">
        <v>18.2</v>
      </c>
      <c r="R165">
        <v>11.19</v>
      </c>
      <c r="S165">
        <v>12.03</v>
      </c>
      <c r="T165">
        <v>5.91</v>
      </c>
      <c r="U165">
        <v>6.27</v>
      </c>
      <c r="V165">
        <v>3514.25</v>
      </c>
      <c r="W165">
        <v>1042.7</v>
      </c>
      <c r="X165">
        <v>1210.49</v>
      </c>
      <c r="Y165">
        <v>739.27</v>
      </c>
      <c r="Z165">
        <v>5.23</v>
      </c>
      <c r="AA165">
        <v>1.54</v>
      </c>
      <c r="AB165">
        <v>4.54</v>
      </c>
      <c r="AC165">
        <v>65.430000000000007</v>
      </c>
      <c r="AD165">
        <v>490</v>
      </c>
      <c r="AE165">
        <v>4700</v>
      </c>
      <c r="AF165">
        <v>80.47</v>
      </c>
      <c r="AG165">
        <v>0.47</v>
      </c>
      <c r="AH165">
        <v>15.26</v>
      </c>
      <c r="AI165">
        <v>23.32</v>
      </c>
      <c r="AJ165">
        <v>60</v>
      </c>
      <c r="AK165">
        <v>9</v>
      </c>
      <c r="AL165">
        <v>9</v>
      </c>
      <c r="AM165">
        <v>0.97</v>
      </c>
      <c r="AN165">
        <v>294</v>
      </c>
      <c r="AO165">
        <v>302.74</v>
      </c>
      <c r="AP165">
        <v>385718.76</v>
      </c>
      <c r="AQ165">
        <v>262523.17</v>
      </c>
      <c r="AR165" t="s">
        <v>1072</v>
      </c>
      <c r="AT165" s="6">
        <f t="shared" si="11"/>
        <v>7.0317117579908688</v>
      </c>
    </row>
    <row r="166" spans="1:46" x14ac:dyDescent="0.55000000000000004">
      <c r="A166">
        <v>17.73</v>
      </c>
      <c r="B166">
        <v>28.97</v>
      </c>
      <c r="C166">
        <v>5495.95</v>
      </c>
      <c r="D166">
        <v>7.6</v>
      </c>
      <c r="E166" t="s">
        <v>201</v>
      </c>
      <c r="F166" t="s">
        <v>446</v>
      </c>
      <c r="G166" t="s">
        <v>578</v>
      </c>
      <c r="H166" t="s">
        <v>835</v>
      </c>
      <c r="I166">
        <v>0</v>
      </c>
      <c r="J166">
        <v>537.16</v>
      </c>
      <c r="K166">
        <f t="shared" si="8"/>
        <v>50.789999999999992</v>
      </c>
      <c r="L166">
        <f t="shared" si="9"/>
        <v>57.64</v>
      </c>
      <c r="M166">
        <f t="shared" si="10"/>
        <v>-6.8500000000000085</v>
      </c>
      <c r="N166">
        <v>7.11</v>
      </c>
      <c r="O166">
        <v>84.85</v>
      </c>
      <c r="P166">
        <v>54</v>
      </c>
      <c r="Q166">
        <v>16.600000000000001</v>
      </c>
      <c r="R166">
        <v>11.24</v>
      </c>
      <c r="S166">
        <v>11.25</v>
      </c>
      <c r="T166">
        <v>6.48</v>
      </c>
      <c r="U166">
        <v>10.23</v>
      </c>
      <c r="V166">
        <v>3517.41</v>
      </c>
      <c r="W166">
        <v>1062.29</v>
      </c>
      <c r="X166">
        <v>1412</v>
      </c>
      <c r="Y166">
        <v>790.38</v>
      </c>
      <c r="Z166">
        <v>5.73</v>
      </c>
      <c r="AA166">
        <v>1.59</v>
      </c>
      <c r="AB166">
        <v>4.42</v>
      </c>
      <c r="AC166">
        <v>63.42</v>
      </c>
      <c r="AD166">
        <v>490</v>
      </c>
      <c r="AE166">
        <v>4700</v>
      </c>
      <c r="AF166">
        <v>80.819999999999993</v>
      </c>
      <c r="AG166">
        <v>0.47</v>
      </c>
      <c r="AH166">
        <v>8.75</v>
      </c>
      <c r="AI166">
        <v>38.29</v>
      </c>
      <c r="AJ166">
        <v>60</v>
      </c>
      <c r="AK166">
        <v>9</v>
      </c>
      <c r="AL166">
        <v>9</v>
      </c>
      <c r="AM166">
        <v>0.59</v>
      </c>
      <c r="AN166">
        <v>294</v>
      </c>
      <c r="AO166">
        <v>299.32</v>
      </c>
      <c r="AP166">
        <v>349050.39</v>
      </c>
      <c r="AQ166">
        <v>164344.28</v>
      </c>
      <c r="AR166" t="s">
        <v>1073</v>
      </c>
      <c r="AT166" s="6">
        <f t="shared" si="11"/>
        <v>10.542586187214614</v>
      </c>
    </row>
    <row r="167" spans="1:46" x14ac:dyDescent="0.55000000000000004">
      <c r="A167">
        <v>19.22</v>
      </c>
      <c r="B167">
        <v>30.38</v>
      </c>
      <c r="C167">
        <v>5466.68</v>
      </c>
      <c r="D167">
        <v>7.6</v>
      </c>
      <c r="E167" t="s">
        <v>202</v>
      </c>
      <c r="F167" t="s">
        <v>447</v>
      </c>
      <c r="G167" t="s">
        <v>591</v>
      </c>
      <c r="H167" t="s">
        <v>799</v>
      </c>
      <c r="I167">
        <v>0</v>
      </c>
      <c r="J167">
        <v>813.09</v>
      </c>
      <c r="K167">
        <f t="shared" si="8"/>
        <v>70.36</v>
      </c>
      <c r="L167">
        <f t="shared" si="9"/>
        <v>82.03</v>
      </c>
      <c r="M167">
        <f t="shared" si="10"/>
        <v>-11.670000000000002</v>
      </c>
      <c r="N167">
        <v>7.3</v>
      </c>
      <c r="O167">
        <v>85.15</v>
      </c>
      <c r="P167">
        <v>42</v>
      </c>
      <c r="Q167">
        <v>21.2</v>
      </c>
      <c r="R167">
        <v>11.16</v>
      </c>
      <c r="S167">
        <v>13.59</v>
      </c>
      <c r="T167">
        <v>5.63</v>
      </c>
      <c r="U167">
        <v>6.72</v>
      </c>
      <c r="V167">
        <v>3498.68</v>
      </c>
      <c r="W167">
        <v>1040.74</v>
      </c>
      <c r="X167">
        <v>1232.3699999999999</v>
      </c>
      <c r="Y167">
        <v>743.06</v>
      </c>
      <c r="Z167">
        <v>5.15</v>
      </c>
      <c r="AA167">
        <v>1.55</v>
      </c>
      <c r="AB167">
        <v>4.49</v>
      </c>
      <c r="AC167">
        <v>66.459999999999994</v>
      </c>
      <c r="AD167">
        <v>490</v>
      </c>
      <c r="AE167">
        <v>4700</v>
      </c>
      <c r="AF167">
        <v>80.22</v>
      </c>
      <c r="AG167">
        <v>0.47</v>
      </c>
      <c r="AH167">
        <v>14.02</v>
      </c>
      <c r="AI167">
        <v>24.84</v>
      </c>
      <c r="AJ167">
        <v>60</v>
      </c>
      <c r="AK167">
        <v>9</v>
      </c>
      <c r="AL167">
        <v>9</v>
      </c>
      <c r="AM167">
        <v>0.91</v>
      </c>
      <c r="AN167">
        <v>294</v>
      </c>
      <c r="AO167">
        <v>302.2</v>
      </c>
      <c r="AP167">
        <v>366535.92</v>
      </c>
      <c r="AQ167">
        <v>234636.28</v>
      </c>
      <c r="AR167" t="s">
        <v>1074</v>
      </c>
      <c r="AT167" s="6">
        <f t="shared" si="11"/>
        <v>7.5285182648401818</v>
      </c>
    </row>
    <row r="168" spans="1:46" x14ac:dyDescent="0.55000000000000004">
      <c r="A168">
        <v>17.97</v>
      </c>
      <c r="B168">
        <v>29.22</v>
      </c>
      <c r="C168">
        <v>5484.96</v>
      </c>
      <c r="D168">
        <v>7.6</v>
      </c>
      <c r="E168" t="s">
        <v>203</v>
      </c>
      <c r="F168" t="s">
        <v>448</v>
      </c>
      <c r="G168" t="s">
        <v>603</v>
      </c>
      <c r="H168" t="s">
        <v>836</v>
      </c>
      <c r="I168">
        <v>0</v>
      </c>
      <c r="J168">
        <v>428.1</v>
      </c>
      <c r="K168">
        <f t="shared" si="8"/>
        <v>45.74</v>
      </c>
      <c r="L168">
        <f t="shared" si="9"/>
        <v>51.69</v>
      </c>
      <c r="M168">
        <f t="shared" si="10"/>
        <v>-5.9499999999999957</v>
      </c>
      <c r="N168">
        <v>7.03</v>
      </c>
      <c r="O168">
        <v>85</v>
      </c>
      <c r="P168">
        <v>51</v>
      </c>
      <c r="Q168">
        <v>18.2</v>
      </c>
      <c r="R168">
        <v>11.25</v>
      </c>
      <c r="S168">
        <v>12.28</v>
      </c>
      <c r="T168">
        <v>5.69</v>
      </c>
      <c r="U168">
        <v>12.81</v>
      </c>
      <c r="V168">
        <v>3510.37</v>
      </c>
      <c r="W168">
        <v>1071.93</v>
      </c>
      <c r="X168">
        <v>1537.25</v>
      </c>
      <c r="Y168">
        <v>820.77</v>
      </c>
      <c r="Z168">
        <v>5.75</v>
      </c>
      <c r="AA168">
        <v>1.64</v>
      </c>
      <c r="AB168">
        <v>4.32</v>
      </c>
      <c r="AC168">
        <v>66.430000000000007</v>
      </c>
      <c r="AD168">
        <v>490</v>
      </c>
      <c r="AE168">
        <v>4700</v>
      </c>
      <c r="AF168">
        <v>80.92</v>
      </c>
      <c r="AG168">
        <v>0.47</v>
      </c>
      <c r="AH168">
        <v>6.85</v>
      </c>
      <c r="AI168">
        <v>42.7</v>
      </c>
      <c r="AJ168">
        <v>60</v>
      </c>
      <c r="AK168">
        <v>9</v>
      </c>
      <c r="AL168">
        <v>9</v>
      </c>
      <c r="AM168">
        <v>0.53</v>
      </c>
      <c r="AN168">
        <v>294</v>
      </c>
      <c r="AO168">
        <v>298.77</v>
      </c>
      <c r="AP168">
        <v>344555.1</v>
      </c>
      <c r="AQ168">
        <v>135390</v>
      </c>
      <c r="AR168" t="s">
        <v>1075</v>
      </c>
      <c r="AT168" s="6">
        <f t="shared" si="11"/>
        <v>11.938647260273971</v>
      </c>
    </row>
    <row r="169" spans="1:46" x14ac:dyDescent="0.55000000000000004">
      <c r="A169">
        <v>17.239999999999998</v>
      </c>
      <c r="B169">
        <v>28.76</v>
      </c>
      <c r="C169">
        <v>5517.21</v>
      </c>
      <c r="D169">
        <v>7.6</v>
      </c>
      <c r="E169" t="s">
        <v>204</v>
      </c>
      <c r="F169" t="s">
        <v>449</v>
      </c>
      <c r="G169" t="s">
        <v>638</v>
      </c>
      <c r="H169" t="s">
        <v>837</v>
      </c>
      <c r="I169">
        <v>0</v>
      </c>
      <c r="J169">
        <v>244.72</v>
      </c>
      <c r="K169">
        <f t="shared" si="8"/>
        <v>38.910000000000004</v>
      </c>
      <c r="L169">
        <f t="shared" si="9"/>
        <v>42.61</v>
      </c>
      <c r="M169">
        <f t="shared" si="10"/>
        <v>-3.6999999999999957</v>
      </c>
      <c r="N169">
        <v>6.89</v>
      </c>
      <c r="O169">
        <v>85.03</v>
      </c>
      <c r="P169">
        <v>52</v>
      </c>
      <c r="Q169">
        <v>16.7</v>
      </c>
      <c r="R169">
        <v>11.52</v>
      </c>
      <c r="S169">
        <v>11.1</v>
      </c>
      <c r="T169">
        <v>6.13</v>
      </c>
      <c r="U169">
        <v>22.54</v>
      </c>
      <c r="V169">
        <v>3531.01</v>
      </c>
      <c r="W169">
        <v>1119.6600000000001</v>
      </c>
      <c r="X169">
        <v>2005.68</v>
      </c>
      <c r="Y169">
        <v>939.14</v>
      </c>
      <c r="Z169">
        <v>6.39</v>
      </c>
      <c r="AA169">
        <v>1.76</v>
      </c>
      <c r="AB169">
        <v>4.08</v>
      </c>
      <c r="AC169">
        <v>65.260000000000005</v>
      </c>
      <c r="AD169">
        <v>490</v>
      </c>
      <c r="AE169">
        <v>4700</v>
      </c>
      <c r="AF169">
        <v>82.86</v>
      </c>
      <c r="AG169">
        <v>0.47</v>
      </c>
      <c r="AH169">
        <v>3.85</v>
      </c>
      <c r="AI169">
        <v>55.78</v>
      </c>
      <c r="AJ169">
        <v>60</v>
      </c>
      <c r="AK169">
        <v>9</v>
      </c>
      <c r="AL169">
        <v>9</v>
      </c>
      <c r="AM169">
        <v>0.41</v>
      </c>
      <c r="AN169">
        <v>294</v>
      </c>
      <c r="AO169">
        <v>297.64999999999998</v>
      </c>
      <c r="AP169">
        <v>342542.77</v>
      </c>
      <c r="AQ169">
        <v>116763.75</v>
      </c>
      <c r="AR169" t="s">
        <v>1076</v>
      </c>
      <c r="AT169" s="6">
        <f t="shared" si="11"/>
        <v>12.886930365296804</v>
      </c>
    </row>
    <row r="170" spans="1:46" x14ac:dyDescent="0.55000000000000004">
      <c r="A170">
        <v>17.71</v>
      </c>
      <c r="B170">
        <v>28.98</v>
      </c>
      <c r="C170">
        <v>5477.77</v>
      </c>
      <c r="D170">
        <v>7.6</v>
      </c>
      <c r="E170" t="s">
        <v>205</v>
      </c>
      <c r="F170" t="s">
        <v>450</v>
      </c>
      <c r="G170" t="s">
        <v>639</v>
      </c>
      <c r="H170" t="s">
        <v>761</v>
      </c>
      <c r="I170">
        <v>0</v>
      </c>
      <c r="J170">
        <v>525.85</v>
      </c>
      <c r="K170">
        <f t="shared" si="8"/>
        <v>49.37</v>
      </c>
      <c r="L170">
        <f t="shared" si="9"/>
        <v>55.980000000000004</v>
      </c>
      <c r="M170">
        <f t="shared" si="10"/>
        <v>-6.6100000000000065</v>
      </c>
      <c r="N170">
        <v>7.08</v>
      </c>
      <c r="O170">
        <v>85.1</v>
      </c>
      <c r="P170">
        <v>54</v>
      </c>
      <c r="Q170">
        <v>16.7</v>
      </c>
      <c r="R170">
        <v>11.27</v>
      </c>
      <c r="S170">
        <v>11.34</v>
      </c>
      <c r="T170">
        <v>6.37</v>
      </c>
      <c r="U170">
        <v>10.42</v>
      </c>
      <c r="V170">
        <v>3505.77</v>
      </c>
      <c r="W170">
        <v>1057.19</v>
      </c>
      <c r="X170">
        <v>1399.38</v>
      </c>
      <c r="Y170">
        <v>784.45</v>
      </c>
      <c r="Z170">
        <v>5.73</v>
      </c>
      <c r="AA170">
        <v>1.59</v>
      </c>
      <c r="AB170">
        <v>4.43</v>
      </c>
      <c r="AC170">
        <v>63.87</v>
      </c>
      <c r="AD170">
        <v>490</v>
      </c>
      <c r="AE170">
        <v>4700</v>
      </c>
      <c r="AF170">
        <v>81.03</v>
      </c>
      <c r="AG170">
        <v>0.47</v>
      </c>
      <c r="AH170">
        <v>8.6</v>
      </c>
      <c r="AI170">
        <v>39.43</v>
      </c>
      <c r="AJ170">
        <v>60</v>
      </c>
      <c r="AK170">
        <v>9</v>
      </c>
      <c r="AL170">
        <v>9</v>
      </c>
      <c r="AM170">
        <v>0.56999999999999995</v>
      </c>
      <c r="AN170">
        <v>294</v>
      </c>
      <c r="AO170">
        <v>299.17</v>
      </c>
      <c r="AP170">
        <v>348995.06</v>
      </c>
      <c r="AQ170">
        <v>165728.1</v>
      </c>
      <c r="AR170" t="s">
        <v>1077</v>
      </c>
      <c r="AT170" s="6">
        <f t="shared" si="11"/>
        <v>10.460442922374428</v>
      </c>
    </row>
    <row r="171" spans="1:46" x14ac:dyDescent="0.55000000000000004">
      <c r="A171">
        <v>18.72</v>
      </c>
      <c r="B171">
        <v>29.87</v>
      </c>
      <c r="C171">
        <v>5493</v>
      </c>
      <c r="D171">
        <v>7.61</v>
      </c>
      <c r="E171" t="s">
        <v>206</v>
      </c>
      <c r="F171" t="s">
        <v>451</v>
      </c>
      <c r="G171" t="s">
        <v>648</v>
      </c>
      <c r="H171" t="s">
        <v>838</v>
      </c>
      <c r="I171">
        <v>0</v>
      </c>
      <c r="J171">
        <v>388.19</v>
      </c>
      <c r="K171">
        <f t="shared" si="8"/>
        <v>44.73</v>
      </c>
      <c r="L171">
        <f t="shared" si="9"/>
        <v>50.5</v>
      </c>
      <c r="M171">
        <f t="shared" si="10"/>
        <v>-5.7700000000000031</v>
      </c>
      <c r="N171">
        <v>7.01</v>
      </c>
      <c r="O171">
        <v>84.94</v>
      </c>
      <c r="P171">
        <v>44</v>
      </c>
      <c r="Q171">
        <v>20.100000000000001</v>
      </c>
      <c r="R171">
        <v>11.15</v>
      </c>
      <c r="S171">
        <v>12.97</v>
      </c>
      <c r="T171">
        <v>5.75</v>
      </c>
      <c r="U171">
        <v>14.15</v>
      </c>
      <c r="V171">
        <v>3515.52</v>
      </c>
      <c r="W171">
        <v>1081.1099999999999</v>
      </c>
      <c r="X171">
        <v>1616.46</v>
      </c>
      <c r="Y171">
        <v>842.03</v>
      </c>
      <c r="Z171">
        <v>5.76</v>
      </c>
      <c r="AA171">
        <v>1.69</v>
      </c>
      <c r="AB171">
        <v>4.24</v>
      </c>
      <c r="AC171">
        <v>65.98</v>
      </c>
      <c r="AD171">
        <v>490</v>
      </c>
      <c r="AE171">
        <v>4700</v>
      </c>
      <c r="AF171">
        <v>80.19</v>
      </c>
      <c r="AG171">
        <v>0.47</v>
      </c>
      <c r="AH171">
        <v>6.1</v>
      </c>
      <c r="AI171">
        <v>43.7</v>
      </c>
      <c r="AJ171">
        <v>60</v>
      </c>
      <c r="AK171">
        <v>9</v>
      </c>
      <c r="AL171">
        <v>9</v>
      </c>
      <c r="AM171">
        <v>0.52</v>
      </c>
      <c r="AN171">
        <v>294</v>
      </c>
      <c r="AO171">
        <v>298.66000000000003</v>
      </c>
      <c r="AP171">
        <v>345026.09</v>
      </c>
      <c r="AQ171">
        <v>124808.81</v>
      </c>
      <c r="AR171" t="s">
        <v>1078</v>
      </c>
      <c r="AT171" s="6">
        <f t="shared" si="11"/>
        <v>12.569479452054797</v>
      </c>
    </row>
    <row r="172" spans="1:46" x14ac:dyDescent="0.55000000000000004">
      <c r="A172">
        <v>18.190000000000001</v>
      </c>
      <c r="B172">
        <v>29.49</v>
      </c>
      <c r="C172">
        <v>5442.22</v>
      </c>
      <c r="D172">
        <v>7.61</v>
      </c>
      <c r="E172" t="s">
        <v>207</v>
      </c>
      <c r="F172" t="s">
        <v>452</v>
      </c>
      <c r="G172" t="s">
        <v>611</v>
      </c>
      <c r="H172" t="s">
        <v>839</v>
      </c>
      <c r="I172">
        <v>0</v>
      </c>
      <c r="J172">
        <v>764.11</v>
      </c>
      <c r="K172">
        <f t="shared" si="8"/>
        <v>66.149999999999991</v>
      </c>
      <c r="L172">
        <f t="shared" si="9"/>
        <v>76.97999999999999</v>
      </c>
      <c r="M172">
        <f t="shared" si="10"/>
        <v>-10.829999999999998</v>
      </c>
      <c r="N172">
        <v>7.27</v>
      </c>
      <c r="O172">
        <v>85.22</v>
      </c>
      <c r="P172">
        <v>49</v>
      </c>
      <c r="Q172">
        <v>18.399999999999999</v>
      </c>
      <c r="R172">
        <v>11.3</v>
      </c>
      <c r="S172">
        <v>12.2</v>
      </c>
      <c r="T172">
        <v>5.99</v>
      </c>
      <c r="U172">
        <v>7.12</v>
      </c>
      <c r="V172">
        <v>3483.02</v>
      </c>
      <c r="W172">
        <v>1038.17</v>
      </c>
      <c r="X172">
        <v>1248.99</v>
      </c>
      <c r="Y172">
        <v>745.33</v>
      </c>
      <c r="Z172">
        <v>5.16</v>
      </c>
      <c r="AA172">
        <v>1.55</v>
      </c>
      <c r="AB172">
        <v>4.5199999999999996</v>
      </c>
      <c r="AC172">
        <v>65.33</v>
      </c>
      <c r="AD172">
        <v>490</v>
      </c>
      <c r="AE172">
        <v>4700</v>
      </c>
      <c r="AF172">
        <v>81.23</v>
      </c>
      <c r="AG172">
        <v>0.47</v>
      </c>
      <c r="AH172">
        <v>13.27</v>
      </c>
      <c r="AI172">
        <v>26.47</v>
      </c>
      <c r="AJ172">
        <v>60</v>
      </c>
      <c r="AK172">
        <v>9</v>
      </c>
      <c r="AL172">
        <v>9</v>
      </c>
      <c r="AM172">
        <v>0.86</v>
      </c>
      <c r="AN172">
        <v>294</v>
      </c>
      <c r="AO172">
        <v>301.7</v>
      </c>
      <c r="AP172">
        <v>363578.18</v>
      </c>
      <c r="AQ172">
        <v>211580.01</v>
      </c>
      <c r="AR172" t="s">
        <v>1079</v>
      </c>
      <c r="AT172" s="6">
        <f t="shared" si="11"/>
        <v>8.6756946347031949</v>
      </c>
    </row>
    <row r="173" spans="1:46" x14ac:dyDescent="0.55000000000000004">
      <c r="A173">
        <v>18.059999999999999</v>
      </c>
      <c r="B173">
        <v>29.35</v>
      </c>
      <c r="C173">
        <v>5463.37</v>
      </c>
      <c r="D173">
        <v>7.61</v>
      </c>
      <c r="E173" t="s">
        <v>208</v>
      </c>
      <c r="F173" t="s">
        <v>453</v>
      </c>
      <c r="G173" t="s">
        <v>649</v>
      </c>
      <c r="H173" t="s">
        <v>840</v>
      </c>
      <c r="I173">
        <v>0</v>
      </c>
      <c r="J173">
        <v>513.59</v>
      </c>
      <c r="K173">
        <f t="shared" si="8"/>
        <v>48.91</v>
      </c>
      <c r="L173">
        <f t="shared" si="9"/>
        <v>55.449999999999996</v>
      </c>
      <c r="M173">
        <f t="shared" si="10"/>
        <v>-6.5399999999999991</v>
      </c>
      <c r="N173">
        <v>7.08</v>
      </c>
      <c r="O173">
        <v>85.06</v>
      </c>
      <c r="P173">
        <v>50</v>
      </c>
      <c r="Q173">
        <v>18.100000000000001</v>
      </c>
      <c r="R173">
        <v>11.29</v>
      </c>
      <c r="S173">
        <v>12.07</v>
      </c>
      <c r="T173">
        <v>5.99</v>
      </c>
      <c r="U173">
        <v>10.64</v>
      </c>
      <c r="V173">
        <v>3496.56</v>
      </c>
      <c r="W173">
        <v>1056.4100000000001</v>
      </c>
      <c r="X173">
        <v>1414.3</v>
      </c>
      <c r="Y173">
        <v>787.48</v>
      </c>
      <c r="Z173">
        <v>5.73</v>
      </c>
      <c r="AA173">
        <v>1.61</v>
      </c>
      <c r="AB173">
        <v>4.3899999999999997</v>
      </c>
      <c r="AC173">
        <v>65.33</v>
      </c>
      <c r="AD173">
        <v>490</v>
      </c>
      <c r="AE173">
        <v>4700</v>
      </c>
      <c r="AF173">
        <v>81.19</v>
      </c>
      <c r="AG173">
        <v>0.47</v>
      </c>
      <c r="AH173">
        <v>8.42</v>
      </c>
      <c r="AI173">
        <v>39.81</v>
      </c>
      <c r="AJ173">
        <v>60</v>
      </c>
      <c r="AK173">
        <v>9</v>
      </c>
      <c r="AL173">
        <v>9</v>
      </c>
      <c r="AM173">
        <v>0.56999999999999995</v>
      </c>
      <c r="AN173">
        <v>294</v>
      </c>
      <c r="AO173">
        <v>299.12</v>
      </c>
      <c r="AP173">
        <v>347154.47</v>
      </c>
      <c r="AQ173">
        <v>160037.41</v>
      </c>
      <c r="AR173" t="s">
        <v>1080</v>
      </c>
      <c r="AT173" s="6">
        <f t="shared" si="11"/>
        <v>10.680197488584474</v>
      </c>
    </row>
    <row r="174" spans="1:46" x14ac:dyDescent="0.55000000000000004">
      <c r="A174">
        <v>17.63</v>
      </c>
      <c r="B174">
        <v>29.02</v>
      </c>
      <c r="C174">
        <v>5494.76</v>
      </c>
      <c r="D174">
        <v>7.6</v>
      </c>
      <c r="E174" t="s">
        <v>209</v>
      </c>
      <c r="F174" t="s">
        <v>454</v>
      </c>
      <c r="G174" t="s">
        <v>603</v>
      </c>
      <c r="H174" t="s">
        <v>841</v>
      </c>
      <c r="I174">
        <v>0</v>
      </c>
      <c r="J174">
        <v>739.36</v>
      </c>
      <c r="K174">
        <f t="shared" si="8"/>
        <v>63.4</v>
      </c>
      <c r="L174">
        <f t="shared" si="9"/>
        <v>72.97</v>
      </c>
      <c r="M174">
        <f t="shared" si="10"/>
        <v>-9.57</v>
      </c>
      <c r="N174">
        <v>7.24</v>
      </c>
      <c r="O174">
        <v>85.04</v>
      </c>
      <c r="P174">
        <v>54</v>
      </c>
      <c r="Q174">
        <v>16.399999999999999</v>
      </c>
      <c r="R174">
        <v>11.4</v>
      </c>
      <c r="S174">
        <v>11.08</v>
      </c>
      <c r="T174">
        <v>6.55</v>
      </c>
      <c r="U174">
        <v>7.43</v>
      </c>
      <c r="V174">
        <v>3516.65</v>
      </c>
      <c r="W174">
        <v>1048.99</v>
      </c>
      <c r="X174">
        <v>1270.79</v>
      </c>
      <c r="Y174">
        <v>754.81</v>
      </c>
      <c r="Z174">
        <v>5.21</v>
      </c>
      <c r="AA174">
        <v>1.54</v>
      </c>
      <c r="AB174">
        <v>4.5199999999999996</v>
      </c>
      <c r="AC174">
        <v>63.49</v>
      </c>
      <c r="AD174">
        <v>490</v>
      </c>
      <c r="AE174">
        <v>4700</v>
      </c>
      <c r="AF174">
        <v>81.95</v>
      </c>
      <c r="AG174">
        <v>0.47</v>
      </c>
      <c r="AH174">
        <v>12.74</v>
      </c>
      <c r="AI174">
        <v>27.92</v>
      </c>
      <c r="AJ174">
        <v>60</v>
      </c>
      <c r="AK174">
        <v>9</v>
      </c>
      <c r="AL174">
        <v>9</v>
      </c>
      <c r="AM174">
        <v>0.81</v>
      </c>
      <c r="AN174">
        <v>294</v>
      </c>
      <c r="AO174">
        <v>301.3</v>
      </c>
      <c r="AP174">
        <v>365402.7</v>
      </c>
      <c r="AQ174">
        <v>197071.96</v>
      </c>
      <c r="AR174" t="s">
        <v>1081</v>
      </c>
      <c r="AT174" s="6">
        <f t="shared" si="11"/>
        <v>9.6079189497716904</v>
      </c>
    </row>
    <row r="175" spans="1:46" x14ac:dyDescent="0.55000000000000004">
      <c r="A175">
        <v>17.940000000000001</v>
      </c>
      <c r="B175">
        <v>29.25</v>
      </c>
      <c r="C175">
        <v>5475.06</v>
      </c>
      <c r="D175">
        <v>7.59</v>
      </c>
      <c r="E175" t="s">
        <v>210</v>
      </c>
      <c r="F175" t="s">
        <v>455</v>
      </c>
      <c r="G175" t="s">
        <v>578</v>
      </c>
      <c r="H175" t="s">
        <v>842</v>
      </c>
      <c r="I175">
        <v>0</v>
      </c>
      <c r="J175">
        <v>651.95000000000005</v>
      </c>
      <c r="K175">
        <f t="shared" si="8"/>
        <v>57.58</v>
      </c>
      <c r="L175">
        <f t="shared" si="9"/>
        <v>65.679999999999993</v>
      </c>
      <c r="M175">
        <f t="shared" si="10"/>
        <v>-8.0999999999999943</v>
      </c>
      <c r="N175">
        <v>7.18</v>
      </c>
      <c r="O175">
        <v>84.7</v>
      </c>
      <c r="P175">
        <v>52</v>
      </c>
      <c r="Q175">
        <v>17.5</v>
      </c>
      <c r="R175">
        <v>11.3</v>
      </c>
      <c r="S175">
        <v>11.8</v>
      </c>
      <c r="T175">
        <v>6.15</v>
      </c>
      <c r="U175">
        <v>8.4</v>
      </c>
      <c r="V175">
        <v>3504.04</v>
      </c>
      <c r="W175">
        <v>1049.83</v>
      </c>
      <c r="X175">
        <v>1315.94</v>
      </c>
      <c r="Y175">
        <v>764.57</v>
      </c>
      <c r="Z175">
        <v>5.7</v>
      </c>
      <c r="AA175">
        <v>1.55</v>
      </c>
      <c r="AB175">
        <v>4.49</v>
      </c>
      <c r="AC175">
        <v>64.77</v>
      </c>
      <c r="AD175">
        <v>490</v>
      </c>
      <c r="AE175">
        <v>4700</v>
      </c>
      <c r="AF175">
        <v>81.28</v>
      </c>
      <c r="AG175">
        <v>0.47</v>
      </c>
      <c r="AH175">
        <v>10.99</v>
      </c>
      <c r="AI175">
        <v>33.6</v>
      </c>
      <c r="AJ175">
        <v>60</v>
      </c>
      <c r="AK175">
        <v>9</v>
      </c>
      <c r="AL175">
        <v>9</v>
      </c>
      <c r="AM175">
        <v>0.67</v>
      </c>
      <c r="AN175">
        <v>294</v>
      </c>
      <c r="AO175">
        <v>300.06</v>
      </c>
      <c r="AP175">
        <v>356388.24</v>
      </c>
      <c r="AQ175">
        <v>204641.77</v>
      </c>
      <c r="AR175" t="s">
        <v>1082</v>
      </c>
      <c r="AT175" s="6">
        <f t="shared" si="11"/>
        <v>8.6613281963470321</v>
      </c>
    </row>
    <row r="176" spans="1:46" x14ac:dyDescent="0.55000000000000004">
      <c r="A176">
        <v>18.36</v>
      </c>
      <c r="B176">
        <v>29.53</v>
      </c>
      <c r="C176">
        <v>5468.73</v>
      </c>
      <c r="D176">
        <v>7.61</v>
      </c>
      <c r="E176" t="s">
        <v>211</v>
      </c>
      <c r="F176" t="s">
        <v>456</v>
      </c>
      <c r="G176" t="s">
        <v>608</v>
      </c>
      <c r="H176" t="s">
        <v>843</v>
      </c>
      <c r="I176">
        <v>0</v>
      </c>
      <c r="J176">
        <v>682.29</v>
      </c>
      <c r="K176">
        <f t="shared" si="8"/>
        <v>58.94</v>
      </c>
      <c r="L176">
        <f t="shared" si="9"/>
        <v>67.86</v>
      </c>
      <c r="M176">
        <f t="shared" si="10"/>
        <v>-8.9200000000000017</v>
      </c>
      <c r="N176">
        <v>7.2</v>
      </c>
      <c r="O176">
        <v>85.29</v>
      </c>
      <c r="P176">
        <v>47</v>
      </c>
      <c r="Q176">
        <v>19.100000000000001</v>
      </c>
      <c r="R176">
        <v>11.17</v>
      </c>
      <c r="S176">
        <v>12.53</v>
      </c>
      <c r="T176">
        <v>5.82</v>
      </c>
      <c r="U176">
        <v>8.02</v>
      </c>
      <c r="V176">
        <v>3499.99</v>
      </c>
      <c r="W176">
        <v>1046.1500000000001</v>
      </c>
      <c r="X176">
        <v>1290.42</v>
      </c>
      <c r="Y176">
        <v>757.3</v>
      </c>
      <c r="Z176">
        <v>5.21</v>
      </c>
      <c r="AA176">
        <v>1.57</v>
      </c>
      <c r="AB176">
        <v>4.47</v>
      </c>
      <c r="AC176">
        <v>65.73</v>
      </c>
      <c r="AD176">
        <v>490</v>
      </c>
      <c r="AE176">
        <v>4700</v>
      </c>
      <c r="AF176">
        <v>80.33</v>
      </c>
      <c r="AG176">
        <v>0.47</v>
      </c>
      <c r="AH176">
        <v>11.45</v>
      </c>
      <c r="AI176">
        <v>30.02</v>
      </c>
      <c r="AJ176">
        <v>60</v>
      </c>
      <c r="AK176">
        <v>9</v>
      </c>
      <c r="AL176">
        <v>9</v>
      </c>
      <c r="AM176">
        <v>0.75</v>
      </c>
      <c r="AN176">
        <v>294</v>
      </c>
      <c r="AO176">
        <v>300.79000000000002</v>
      </c>
      <c r="AP176">
        <v>360812.06</v>
      </c>
      <c r="AQ176">
        <v>178404.25</v>
      </c>
      <c r="AR176" t="s">
        <v>1083</v>
      </c>
      <c r="AT176" s="6">
        <f t="shared" si="11"/>
        <v>10.411404680365298</v>
      </c>
    </row>
    <row r="177" spans="1:46" x14ac:dyDescent="0.55000000000000004">
      <c r="A177">
        <v>17.850000000000001</v>
      </c>
      <c r="B177">
        <v>29.11</v>
      </c>
      <c r="C177">
        <v>5460.81</v>
      </c>
      <c r="D177">
        <v>7.59</v>
      </c>
      <c r="E177" t="s">
        <v>212</v>
      </c>
      <c r="F177" t="s">
        <v>457</v>
      </c>
      <c r="G177" t="s">
        <v>580</v>
      </c>
      <c r="H177" t="s">
        <v>844</v>
      </c>
      <c r="I177">
        <v>0</v>
      </c>
      <c r="J177">
        <v>781.1</v>
      </c>
      <c r="K177">
        <f t="shared" si="8"/>
        <v>67.009999999999991</v>
      </c>
      <c r="L177">
        <f t="shared" si="9"/>
        <v>78.009999999999991</v>
      </c>
      <c r="M177">
        <f t="shared" si="10"/>
        <v>-11</v>
      </c>
      <c r="N177">
        <v>7.27</v>
      </c>
      <c r="O177">
        <v>85.13</v>
      </c>
      <c r="P177">
        <v>54</v>
      </c>
      <c r="Q177">
        <v>16.8</v>
      </c>
      <c r="R177">
        <v>11.26</v>
      </c>
      <c r="S177">
        <v>11.43</v>
      </c>
      <c r="T177">
        <v>6.42</v>
      </c>
      <c r="U177">
        <v>6.99</v>
      </c>
      <c r="V177">
        <v>3494.92</v>
      </c>
      <c r="W177">
        <v>1040.79</v>
      </c>
      <c r="X177">
        <v>1243.98</v>
      </c>
      <c r="Y177">
        <v>745.45</v>
      </c>
      <c r="Z177">
        <v>5.15</v>
      </c>
      <c r="AA177">
        <v>1.52</v>
      </c>
      <c r="AB177">
        <v>4.55</v>
      </c>
      <c r="AC177">
        <v>63.67</v>
      </c>
      <c r="AD177">
        <v>490</v>
      </c>
      <c r="AE177">
        <v>4700</v>
      </c>
      <c r="AF177">
        <v>80.959999999999994</v>
      </c>
      <c r="AG177">
        <v>0.47</v>
      </c>
      <c r="AH177">
        <v>13.51</v>
      </c>
      <c r="AI177">
        <v>26.12</v>
      </c>
      <c r="AJ177">
        <v>60</v>
      </c>
      <c r="AK177">
        <v>9</v>
      </c>
      <c r="AL177">
        <v>9</v>
      </c>
      <c r="AM177">
        <v>0.87</v>
      </c>
      <c r="AN177">
        <v>294</v>
      </c>
      <c r="AO177">
        <v>301.8</v>
      </c>
      <c r="AP177">
        <v>362590.52</v>
      </c>
      <c r="AQ177">
        <v>218435.69</v>
      </c>
      <c r="AR177" t="s">
        <v>1084</v>
      </c>
      <c r="AT177" s="6">
        <f t="shared" si="11"/>
        <v>8.2280154109589052</v>
      </c>
    </row>
    <row r="178" spans="1:46" x14ac:dyDescent="0.55000000000000004">
      <c r="A178">
        <v>17.93</v>
      </c>
      <c r="B178">
        <v>29.22</v>
      </c>
      <c r="C178">
        <v>5482.95</v>
      </c>
      <c r="D178">
        <v>7.6</v>
      </c>
      <c r="E178" t="s">
        <v>213</v>
      </c>
      <c r="F178" t="s">
        <v>458</v>
      </c>
      <c r="G178" t="s">
        <v>650</v>
      </c>
      <c r="H178" t="s">
        <v>845</v>
      </c>
      <c r="I178">
        <v>0</v>
      </c>
      <c r="J178">
        <v>617.98</v>
      </c>
      <c r="K178">
        <f t="shared" si="8"/>
        <v>54.89</v>
      </c>
      <c r="L178">
        <f t="shared" si="9"/>
        <v>62.510000000000005</v>
      </c>
      <c r="M178">
        <f t="shared" si="10"/>
        <v>-7.6200000000000045</v>
      </c>
      <c r="N178">
        <v>7.15</v>
      </c>
      <c r="O178">
        <v>85.06</v>
      </c>
      <c r="P178">
        <v>55</v>
      </c>
      <c r="Q178">
        <v>17.5</v>
      </c>
      <c r="R178">
        <v>11.29</v>
      </c>
      <c r="S178">
        <v>12.16</v>
      </c>
      <c r="T178">
        <v>5.77</v>
      </c>
      <c r="U178">
        <v>8.8699999999999992</v>
      </c>
      <c r="V178">
        <v>3509.09</v>
      </c>
      <c r="W178">
        <v>1052.3900000000001</v>
      </c>
      <c r="X178">
        <v>1333.08</v>
      </c>
      <c r="Y178">
        <v>768.94</v>
      </c>
      <c r="Z178">
        <v>5.71</v>
      </c>
      <c r="AA178">
        <v>1.57</v>
      </c>
      <c r="AB178">
        <v>4.47</v>
      </c>
      <c r="AC178">
        <v>66.17</v>
      </c>
      <c r="AD178">
        <v>490</v>
      </c>
      <c r="AE178">
        <v>4700</v>
      </c>
      <c r="AF178">
        <v>81.19</v>
      </c>
      <c r="AG178">
        <v>0.47</v>
      </c>
      <c r="AH178">
        <v>10.31</v>
      </c>
      <c r="AI178">
        <v>35.31</v>
      </c>
      <c r="AJ178">
        <v>60</v>
      </c>
      <c r="AK178">
        <v>9</v>
      </c>
      <c r="AL178">
        <v>9</v>
      </c>
      <c r="AM178">
        <v>0.64</v>
      </c>
      <c r="AN178">
        <v>294</v>
      </c>
      <c r="AO178">
        <v>299.77</v>
      </c>
      <c r="AP178">
        <v>354355.85</v>
      </c>
      <c r="AQ178">
        <v>194081.02</v>
      </c>
      <c r="AR178" t="s">
        <v>1085</v>
      </c>
      <c r="AT178" s="6">
        <f t="shared" si="11"/>
        <v>9.148106735159816</v>
      </c>
    </row>
    <row r="179" spans="1:46" x14ac:dyDescent="0.55000000000000004">
      <c r="A179">
        <v>17.12</v>
      </c>
      <c r="B179">
        <v>28.74</v>
      </c>
      <c r="C179">
        <v>5518.75</v>
      </c>
      <c r="D179">
        <v>7.59</v>
      </c>
      <c r="E179" t="s">
        <v>214</v>
      </c>
      <c r="F179" t="s">
        <v>459</v>
      </c>
      <c r="G179" t="s">
        <v>601</v>
      </c>
      <c r="H179" t="s">
        <v>846</v>
      </c>
      <c r="I179">
        <v>0</v>
      </c>
      <c r="J179">
        <v>681.09</v>
      </c>
      <c r="K179">
        <f t="shared" si="8"/>
        <v>58.84</v>
      </c>
      <c r="L179">
        <f t="shared" si="9"/>
        <v>66.820000000000007</v>
      </c>
      <c r="M179">
        <f t="shared" si="10"/>
        <v>-7.980000000000004</v>
      </c>
      <c r="N179">
        <v>7.2</v>
      </c>
      <c r="O179">
        <v>84.56</v>
      </c>
      <c r="P179">
        <v>52</v>
      </c>
      <c r="Q179">
        <v>16.7</v>
      </c>
      <c r="R179">
        <v>11.62</v>
      </c>
      <c r="S179">
        <v>11.1</v>
      </c>
      <c r="T179">
        <v>6.02</v>
      </c>
      <c r="U179">
        <v>8.1</v>
      </c>
      <c r="V179">
        <v>3532</v>
      </c>
      <c r="W179">
        <v>1055.9100000000001</v>
      </c>
      <c r="X179">
        <v>1303.8399999999999</v>
      </c>
      <c r="Y179">
        <v>764.69</v>
      </c>
      <c r="Z179">
        <v>5.28</v>
      </c>
      <c r="AA179">
        <v>1.53</v>
      </c>
      <c r="AB179">
        <v>4.5199999999999996</v>
      </c>
      <c r="AC179">
        <v>65.849999999999994</v>
      </c>
      <c r="AD179">
        <v>490</v>
      </c>
      <c r="AE179">
        <v>4700</v>
      </c>
      <c r="AF179">
        <v>83.52</v>
      </c>
      <c r="AG179">
        <v>0.47</v>
      </c>
      <c r="AH179">
        <v>11.76</v>
      </c>
      <c r="AI179">
        <v>30.49</v>
      </c>
      <c r="AJ179">
        <v>60</v>
      </c>
      <c r="AK179">
        <v>9</v>
      </c>
      <c r="AL179">
        <v>9</v>
      </c>
      <c r="AM179">
        <v>0.74</v>
      </c>
      <c r="AN179">
        <v>294</v>
      </c>
      <c r="AO179">
        <v>300.68</v>
      </c>
      <c r="AP179">
        <v>368028.42</v>
      </c>
      <c r="AQ179">
        <v>173287.31</v>
      </c>
      <c r="AR179" t="s">
        <v>1086</v>
      </c>
      <c r="AT179" s="6">
        <f t="shared" si="11"/>
        <v>11.115360159817351</v>
      </c>
    </row>
    <row r="180" spans="1:46" x14ac:dyDescent="0.55000000000000004">
      <c r="A180">
        <v>17.97</v>
      </c>
      <c r="B180">
        <v>29.11</v>
      </c>
      <c r="C180">
        <v>5513.02</v>
      </c>
      <c r="D180">
        <v>7.59</v>
      </c>
      <c r="E180" t="s">
        <v>215</v>
      </c>
      <c r="F180" t="s">
        <v>460</v>
      </c>
      <c r="G180" t="s">
        <v>651</v>
      </c>
      <c r="H180" t="s">
        <v>847</v>
      </c>
      <c r="I180">
        <v>0</v>
      </c>
      <c r="J180">
        <v>539.48</v>
      </c>
      <c r="K180">
        <f t="shared" si="8"/>
        <v>50.45</v>
      </c>
      <c r="L180">
        <f t="shared" si="9"/>
        <v>56.849999999999994</v>
      </c>
      <c r="M180">
        <f t="shared" si="10"/>
        <v>-6.3999999999999915</v>
      </c>
      <c r="N180">
        <v>7.09</v>
      </c>
      <c r="O180">
        <v>85.01</v>
      </c>
      <c r="P180">
        <v>54</v>
      </c>
      <c r="Q180">
        <v>16.5</v>
      </c>
      <c r="R180">
        <v>11.14</v>
      </c>
      <c r="S180">
        <v>11.16</v>
      </c>
      <c r="T180">
        <v>6.8</v>
      </c>
      <c r="U180">
        <v>10.220000000000001</v>
      </c>
      <c r="V180">
        <v>3528.33</v>
      </c>
      <c r="W180">
        <v>1063.5899999999999</v>
      </c>
      <c r="X180">
        <v>1401.08</v>
      </c>
      <c r="Y180">
        <v>788.08</v>
      </c>
      <c r="Z180">
        <v>5.77</v>
      </c>
      <c r="AA180">
        <v>1.59</v>
      </c>
      <c r="AB180">
        <v>4.42</v>
      </c>
      <c r="AC180">
        <v>62.07</v>
      </c>
      <c r="AD180">
        <v>490</v>
      </c>
      <c r="AE180">
        <v>4700</v>
      </c>
      <c r="AF180">
        <v>80.09</v>
      </c>
      <c r="AG180">
        <v>0.47</v>
      </c>
      <c r="AH180">
        <v>8.69</v>
      </c>
      <c r="AI180">
        <v>38.82</v>
      </c>
      <c r="AJ180">
        <v>60</v>
      </c>
      <c r="AK180">
        <v>9</v>
      </c>
      <c r="AL180">
        <v>9</v>
      </c>
      <c r="AM180">
        <v>0.57999999999999996</v>
      </c>
      <c r="AN180">
        <v>294</v>
      </c>
      <c r="AO180">
        <v>299.25</v>
      </c>
      <c r="AP180">
        <v>354032.98</v>
      </c>
      <c r="AQ180">
        <v>166982.32</v>
      </c>
      <c r="AR180" t="s">
        <v>1087</v>
      </c>
      <c r="AT180" s="6">
        <f t="shared" si="11"/>
        <v>10.676407534246573</v>
      </c>
    </row>
    <row r="181" spans="1:46" x14ac:dyDescent="0.55000000000000004">
      <c r="A181">
        <v>17.28</v>
      </c>
      <c r="B181">
        <v>28.78</v>
      </c>
      <c r="C181">
        <v>5499.01</v>
      </c>
      <c r="D181">
        <v>7.6</v>
      </c>
      <c r="E181" t="s">
        <v>216</v>
      </c>
      <c r="F181" t="s">
        <v>461</v>
      </c>
      <c r="G181" t="s">
        <v>652</v>
      </c>
      <c r="H181" t="s">
        <v>848</v>
      </c>
      <c r="I181">
        <v>0</v>
      </c>
      <c r="J181">
        <v>781.74</v>
      </c>
      <c r="K181">
        <f t="shared" si="8"/>
        <v>67.41</v>
      </c>
      <c r="L181">
        <f t="shared" si="9"/>
        <v>77.03</v>
      </c>
      <c r="M181">
        <f t="shared" si="10"/>
        <v>-9.6200000000000045</v>
      </c>
      <c r="N181">
        <v>7.27</v>
      </c>
      <c r="O181">
        <v>85.09</v>
      </c>
      <c r="P181">
        <v>51</v>
      </c>
      <c r="Q181">
        <v>17.3</v>
      </c>
      <c r="R181">
        <v>11.49</v>
      </c>
      <c r="S181">
        <v>11.5</v>
      </c>
      <c r="T181">
        <v>5.78</v>
      </c>
      <c r="U181">
        <v>7.03</v>
      </c>
      <c r="V181">
        <v>3519.37</v>
      </c>
      <c r="W181">
        <v>1047.82</v>
      </c>
      <c r="X181">
        <v>1250.76</v>
      </c>
      <c r="Y181">
        <v>750.07</v>
      </c>
      <c r="Z181">
        <v>5.25</v>
      </c>
      <c r="AA181">
        <v>1.52</v>
      </c>
      <c r="AB181">
        <v>4.55</v>
      </c>
      <c r="AC181">
        <v>66.53</v>
      </c>
      <c r="AD181">
        <v>490</v>
      </c>
      <c r="AE181">
        <v>4700</v>
      </c>
      <c r="AF181">
        <v>82.65</v>
      </c>
      <c r="AG181">
        <v>0.47</v>
      </c>
      <c r="AH181">
        <v>13.7</v>
      </c>
      <c r="AI181">
        <v>26.45</v>
      </c>
      <c r="AJ181">
        <v>60</v>
      </c>
      <c r="AK181">
        <v>9</v>
      </c>
      <c r="AL181">
        <v>9</v>
      </c>
      <c r="AM181">
        <v>0.86</v>
      </c>
      <c r="AN181">
        <v>294</v>
      </c>
      <c r="AO181">
        <v>301.7</v>
      </c>
      <c r="AP181">
        <v>377834.08</v>
      </c>
      <c r="AQ181">
        <v>214821.17</v>
      </c>
      <c r="AR181" t="s">
        <v>1088</v>
      </c>
      <c r="AT181" s="6">
        <f t="shared" si="11"/>
        <v>9.3043898401826493</v>
      </c>
    </row>
    <row r="182" spans="1:46" x14ac:dyDescent="0.55000000000000004">
      <c r="A182">
        <v>20.87</v>
      </c>
      <c r="B182">
        <v>32.11</v>
      </c>
      <c r="C182">
        <v>5474.71</v>
      </c>
      <c r="D182">
        <v>7.6</v>
      </c>
      <c r="E182" t="s">
        <v>217</v>
      </c>
      <c r="F182" t="s">
        <v>462</v>
      </c>
      <c r="G182" t="s">
        <v>594</v>
      </c>
      <c r="H182" t="s">
        <v>849</v>
      </c>
      <c r="I182">
        <v>0</v>
      </c>
      <c r="J182">
        <v>857.01</v>
      </c>
      <c r="K182">
        <f t="shared" si="8"/>
        <v>74.239999999999995</v>
      </c>
      <c r="L182">
        <f t="shared" si="9"/>
        <v>86.679999999999993</v>
      </c>
      <c r="M182">
        <f t="shared" si="10"/>
        <v>-12.439999999999998</v>
      </c>
      <c r="N182">
        <v>7.32</v>
      </c>
      <c r="O182">
        <v>85.13</v>
      </c>
      <c r="P182">
        <v>38</v>
      </c>
      <c r="Q182">
        <v>25</v>
      </c>
      <c r="R182">
        <v>11.25</v>
      </c>
      <c r="S182">
        <v>16.04</v>
      </c>
      <c r="T182">
        <v>4.82</v>
      </c>
      <c r="U182">
        <v>6.39</v>
      </c>
      <c r="V182">
        <v>3503.81</v>
      </c>
      <c r="W182">
        <v>1040.22</v>
      </c>
      <c r="X182">
        <v>1213.57</v>
      </c>
      <c r="Y182">
        <v>738.75</v>
      </c>
      <c r="Z182">
        <v>5.14</v>
      </c>
      <c r="AA182">
        <v>1.58</v>
      </c>
      <c r="AB182">
        <v>4.4400000000000004</v>
      </c>
      <c r="AC182">
        <v>69.98</v>
      </c>
      <c r="AD182">
        <v>490</v>
      </c>
      <c r="AE182">
        <v>4700</v>
      </c>
      <c r="AF182">
        <v>80.87</v>
      </c>
      <c r="AG182">
        <v>0.47</v>
      </c>
      <c r="AH182">
        <v>15.01</v>
      </c>
      <c r="AI182">
        <v>23.5</v>
      </c>
      <c r="AJ182">
        <v>60</v>
      </c>
      <c r="AK182">
        <v>9</v>
      </c>
      <c r="AL182">
        <v>9</v>
      </c>
      <c r="AM182">
        <v>0.96</v>
      </c>
      <c r="AN182">
        <v>294</v>
      </c>
      <c r="AO182">
        <v>302.67</v>
      </c>
      <c r="AP182">
        <v>370040.93</v>
      </c>
      <c r="AQ182">
        <v>259343.58</v>
      </c>
      <c r="AR182" t="s">
        <v>1089</v>
      </c>
      <c r="AT182" s="6">
        <f t="shared" si="11"/>
        <v>6.318341894977169</v>
      </c>
    </row>
    <row r="183" spans="1:46" x14ac:dyDescent="0.55000000000000004">
      <c r="A183">
        <v>19.440000000000001</v>
      </c>
      <c r="B183">
        <v>30.72</v>
      </c>
      <c r="C183">
        <v>5555.64</v>
      </c>
      <c r="D183">
        <v>7.61</v>
      </c>
      <c r="E183" t="s">
        <v>218</v>
      </c>
      <c r="F183" t="s">
        <v>326</v>
      </c>
      <c r="G183" t="s">
        <v>653</v>
      </c>
      <c r="H183" t="s">
        <v>680</v>
      </c>
      <c r="I183">
        <v>0</v>
      </c>
      <c r="J183">
        <v>832.67</v>
      </c>
      <c r="K183">
        <f t="shared" si="8"/>
        <v>71.19</v>
      </c>
      <c r="L183">
        <f t="shared" si="9"/>
        <v>73.429999999999993</v>
      </c>
      <c r="M183">
        <f t="shared" si="10"/>
        <v>-2.2399999999999949</v>
      </c>
      <c r="N183">
        <v>7.3</v>
      </c>
      <c r="O183">
        <v>84.73</v>
      </c>
      <c r="P183">
        <v>56</v>
      </c>
      <c r="Q183">
        <v>20.399999999999999</v>
      </c>
      <c r="R183">
        <v>11.29</v>
      </c>
      <c r="S183">
        <v>14.85</v>
      </c>
      <c r="T183">
        <v>4.59</v>
      </c>
      <c r="U183">
        <v>6.67</v>
      </c>
      <c r="V183">
        <v>3555.61</v>
      </c>
      <c r="W183">
        <v>1056.0999999999999</v>
      </c>
      <c r="X183">
        <v>1238.29</v>
      </c>
      <c r="Y183">
        <v>751.18</v>
      </c>
      <c r="Z183">
        <v>5.82</v>
      </c>
      <c r="AA183">
        <v>1.58</v>
      </c>
      <c r="AB183">
        <v>4.46</v>
      </c>
      <c r="AC183">
        <v>71.09</v>
      </c>
      <c r="AD183">
        <v>490</v>
      </c>
      <c r="AE183">
        <v>4700</v>
      </c>
      <c r="AF183">
        <v>81.17</v>
      </c>
      <c r="AG183">
        <v>0.47</v>
      </c>
      <c r="AH183">
        <v>14.31</v>
      </c>
      <c r="AI183">
        <v>27.75</v>
      </c>
      <c r="AJ183">
        <v>60</v>
      </c>
      <c r="AK183">
        <v>9</v>
      </c>
      <c r="AL183">
        <v>9</v>
      </c>
      <c r="AM183">
        <v>0.82</v>
      </c>
      <c r="AN183">
        <v>294</v>
      </c>
      <c r="AO183">
        <v>301.33999999999997</v>
      </c>
      <c r="AP183">
        <v>448633.28</v>
      </c>
      <c r="AQ183">
        <v>204201.60000000001</v>
      </c>
      <c r="AR183" t="s">
        <v>1090</v>
      </c>
      <c r="AT183" s="6">
        <f t="shared" si="11"/>
        <v>13.9515799086758</v>
      </c>
    </row>
    <row r="184" spans="1:46" x14ac:dyDescent="0.55000000000000004">
      <c r="A184">
        <v>19.87</v>
      </c>
      <c r="B184">
        <v>31.17</v>
      </c>
      <c r="C184">
        <v>5554.15</v>
      </c>
      <c r="D184">
        <v>7.6</v>
      </c>
      <c r="E184" t="s">
        <v>219</v>
      </c>
      <c r="F184" t="s">
        <v>463</v>
      </c>
      <c r="G184" t="s">
        <v>586</v>
      </c>
      <c r="H184" t="s">
        <v>850</v>
      </c>
      <c r="I184">
        <v>0</v>
      </c>
      <c r="J184">
        <v>756.49</v>
      </c>
      <c r="K184">
        <f t="shared" si="8"/>
        <v>64.570000000000007</v>
      </c>
      <c r="L184">
        <f t="shared" si="9"/>
        <v>70.88</v>
      </c>
      <c r="M184">
        <f t="shared" si="10"/>
        <v>-6.3099999999999881</v>
      </c>
      <c r="N184">
        <v>7.25</v>
      </c>
      <c r="O184">
        <v>85.14</v>
      </c>
      <c r="P184">
        <v>49</v>
      </c>
      <c r="Q184">
        <v>22.5</v>
      </c>
      <c r="R184">
        <v>11.29</v>
      </c>
      <c r="S184">
        <v>15.7</v>
      </c>
      <c r="T184">
        <v>4.17</v>
      </c>
      <c r="U184">
        <v>7.34</v>
      </c>
      <c r="V184">
        <v>3554.66</v>
      </c>
      <c r="W184">
        <v>1058.97</v>
      </c>
      <c r="X184">
        <v>1271.9000000000001</v>
      </c>
      <c r="Y184">
        <v>759.52</v>
      </c>
      <c r="Z184">
        <v>5.47</v>
      </c>
      <c r="AA184">
        <v>1.59</v>
      </c>
      <c r="AB184">
        <v>4.43</v>
      </c>
      <c r="AC184">
        <v>73.03</v>
      </c>
      <c r="AD184">
        <v>490</v>
      </c>
      <c r="AE184">
        <v>4700</v>
      </c>
      <c r="AF184">
        <v>81.2</v>
      </c>
      <c r="AG184">
        <v>0.47</v>
      </c>
      <c r="AH184">
        <v>12.8</v>
      </c>
      <c r="AI184">
        <v>28.75</v>
      </c>
      <c r="AJ184">
        <v>60</v>
      </c>
      <c r="AK184">
        <v>9</v>
      </c>
      <c r="AL184">
        <v>9</v>
      </c>
      <c r="AM184">
        <v>0.79</v>
      </c>
      <c r="AN184">
        <v>294</v>
      </c>
      <c r="AO184">
        <v>301.08999999999997</v>
      </c>
      <c r="AP184">
        <v>397532.1</v>
      </c>
      <c r="AQ184">
        <v>191372.96</v>
      </c>
      <c r="AR184" t="s">
        <v>1091</v>
      </c>
      <c r="AT184" s="6">
        <f t="shared" si="11"/>
        <v>11.767074200913241</v>
      </c>
    </row>
    <row r="185" spans="1:46" x14ac:dyDescent="0.55000000000000004">
      <c r="A185">
        <v>19.82</v>
      </c>
      <c r="B185">
        <v>31.07</v>
      </c>
      <c r="C185">
        <v>5581</v>
      </c>
      <c r="D185">
        <v>7.6</v>
      </c>
      <c r="E185" t="s">
        <v>220</v>
      </c>
      <c r="F185" t="s">
        <v>464</v>
      </c>
      <c r="G185" t="s">
        <v>626</v>
      </c>
      <c r="H185" t="s">
        <v>851</v>
      </c>
      <c r="I185">
        <v>0</v>
      </c>
      <c r="J185">
        <v>828.68</v>
      </c>
      <c r="K185">
        <f t="shared" si="8"/>
        <v>70.72</v>
      </c>
      <c r="L185">
        <f t="shared" si="9"/>
        <v>75.009999999999991</v>
      </c>
      <c r="M185">
        <f t="shared" si="10"/>
        <v>-4.289999999999992</v>
      </c>
      <c r="N185">
        <v>7.3</v>
      </c>
      <c r="O185">
        <v>84.66</v>
      </c>
      <c r="P185">
        <v>52</v>
      </c>
      <c r="Q185">
        <v>21.5</v>
      </c>
      <c r="R185">
        <v>11.25</v>
      </c>
      <c r="S185">
        <v>15.27</v>
      </c>
      <c r="T185">
        <v>4.55</v>
      </c>
      <c r="U185">
        <v>6.73</v>
      </c>
      <c r="V185">
        <v>3571.84</v>
      </c>
      <c r="W185">
        <v>1060.8800000000001</v>
      </c>
      <c r="X185">
        <v>1244.1600000000001</v>
      </c>
      <c r="Y185">
        <v>754.57</v>
      </c>
      <c r="Z185">
        <v>5.66</v>
      </c>
      <c r="AA185">
        <v>1.57</v>
      </c>
      <c r="AB185">
        <v>4.45</v>
      </c>
      <c r="AC185">
        <v>71.2</v>
      </c>
      <c r="AD185">
        <v>490</v>
      </c>
      <c r="AE185">
        <v>4700</v>
      </c>
      <c r="AF185">
        <v>80.89</v>
      </c>
      <c r="AG185">
        <v>0.47</v>
      </c>
      <c r="AH185">
        <v>14.1</v>
      </c>
      <c r="AI185">
        <v>27.16</v>
      </c>
      <c r="AJ185">
        <v>60</v>
      </c>
      <c r="AK185">
        <v>9</v>
      </c>
      <c r="AL185">
        <v>9</v>
      </c>
      <c r="AM185">
        <v>0.83</v>
      </c>
      <c r="AN185">
        <v>294</v>
      </c>
      <c r="AO185">
        <v>301.5</v>
      </c>
      <c r="AP185">
        <v>430673.88</v>
      </c>
      <c r="AQ185">
        <v>212485.34</v>
      </c>
      <c r="AR185" t="s">
        <v>1092</v>
      </c>
      <c r="AT185" s="6">
        <f t="shared" si="11"/>
        <v>12.453683789954338</v>
      </c>
    </row>
    <row r="186" spans="1:46" x14ac:dyDescent="0.55000000000000004">
      <c r="A186">
        <v>20.100000000000001</v>
      </c>
      <c r="B186">
        <v>31.44</v>
      </c>
      <c r="C186">
        <v>5538.83</v>
      </c>
      <c r="D186">
        <v>7.6</v>
      </c>
      <c r="E186" t="s">
        <v>221</v>
      </c>
      <c r="F186" t="s">
        <v>465</v>
      </c>
      <c r="G186" t="s">
        <v>654</v>
      </c>
      <c r="H186" t="s">
        <v>852</v>
      </c>
      <c r="I186">
        <v>0</v>
      </c>
      <c r="J186">
        <v>911</v>
      </c>
      <c r="K186">
        <f t="shared" si="8"/>
        <v>79.149999999999991</v>
      </c>
      <c r="L186">
        <f t="shared" si="9"/>
        <v>90.36</v>
      </c>
      <c r="M186">
        <f t="shared" si="10"/>
        <v>-11.210000000000008</v>
      </c>
      <c r="N186">
        <v>7.36</v>
      </c>
      <c r="O186">
        <v>84.88</v>
      </c>
      <c r="P186">
        <v>45</v>
      </c>
      <c r="Q186">
        <v>23.5</v>
      </c>
      <c r="R186">
        <v>11.34</v>
      </c>
      <c r="S186">
        <v>15.95</v>
      </c>
      <c r="T186">
        <v>4.1500000000000004</v>
      </c>
      <c r="U186">
        <v>6.08</v>
      </c>
      <c r="V186">
        <v>3544.85</v>
      </c>
      <c r="W186">
        <v>1050.29</v>
      </c>
      <c r="X186">
        <v>1206.2</v>
      </c>
      <c r="Y186">
        <v>741.82</v>
      </c>
      <c r="Z186">
        <v>5.26</v>
      </c>
      <c r="AA186">
        <v>1.56</v>
      </c>
      <c r="AB186">
        <v>4.47</v>
      </c>
      <c r="AC186">
        <v>73.2</v>
      </c>
      <c r="AD186">
        <v>490</v>
      </c>
      <c r="AE186">
        <v>4700</v>
      </c>
      <c r="AF186">
        <v>81.510000000000005</v>
      </c>
      <c r="AG186">
        <v>0.47</v>
      </c>
      <c r="AH186">
        <v>16.05</v>
      </c>
      <c r="AI186">
        <v>22.55</v>
      </c>
      <c r="AJ186">
        <v>60</v>
      </c>
      <c r="AK186">
        <v>9</v>
      </c>
      <c r="AL186">
        <v>9</v>
      </c>
      <c r="AM186">
        <v>1</v>
      </c>
      <c r="AN186">
        <v>294</v>
      </c>
      <c r="AO186">
        <v>303.04000000000002</v>
      </c>
      <c r="AP186">
        <v>390283.28</v>
      </c>
      <c r="AQ186">
        <v>280698.93</v>
      </c>
      <c r="AR186" t="s">
        <v>1093</v>
      </c>
      <c r="AT186" s="6">
        <f t="shared" si="11"/>
        <v>6.2548144977168967</v>
      </c>
    </row>
    <row r="187" spans="1:46" x14ac:dyDescent="0.55000000000000004">
      <c r="A187">
        <v>19.36</v>
      </c>
      <c r="B187">
        <v>30.55</v>
      </c>
      <c r="C187">
        <v>5487.4</v>
      </c>
      <c r="D187">
        <v>7.61</v>
      </c>
      <c r="E187" t="s">
        <v>222</v>
      </c>
      <c r="F187" t="s">
        <v>466</v>
      </c>
      <c r="G187" t="s">
        <v>630</v>
      </c>
      <c r="H187" t="s">
        <v>853</v>
      </c>
      <c r="I187">
        <v>0</v>
      </c>
      <c r="J187">
        <v>647.6</v>
      </c>
      <c r="K187">
        <f t="shared" si="8"/>
        <v>56.5</v>
      </c>
      <c r="L187">
        <f t="shared" si="9"/>
        <v>64.41</v>
      </c>
      <c r="M187">
        <f t="shared" si="10"/>
        <v>-7.9099999999999966</v>
      </c>
      <c r="N187">
        <v>7.18</v>
      </c>
      <c r="O187">
        <v>84.82</v>
      </c>
      <c r="P187">
        <v>42</v>
      </c>
      <c r="Q187">
        <v>21.6</v>
      </c>
      <c r="R187">
        <v>11.19</v>
      </c>
      <c r="S187">
        <v>13.92</v>
      </c>
      <c r="T187">
        <v>5.44</v>
      </c>
      <c r="U187">
        <v>8.4700000000000006</v>
      </c>
      <c r="V187">
        <v>3511.94</v>
      </c>
      <c r="W187">
        <v>1052.3</v>
      </c>
      <c r="X187">
        <v>1320.62</v>
      </c>
      <c r="Y187">
        <v>766.65</v>
      </c>
      <c r="Z187">
        <v>5.7</v>
      </c>
      <c r="AA187">
        <v>1.6</v>
      </c>
      <c r="AB187">
        <v>4.41</v>
      </c>
      <c r="AC187">
        <v>67.290000000000006</v>
      </c>
      <c r="AD187">
        <v>490</v>
      </c>
      <c r="AE187">
        <v>4700</v>
      </c>
      <c r="AF187">
        <v>80.45</v>
      </c>
      <c r="AG187">
        <v>0.47</v>
      </c>
      <c r="AH187">
        <v>10.76</v>
      </c>
      <c r="AI187">
        <v>34.270000000000003</v>
      </c>
      <c r="AJ187">
        <v>60</v>
      </c>
      <c r="AK187">
        <v>9</v>
      </c>
      <c r="AL187">
        <v>9</v>
      </c>
      <c r="AM187">
        <v>0.66</v>
      </c>
      <c r="AN187">
        <v>294</v>
      </c>
      <c r="AO187">
        <v>299.95</v>
      </c>
      <c r="AP187">
        <v>351920.47</v>
      </c>
      <c r="AQ187">
        <v>200600.6</v>
      </c>
      <c r="AR187" t="s">
        <v>1094</v>
      </c>
      <c r="AT187" s="6">
        <f t="shared" si="11"/>
        <v>8.6369788812785373</v>
      </c>
    </row>
    <row r="188" spans="1:46" x14ac:dyDescent="0.55000000000000004">
      <c r="A188">
        <v>20.12</v>
      </c>
      <c r="B188">
        <v>31.29</v>
      </c>
      <c r="C188">
        <v>5478.22</v>
      </c>
      <c r="D188">
        <v>7.6</v>
      </c>
      <c r="E188" t="s">
        <v>223</v>
      </c>
      <c r="F188" t="s">
        <v>467</v>
      </c>
      <c r="G188" t="s">
        <v>655</v>
      </c>
      <c r="H188" t="s">
        <v>854</v>
      </c>
      <c r="I188">
        <v>0</v>
      </c>
      <c r="J188">
        <v>738.44</v>
      </c>
      <c r="K188">
        <f t="shared" si="8"/>
        <v>62.699999999999996</v>
      </c>
      <c r="L188">
        <f t="shared" si="9"/>
        <v>72.83</v>
      </c>
      <c r="M188">
        <f t="shared" si="10"/>
        <v>-10.130000000000003</v>
      </c>
      <c r="N188">
        <v>7.24</v>
      </c>
      <c r="O188">
        <v>84.95</v>
      </c>
      <c r="P188">
        <v>40</v>
      </c>
      <c r="Q188">
        <v>23.1</v>
      </c>
      <c r="R188">
        <v>11.17</v>
      </c>
      <c r="S188">
        <v>14.84</v>
      </c>
      <c r="T188">
        <v>5.28</v>
      </c>
      <c r="U188">
        <v>7.42</v>
      </c>
      <c r="V188">
        <v>3506.06</v>
      </c>
      <c r="W188">
        <v>1045.47</v>
      </c>
      <c r="X188">
        <v>1264.52</v>
      </c>
      <c r="Y188">
        <v>751.72</v>
      </c>
      <c r="Z188">
        <v>5.16</v>
      </c>
      <c r="AA188">
        <v>1.59</v>
      </c>
      <c r="AB188">
        <v>4.43</v>
      </c>
      <c r="AC188">
        <v>67.92</v>
      </c>
      <c r="AD188">
        <v>490</v>
      </c>
      <c r="AE188">
        <v>4700</v>
      </c>
      <c r="AF188">
        <v>80.33</v>
      </c>
      <c r="AG188">
        <v>0.47</v>
      </c>
      <c r="AH188">
        <v>12.51</v>
      </c>
      <c r="AI188">
        <v>27.97</v>
      </c>
      <c r="AJ188">
        <v>60</v>
      </c>
      <c r="AK188">
        <v>9</v>
      </c>
      <c r="AL188">
        <v>9</v>
      </c>
      <c r="AM188">
        <v>0.81</v>
      </c>
      <c r="AN188">
        <v>294</v>
      </c>
      <c r="AO188">
        <v>301.27999999999997</v>
      </c>
      <c r="AP188">
        <v>357629.71</v>
      </c>
      <c r="AQ188">
        <v>199802.37</v>
      </c>
      <c r="AR188" t="s">
        <v>1095</v>
      </c>
      <c r="AT188" s="6">
        <f t="shared" si="11"/>
        <v>9.0084098173516001</v>
      </c>
    </row>
    <row r="189" spans="1:46" x14ac:dyDescent="0.55000000000000004">
      <c r="A189">
        <v>20.34</v>
      </c>
      <c r="B189">
        <v>31.51</v>
      </c>
      <c r="C189">
        <v>5492.24</v>
      </c>
      <c r="D189">
        <v>7.59</v>
      </c>
      <c r="E189" t="s">
        <v>224</v>
      </c>
      <c r="F189" t="s">
        <v>468</v>
      </c>
      <c r="G189" t="s">
        <v>652</v>
      </c>
      <c r="H189" t="s">
        <v>855</v>
      </c>
      <c r="I189">
        <v>0</v>
      </c>
      <c r="J189">
        <v>796.87</v>
      </c>
      <c r="K189">
        <f t="shared" si="8"/>
        <v>68.72</v>
      </c>
      <c r="L189">
        <f t="shared" si="9"/>
        <v>78.84</v>
      </c>
      <c r="M189">
        <f t="shared" si="10"/>
        <v>-10.120000000000005</v>
      </c>
      <c r="N189">
        <v>7.28</v>
      </c>
      <c r="O189">
        <v>84.58</v>
      </c>
      <c r="P189">
        <v>40</v>
      </c>
      <c r="Q189">
        <v>23.8</v>
      </c>
      <c r="R189">
        <v>11.17</v>
      </c>
      <c r="S189">
        <v>15.41</v>
      </c>
      <c r="T189">
        <v>4.93</v>
      </c>
      <c r="U189">
        <v>6.89</v>
      </c>
      <c r="V189">
        <v>3515.03</v>
      </c>
      <c r="W189">
        <v>1045.94</v>
      </c>
      <c r="X189">
        <v>1242.79</v>
      </c>
      <c r="Y189">
        <v>747.55</v>
      </c>
      <c r="Z189">
        <v>5.67</v>
      </c>
      <c r="AA189">
        <v>1.57</v>
      </c>
      <c r="AB189">
        <v>4.4400000000000004</v>
      </c>
      <c r="AC189">
        <v>69.36</v>
      </c>
      <c r="AD189">
        <v>490</v>
      </c>
      <c r="AE189">
        <v>4700</v>
      </c>
      <c r="AF189">
        <v>80.319999999999993</v>
      </c>
      <c r="AG189">
        <v>0.47</v>
      </c>
      <c r="AH189">
        <v>13.63</v>
      </c>
      <c r="AI189">
        <v>28</v>
      </c>
      <c r="AJ189">
        <v>60</v>
      </c>
      <c r="AK189">
        <v>9</v>
      </c>
      <c r="AL189">
        <v>9</v>
      </c>
      <c r="AM189">
        <v>0.81</v>
      </c>
      <c r="AN189">
        <v>294</v>
      </c>
      <c r="AO189">
        <v>301.27999999999997</v>
      </c>
      <c r="AP189">
        <v>366264.66</v>
      </c>
      <c r="AQ189">
        <v>271417.99</v>
      </c>
      <c r="AR189" t="s">
        <v>1096</v>
      </c>
      <c r="AT189" s="6">
        <f t="shared" si="11"/>
        <v>5.4136227168949764</v>
      </c>
    </row>
    <row r="190" spans="1:46" x14ac:dyDescent="0.55000000000000004">
      <c r="A190">
        <v>19.32</v>
      </c>
      <c r="B190">
        <v>30.58</v>
      </c>
      <c r="C190">
        <v>5526.88</v>
      </c>
      <c r="D190">
        <v>7.6</v>
      </c>
      <c r="E190" t="s">
        <v>225</v>
      </c>
      <c r="F190" t="s">
        <v>469</v>
      </c>
      <c r="G190" t="s">
        <v>656</v>
      </c>
      <c r="H190" t="s">
        <v>856</v>
      </c>
      <c r="I190">
        <v>0</v>
      </c>
      <c r="J190">
        <v>920.43</v>
      </c>
      <c r="K190">
        <f t="shared" si="8"/>
        <v>82.669999999999987</v>
      </c>
      <c r="L190">
        <f t="shared" si="9"/>
        <v>87.2</v>
      </c>
      <c r="M190">
        <f t="shared" si="10"/>
        <v>-4.5300000000000153</v>
      </c>
      <c r="N190">
        <v>7.37</v>
      </c>
      <c r="O190">
        <v>85.16</v>
      </c>
      <c r="P190">
        <v>56</v>
      </c>
      <c r="Q190">
        <v>20.100000000000001</v>
      </c>
      <c r="R190">
        <v>11.27</v>
      </c>
      <c r="S190">
        <v>14.58</v>
      </c>
      <c r="T190">
        <v>4.74</v>
      </c>
      <c r="U190">
        <v>6</v>
      </c>
      <c r="V190">
        <v>3537.2</v>
      </c>
      <c r="W190">
        <v>1048.47</v>
      </c>
      <c r="X190">
        <v>1205.76</v>
      </c>
      <c r="Y190">
        <v>741.13</v>
      </c>
      <c r="Z190">
        <v>5.69</v>
      </c>
      <c r="AA190">
        <v>1.55</v>
      </c>
      <c r="AB190">
        <v>4.5</v>
      </c>
      <c r="AC190">
        <v>70.400000000000006</v>
      </c>
      <c r="AD190">
        <v>490</v>
      </c>
      <c r="AE190">
        <v>4700</v>
      </c>
      <c r="AF190">
        <v>81.02</v>
      </c>
      <c r="AG190">
        <v>0.47</v>
      </c>
      <c r="AH190">
        <v>16.190000000000001</v>
      </c>
      <c r="AI190">
        <v>23.36</v>
      </c>
      <c r="AJ190">
        <v>60</v>
      </c>
      <c r="AK190">
        <v>9</v>
      </c>
      <c r="AL190">
        <v>9</v>
      </c>
      <c r="AM190">
        <v>0.97</v>
      </c>
      <c r="AN190">
        <v>294</v>
      </c>
      <c r="AO190">
        <v>302.72000000000003</v>
      </c>
      <c r="AP190">
        <v>459315.67</v>
      </c>
      <c r="AQ190">
        <v>257436.13</v>
      </c>
      <c r="AR190" t="s">
        <v>1097</v>
      </c>
      <c r="AT190" s="6">
        <f t="shared" si="11"/>
        <v>11.522804794520546</v>
      </c>
    </row>
    <row r="191" spans="1:46" x14ac:dyDescent="0.55000000000000004">
      <c r="A191">
        <v>19.559999999999999</v>
      </c>
      <c r="B191">
        <v>30.76</v>
      </c>
      <c r="C191">
        <v>5474.52</v>
      </c>
      <c r="D191">
        <v>7.6</v>
      </c>
      <c r="E191" t="s">
        <v>226</v>
      </c>
      <c r="F191" t="s">
        <v>470</v>
      </c>
      <c r="G191" t="s">
        <v>638</v>
      </c>
      <c r="H191" t="s">
        <v>857</v>
      </c>
      <c r="I191">
        <v>0</v>
      </c>
      <c r="J191">
        <v>854.59</v>
      </c>
      <c r="K191">
        <f t="shared" si="8"/>
        <v>73.569999999999993</v>
      </c>
      <c r="L191">
        <f t="shared" si="9"/>
        <v>84.579999999999984</v>
      </c>
      <c r="M191">
        <f t="shared" si="10"/>
        <v>-11.009999999999991</v>
      </c>
      <c r="N191">
        <v>7.32</v>
      </c>
      <c r="O191">
        <v>85.04</v>
      </c>
      <c r="P191">
        <v>41</v>
      </c>
      <c r="Q191">
        <v>22.1</v>
      </c>
      <c r="R191">
        <v>11.2</v>
      </c>
      <c r="S191">
        <v>14.18</v>
      </c>
      <c r="T191">
        <v>5.38</v>
      </c>
      <c r="U191">
        <v>6.41</v>
      </c>
      <c r="V191">
        <v>3503.69</v>
      </c>
      <c r="W191">
        <v>1040.03</v>
      </c>
      <c r="X191">
        <v>1212.74</v>
      </c>
      <c r="Y191">
        <v>738.41</v>
      </c>
      <c r="Z191">
        <v>5.65</v>
      </c>
      <c r="AA191">
        <v>1.55</v>
      </c>
      <c r="AB191">
        <v>4.5</v>
      </c>
      <c r="AC191">
        <v>67.569999999999993</v>
      </c>
      <c r="AD191">
        <v>490</v>
      </c>
      <c r="AE191">
        <v>4700</v>
      </c>
      <c r="AF191">
        <v>80.569999999999993</v>
      </c>
      <c r="AG191">
        <v>0.47</v>
      </c>
      <c r="AH191">
        <v>14.9</v>
      </c>
      <c r="AI191">
        <v>26.1</v>
      </c>
      <c r="AJ191">
        <v>60</v>
      </c>
      <c r="AK191">
        <v>9</v>
      </c>
      <c r="AL191">
        <v>9</v>
      </c>
      <c r="AM191">
        <v>0.87</v>
      </c>
      <c r="AN191">
        <v>294</v>
      </c>
      <c r="AO191">
        <v>301.81</v>
      </c>
      <c r="AP191">
        <v>369244.76</v>
      </c>
      <c r="AQ191">
        <v>304630.71999999997</v>
      </c>
      <c r="AR191" t="s">
        <v>1098</v>
      </c>
      <c r="AT191" s="6">
        <f t="shared" si="11"/>
        <v>3.6880159817351621</v>
      </c>
    </row>
    <row r="192" spans="1:46" x14ac:dyDescent="0.55000000000000004">
      <c r="A192">
        <v>20.7</v>
      </c>
      <c r="B192">
        <v>31.88</v>
      </c>
      <c r="C192">
        <v>5464.89</v>
      </c>
      <c r="D192">
        <v>7.61</v>
      </c>
      <c r="E192" t="s">
        <v>227</v>
      </c>
      <c r="F192" t="s">
        <v>471</v>
      </c>
      <c r="G192" t="s">
        <v>657</v>
      </c>
      <c r="H192" t="s">
        <v>858</v>
      </c>
      <c r="I192">
        <v>0</v>
      </c>
      <c r="J192">
        <v>757.84</v>
      </c>
      <c r="K192">
        <f t="shared" si="8"/>
        <v>64.710000000000008</v>
      </c>
      <c r="L192">
        <f t="shared" si="9"/>
        <v>75.25</v>
      </c>
      <c r="M192">
        <f t="shared" si="10"/>
        <v>-10.539999999999992</v>
      </c>
      <c r="N192">
        <v>7.26</v>
      </c>
      <c r="O192">
        <v>85.21</v>
      </c>
      <c r="P192">
        <v>38</v>
      </c>
      <c r="Q192">
        <v>24.8</v>
      </c>
      <c r="R192">
        <v>11.18</v>
      </c>
      <c r="S192">
        <v>15.88</v>
      </c>
      <c r="T192">
        <v>4.82</v>
      </c>
      <c r="U192">
        <v>7.21</v>
      </c>
      <c r="V192">
        <v>3497.53</v>
      </c>
      <c r="W192">
        <v>1042.29</v>
      </c>
      <c r="X192">
        <v>1253.72</v>
      </c>
      <c r="Y192">
        <v>748.08</v>
      </c>
      <c r="Z192">
        <v>5.16</v>
      </c>
      <c r="AA192">
        <v>1.6</v>
      </c>
      <c r="AB192">
        <v>4.41</v>
      </c>
      <c r="AC192">
        <v>69.89</v>
      </c>
      <c r="AD192">
        <v>490</v>
      </c>
      <c r="AE192">
        <v>4700</v>
      </c>
      <c r="AF192">
        <v>80.430000000000007</v>
      </c>
      <c r="AG192">
        <v>0.47</v>
      </c>
      <c r="AH192">
        <v>12.95</v>
      </c>
      <c r="AI192">
        <v>27.08</v>
      </c>
      <c r="AJ192">
        <v>60</v>
      </c>
      <c r="AK192">
        <v>9</v>
      </c>
      <c r="AL192">
        <v>9</v>
      </c>
      <c r="AM192">
        <v>0.84</v>
      </c>
      <c r="AN192">
        <v>294</v>
      </c>
      <c r="AO192">
        <v>301.52</v>
      </c>
      <c r="AP192">
        <v>360398.89</v>
      </c>
      <c r="AQ192">
        <v>208340.89</v>
      </c>
      <c r="AR192" t="s">
        <v>1099</v>
      </c>
      <c r="AT192" s="6">
        <f t="shared" si="11"/>
        <v>8.6791095890410954</v>
      </c>
    </row>
    <row r="193" spans="1:46" x14ac:dyDescent="0.55000000000000004">
      <c r="A193">
        <v>19.16</v>
      </c>
      <c r="B193">
        <v>30.45</v>
      </c>
      <c r="C193">
        <v>5528.46</v>
      </c>
      <c r="D193">
        <v>7.62</v>
      </c>
      <c r="E193" t="s">
        <v>228</v>
      </c>
      <c r="F193" t="s">
        <v>472</v>
      </c>
      <c r="G193" t="s">
        <v>650</v>
      </c>
      <c r="H193" t="s">
        <v>859</v>
      </c>
      <c r="I193">
        <v>0</v>
      </c>
      <c r="J193">
        <v>766.63</v>
      </c>
      <c r="K193">
        <f t="shared" si="8"/>
        <v>65.22</v>
      </c>
      <c r="L193">
        <f t="shared" si="9"/>
        <v>66.27</v>
      </c>
      <c r="M193">
        <f t="shared" si="10"/>
        <v>-1.0499999999999972</v>
      </c>
      <c r="N193">
        <v>7.26</v>
      </c>
      <c r="O193">
        <v>84.96</v>
      </c>
      <c r="P193">
        <v>56</v>
      </c>
      <c r="Q193">
        <v>19.7</v>
      </c>
      <c r="R193">
        <v>11.29</v>
      </c>
      <c r="S193">
        <v>14.23</v>
      </c>
      <c r="T193">
        <v>4.9400000000000004</v>
      </c>
      <c r="U193">
        <v>7.21</v>
      </c>
      <c r="V193">
        <v>3538.21</v>
      </c>
      <c r="W193">
        <v>1053.55</v>
      </c>
      <c r="X193">
        <v>1260.6500000000001</v>
      </c>
      <c r="Y193">
        <v>754.62</v>
      </c>
      <c r="Z193">
        <v>5.91</v>
      </c>
      <c r="AA193">
        <v>1.58</v>
      </c>
      <c r="AB193">
        <v>4.45</v>
      </c>
      <c r="AC193">
        <v>69.58</v>
      </c>
      <c r="AD193">
        <v>490</v>
      </c>
      <c r="AE193">
        <v>4700</v>
      </c>
      <c r="AF193">
        <v>81.180000000000007</v>
      </c>
      <c r="AG193">
        <v>0.47</v>
      </c>
      <c r="AH193">
        <v>13.07</v>
      </c>
      <c r="AI193">
        <v>30.75</v>
      </c>
      <c r="AJ193">
        <v>60</v>
      </c>
      <c r="AK193">
        <v>9</v>
      </c>
      <c r="AL193">
        <v>9</v>
      </c>
      <c r="AM193">
        <v>0.74</v>
      </c>
      <c r="AN193">
        <v>294</v>
      </c>
      <c r="AO193">
        <v>300.63</v>
      </c>
      <c r="AP193">
        <v>443363.01</v>
      </c>
      <c r="AQ193">
        <v>171959.67999999999</v>
      </c>
      <c r="AR193" t="s">
        <v>1100</v>
      </c>
      <c r="AT193" s="6">
        <f t="shared" si="11"/>
        <v>15.491057648401828</v>
      </c>
    </row>
    <row r="194" spans="1:46" x14ac:dyDescent="0.55000000000000004">
      <c r="A194">
        <v>20.85</v>
      </c>
      <c r="B194">
        <v>32.08</v>
      </c>
      <c r="C194">
        <v>5497.6</v>
      </c>
      <c r="D194">
        <v>7.61</v>
      </c>
      <c r="E194" t="s">
        <v>229</v>
      </c>
      <c r="F194" t="s">
        <v>473</v>
      </c>
      <c r="G194" t="s">
        <v>634</v>
      </c>
      <c r="H194" t="s">
        <v>860</v>
      </c>
      <c r="I194">
        <v>0</v>
      </c>
      <c r="J194">
        <v>819.27</v>
      </c>
      <c r="K194">
        <f t="shared" si="8"/>
        <v>70.37</v>
      </c>
      <c r="L194">
        <f t="shared" si="9"/>
        <v>82.03</v>
      </c>
      <c r="M194">
        <f t="shared" si="10"/>
        <v>-11.659999999999997</v>
      </c>
      <c r="N194">
        <v>7.29</v>
      </c>
      <c r="O194">
        <v>84.9</v>
      </c>
      <c r="P194">
        <v>40</v>
      </c>
      <c r="Q194">
        <v>25</v>
      </c>
      <c r="R194">
        <v>11.22</v>
      </c>
      <c r="S194">
        <v>16.38</v>
      </c>
      <c r="T194">
        <v>4.47</v>
      </c>
      <c r="U194">
        <v>6.71</v>
      </c>
      <c r="V194">
        <v>3518.46</v>
      </c>
      <c r="W194">
        <v>1045.6500000000001</v>
      </c>
      <c r="X194">
        <v>1231.3399999999999</v>
      </c>
      <c r="Y194">
        <v>744.87</v>
      </c>
      <c r="Z194">
        <v>5.15</v>
      </c>
      <c r="AA194">
        <v>1.59</v>
      </c>
      <c r="AB194">
        <v>4.42</v>
      </c>
      <c r="AC194">
        <v>71.52</v>
      </c>
      <c r="AD194">
        <v>490</v>
      </c>
      <c r="AE194">
        <v>4700</v>
      </c>
      <c r="AF194">
        <v>80.72</v>
      </c>
      <c r="AG194">
        <v>0.47</v>
      </c>
      <c r="AH194">
        <v>14.14</v>
      </c>
      <c r="AI194">
        <v>24.84</v>
      </c>
      <c r="AJ194">
        <v>60</v>
      </c>
      <c r="AK194">
        <v>9</v>
      </c>
      <c r="AL194">
        <v>9</v>
      </c>
      <c r="AM194">
        <v>0.91</v>
      </c>
      <c r="AN194">
        <v>294</v>
      </c>
      <c r="AO194">
        <v>302.2</v>
      </c>
      <c r="AP194">
        <v>368142.79</v>
      </c>
      <c r="AQ194">
        <v>240491.63</v>
      </c>
      <c r="AR194" t="s">
        <v>1101</v>
      </c>
      <c r="AT194" s="6">
        <f t="shared" si="11"/>
        <v>7.2860251141552501</v>
      </c>
    </row>
    <row r="195" spans="1:46" x14ac:dyDescent="0.55000000000000004">
      <c r="A195">
        <v>20.54</v>
      </c>
      <c r="B195">
        <v>31.83</v>
      </c>
      <c r="C195">
        <v>5525.98</v>
      </c>
      <c r="D195">
        <v>7.61</v>
      </c>
      <c r="E195" t="s">
        <v>230</v>
      </c>
      <c r="F195" t="s">
        <v>474</v>
      </c>
      <c r="G195" t="s">
        <v>590</v>
      </c>
      <c r="H195" t="s">
        <v>861</v>
      </c>
      <c r="I195">
        <v>0</v>
      </c>
      <c r="J195">
        <v>743.49</v>
      </c>
      <c r="K195">
        <f t="shared" ref="K195:K251" si="12">IF(E195=0,0,
VALUE(MID(E195,2,FIND(",",E195)-2))+
VALUE(MID(F195,2,FIND(",",F195)-2))+
VALUE(MID(G195,2,FIND(",",G195)-2))
)</f>
        <v>63.62</v>
      </c>
      <c r="L195">
        <f t="shared" ref="L195:L251" si="13">IF(E195=0,0,
VALUE(MID(E195,FIND(",",E195)+1,FIND("]",E195)-FIND(",",E195)-1))+
VALUE(MID(F195,FIND(",",F195)+1,FIND("]",F195)-FIND(",",F195)-1))+
VALUE(MID(G195,FIND(",",G195)+1,FIND("]",G195)-FIND(",",G195)-1))
)</f>
        <v>73.27</v>
      </c>
      <c r="M195">
        <f t="shared" ref="M195:M251" si="14">(K195-L195)</f>
        <v>-9.6499999999999986</v>
      </c>
      <c r="N195">
        <v>7.24</v>
      </c>
      <c r="O195">
        <v>85.01</v>
      </c>
      <c r="P195">
        <v>43</v>
      </c>
      <c r="Q195">
        <v>24.3</v>
      </c>
      <c r="R195">
        <v>11.29</v>
      </c>
      <c r="S195">
        <v>16.3</v>
      </c>
      <c r="T195">
        <v>4.24</v>
      </c>
      <c r="U195">
        <v>7.43</v>
      </c>
      <c r="V195">
        <v>3536.63</v>
      </c>
      <c r="W195">
        <v>1054.23</v>
      </c>
      <c r="X195">
        <v>1272.1500000000001</v>
      </c>
      <c r="Y195">
        <v>757.36</v>
      </c>
      <c r="Z195">
        <v>5.21</v>
      </c>
      <c r="AA195">
        <v>1.61</v>
      </c>
      <c r="AB195">
        <v>4.3899999999999997</v>
      </c>
      <c r="AC195">
        <v>72.72</v>
      </c>
      <c r="AD195">
        <v>490</v>
      </c>
      <c r="AE195">
        <v>4700</v>
      </c>
      <c r="AF195">
        <v>81.180000000000007</v>
      </c>
      <c r="AG195">
        <v>0.47</v>
      </c>
      <c r="AH195">
        <v>12.62</v>
      </c>
      <c r="AI195">
        <v>27.81</v>
      </c>
      <c r="AJ195">
        <v>60</v>
      </c>
      <c r="AK195">
        <v>9</v>
      </c>
      <c r="AL195">
        <v>9</v>
      </c>
      <c r="AM195">
        <v>0.81</v>
      </c>
      <c r="AN195">
        <v>294</v>
      </c>
      <c r="AO195">
        <v>301.33</v>
      </c>
      <c r="AP195">
        <v>367040.41</v>
      </c>
      <c r="AQ195">
        <v>201375.67</v>
      </c>
      <c r="AR195" t="s">
        <v>1102</v>
      </c>
      <c r="AT195" s="6">
        <f t="shared" ref="AT195:AT251" si="15">(AP195-AQ195)/(365*24*2)</f>
        <v>9.4557499999999983</v>
      </c>
    </row>
    <row r="196" spans="1:46" x14ac:dyDescent="0.55000000000000004">
      <c r="A196">
        <v>20.51</v>
      </c>
      <c r="B196">
        <v>31.71</v>
      </c>
      <c r="C196">
        <v>5474.8</v>
      </c>
      <c r="D196">
        <v>7.59</v>
      </c>
      <c r="E196" t="s">
        <v>231</v>
      </c>
      <c r="F196" t="s">
        <v>475</v>
      </c>
      <c r="G196" t="s">
        <v>658</v>
      </c>
      <c r="H196" t="s">
        <v>862</v>
      </c>
      <c r="I196">
        <v>0</v>
      </c>
      <c r="J196">
        <v>873.35</v>
      </c>
      <c r="K196">
        <f t="shared" si="12"/>
        <v>74.790000000000006</v>
      </c>
      <c r="L196">
        <f t="shared" si="13"/>
        <v>86.02</v>
      </c>
      <c r="M196">
        <f t="shared" si="14"/>
        <v>-11.22999999999999</v>
      </c>
      <c r="N196">
        <v>7.33</v>
      </c>
      <c r="O196">
        <v>85.21</v>
      </c>
      <c r="P196">
        <v>39</v>
      </c>
      <c r="Q196">
        <v>24.2</v>
      </c>
      <c r="R196">
        <v>11.2</v>
      </c>
      <c r="S196">
        <v>15.57</v>
      </c>
      <c r="T196">
        <v>4.9400000000000004</v>
      </c>
      <c r="U196">
        <v>6.27</v>
      </c>
      <c r="V196">
        <v>3503.87</v>
      </c>
      <c r="W196">
        <v>1038.93</v>
      </c>
      <c r="X196">
        <v>1202.1600000000001</v>
      </c>
      <c r="Y196">
        <v>735.51</v>
      </c>
      <c r="Z196">
        <v>5.65</v>
      </c>
      <c r="AA196">
        <v>1.56</v>
      </c>
      <c r="AB196">
        <v>4.47</v>
      </c>
      <c r="AC196">
        <v>69.38</v>
      </c>
      <c r="AD196">
        <v>490</v>
      </c>
      <c r="AE196">
        <v>4700</v>
      </c>
      <c r="AF196">
        <v>80.540000000000006</v>
      </c>
      <c r="AG196">
        <v>0.47</v>
      </c>
      <c r="AH196">
        <v>15.29</v>
      </c>
      <c r="AI196">
        <v>25.66</v>
      </c>
      <c r="AJ196">
        <v>60</v>
      </c>
      <c r="AK196">
        <v>9</v>
      </c>
      <c r="AL196">
        <v>9</v>
      </c>
      <c r="AM196">
        <v>0.88</v>
      </c>
      <c r="AN196">
        <v>294</v>
      </c>
      <c r="AO196">
        <v>301.94</v>
      </c>
      <c r="AP196">
        <v>370266.9</v>
      </c>
      <c r="AQ196">
        <v>317163.88</v>
      </c>
      <c r="AR196" t="s">
        <v>1103</v>
      </c>
      <c r="AT196" s="6">
        <f t="shared" si="15"/>
        <v>3.0309942922374438</v>
      </c>
    </row>
    <row r="197" spans="1:46" x14ac:dyDescent="0.55000000000000004">
      <c r="A197">
        <v>20.83</v>
      </c>
      <c r="B197">
        <v>32.04</v>
      </c>
      <c r="C197">
        <v>5469.54</v>
      </c>
      <c r="D197">
        <v>7.59</v>
      </c>
      <c r="E197" t="s">
        <v>232</v>
      </c>
      <c r="F197" t="s">
        <v>476</v>
      </c>
      <c r="G197" t="s">
        <v>626</v>
      </c>
      <c r="H197" t="s">
        <v>863</v>
      </c>
      <c r="I197">
        <v>0</v>
      </c>
      <c r="J197">
        <v>819.6</v>
      </c>
      <c r="K197">
        <f t="shared" si="12"/>
        <v>69.739999999999995</v>
      </c>
      <c r="L197">
        <f t="shared" si="13"/>
        <v>81.289999999999992</v>
      </c>
      <c r="M197">
        <f t="shared" si="14"/>
        <v>-11.549999999999997</v>
      </c>
      <c r="N197">
        <v>7.29</v>
      </c>
      <c r="O197">
        <v>84.78</v>
      </c>
      <c r="P197">
        <v>38</v>
      </c>
      <c r="Q197">
        <v>24.9</v>
      </c>
      <c r="R197">
        <v>11.21</v>
      </c>
      <c r="S197">
        <v>15.96</v>
      </c>
      <c r="T197">
        <v>4.87</v>
      </c>
      <c r="U197">
        <v>6.67</v>
      </c>
      <c r="V197">
        <v>3500.51</v>
      </c>
      <c r="W197">
        <v>1040.03</v>
      </c>
      <c r="X197">
        <v>1222.96</v>
      </c>
      <c r="Y197">
        <v>740.41</v>
      </c>
      <c r="Z197">
        <v>5.15</v>
      </c>
      <c r="AA197">
        <v>1.58</v>
      </c>
      <c r="AB197">
        <v>4.4400000000000004</v>
      </c>
      <c r="AC197">
        <v>69.7</v>
      </c>
      <c r="AD197">
        <v>490</v>
      </c>
      <c r="AE197">
        <v>4700</v>
      </c>
      <c r="AF197">
        <v>80.59</v>
      </c>
      <c r="AG197">
        <v>0.47</v>
      </c>
      <c r="AH197">
        <v>14.2</v>
      </c>
      <c r="AI197">
        <v>25.06</v>
      </c>
      <c r="AJ197">
        <v>60</v>
      </c>
      <c r="AK197">
        <v>9</v>
      </c>
      <c r="AL197">
        <v>9</v>
      </c>
      <c r="AM197">
        <v>0.9</v>
      </c>
      <c r="AN197">
        <v>294</v>
      </c>
      <c r="AO197">
        <v>302.13</v>
      </c>
      <c r="AP197">
        <v>366258.71</v>
      </c>
      <c r="AQ197">
        <v>240110.95</v>
      </c>
      <c r="AR197" t="s">
        <v>1104</v>
      </c>
      <c r="AT197" s="6">
        <f t="shared" si="15"/>
        <v>7.2002146118721466</v>
      </c>
    </row>
    <row r="198" spans="1:46" x14ac:dyDescent="0.55000000000000004">
      <c r="A198">
        <v>20.78</v>
      </c>
      <c r="B198">
        <v>32.1</v>
      </c>
      <c r="C198">
        <v>5501.89</v>
      </c>
      <c r="D198">
        <v>7.58</v>
      </c>
      <c r="E198" t="s">
        <v>233</v>
      </c>
      <c r="F198" t="s">
        <v>477</v>
      </c>
      <c r="G198" t="s">
        <v>635</v>
      </c>
      <c r="H198" t="s">
        <v>864</v>
      </c>
      <c r="I198">
        <v>0</v>
      </c>
      <c r="J198">
        <v>865.3</v>
      </c>
      <c r="K198">
        <f t="shared" si="12"/>
        <v>73.989999999999995</v>
      </c>
      <c r="L198">
        <f t="shared" si="13"/>
        <v>86.309999999999988</v>
      </c>
      <c r="M198">
        <f t="shared" si="14"/>
        <v>-12.319999999999993</v>
      </c>
      <c r="N198">
        <v>7.32</v>
      </c>
      <c r="O198">
        <v>85.19</v>
      </c>
      <c r="P198">
        <v>41</v>
      </c>
      <c r="Q198">
        <v>24.8</v>
      </c>
      <c r="R198">
        <v>11.32</v>
      </c>
      <c r="S198">
        <v>16.39</v>
      </c>
      <c r="T198">
        <v>4.3899999999999997</v>
      </c>
      <c r="U198">
        <v>6.36</v>
      </c>
      <c r="V198">
        <v>3521.21</v>
      </c>
      <c r="W198">
        <v>1044.46</v>
      </c>
      <c r="X198">
        <v>1211.8699999999999</v>
      </c>
      <c r="Y198">
        <v>740.15</v>
      </c>
      <c r="Z198">
        <v>5.14</v>
      </c>
      <c r="AA198">
        <v>1.56</v>
      </c>
      <c r="AB198">
        <v>4.46</v>
      </c>
      <c r="AC198">
        <v>72.06</v>
      </c>
      <c r="AD198">
        <v>490</v>
      </c>
      <c r="AE198">
        <v>4700</v>
      </c>
      <c r="AF198">
        <v>81.38</v>
      </c>
      <c r="AG198">
        <v>0.47</v>
      </c>
      <c r="AH198">
        <v>15.19</v>
      </c>
      <c r="AI198">
        <v>23.61</v>
      </c>
      <c r="AJ198">
        <v>60</v>
      </c>
      <c r="AK198">
        <v>9</v>
      </c>
      <c r="AL198">
        <v>9</v>
      </c>
      <c r="AM198">
        <v>0.96</v>
      </c>
      <c r="AN198">
        <v>294</v>
      </c>
      <c r="AO198">
        <v>302.63</v>
      </c>
      <c r="AP198">
        <v>369769.8</v>
      </c>
      <c r="AQ198">
        <v>264193.17</v>
      </c>
      <c r="AR198" t="s">
        <v>1105</v>
      </c>
      <c r="AT198" s="6">
        <f t="shared" si="15"/>
        <v>6.0260633561643839</v>
      </c>
    </row>
    <row r="199" spans="1:46" x14ac:dyDescent="0.55000000000000004">
      <c r="A199">
        <v>19.010000000000002</v>
      </c>
      <c r="B199">
        <v>30.3</v>
      </c>
      <c r="C199">
        <v>5520.34</v>
      </c>
      <c r="D199">
        <v>7.59</v>
      </c>
      <c r="E199" t="s">
        <v>234</v>
      </c>
      <c r="F199" t="s">
        <v>478</v>
      </c>
      <c r="G199" t="s">
        <v>585</v>
      </c>
      <c r="H199" t="s">
        <v>865</v>
      </c>
      <c r="I199">
        <v>0</v>
      </c>
      <c r="J199">
        <v>890.93</v>
      </c>
      <c r="K199">
        <f t="shared" si="12"/>
        <v>78.789999999999992</v>
      </c>
      <c r="L199">
        <f t="shared" si="13"/>
        <v>80.259999999999991</v>
      </c>
      <c r="M199">
        <f t="shared" si="14"/>
        <v>-1.4699999999999989</v>
      </c>
      <c r="N199">
        <v>7.35</v>
      </c>
      <c r="O199">
        <v>84.74</v>
      </c>
      <c r="P199">
        <v>56</v>
      </c>
      <c r="Q199">
        <v>19.5</v>
      </c>
      <c r="R199">
        <v>11.29</v>
      </c>
      <c r="S199">
        <v>14.05</v>
      </c>
      <c r="T199">
        <v>4.96</v>
      </c>
      <c r="U199">
        <v>6.2</v>
      </c>
      <c r="V199">
        <v>3533.02</v>
      </c>
      <c r="W199">
        <v>1048.1300000000001</v>
      </c>
      <c r="X199">
        <v>1214.18</v>
      </c>
      <c r="Y199">
        <v>742.72</v>
      </c>
      <c r="Z199">
        <v>6.87</v>
      </c>
      <c r="AA199">
        <v>1.53</v>
      </c>
      <c r="AB199">
        <v>4.5199999999999996</v>
      </c>
      <c r="AC199">
        <v>69.489999999999995</v>
      </c>
      <c r="AD199">
        <v>490</v>
      </c>
      <c r="AE199">
        <v>4700</v>
      </c>
      <c r="AF199">
        <v>81.2</v>
      </c>
      <c r="AG199">
        <v>0.47</v>
      </c>
      <c r="AH199">
        <v>15.63</v>
      </c>
      <c r="AI199">
        <v>29.62</v>
      </c>
      <c r="AJ199">
        <v>60</v>
      </c>
      <c r="AK199">
        <v>9</v>
      </c>
      <c r="AL199">
        <v>9</v>
      </c>
      <c r="AM199">
        <v>0.76</v>
      </c>
      <c r="AN199">
        <v>294</v>
      </c>
      <c r="AO199">
        <v>300.88</v>
      </c>
      <c r="AP199">
        <v>455463.66</v>
      </c>
      <c r="AQ199">
        <v>319343.63</v>
      </c>
      <c r="AR199" t="s">
        <v>1106</v>
      </c>
      <c r="AT199" s="6">
        <f t="shared" si="15"/>
        <v>7.769408105022829</v>
      </c>
    </row>
    <row r="200" spans="1:46" x14ac:dyDescent="0.55000000000000004">
      <c r="A200">
        <v>19.82</v>
      </c>
      <c r="B200">
        <v>31.01</v>
      </c>
      <c r="C200">
        <v>5467.85</v>
      </c>
      <c r="D200">
        <v>7.6</v>
      </c>
      <c r="E200" t="s">
        <v>235</v>
      </c>
      <c r="F200" t="s">
        <v>479</v>
      </c>
      <c r="G200" t="s">
        <v>608</v>
      </c>
      <c r="H200" t="s">
        <v>866</v>
      </c>
      <c r="I200">
        <v>0</v>
      </c>
      <c r="J200">
        <v>741.76</v>
      </c>
      <c r="K200">
        <f t="shared" si="12"/>
        <v>63.620000000000005</v>
      </c>
      <c r="L200">
        <f t="shared" si="13"/>
        <v>73.949999999999989</v>
      </c>
      <c r="M200">
        <f t="shared" si="14"/>
        <v>-10.329999999999984</v>
      </c>
      <c r="N200">
        <v>7.24</v>
      </c>
      <c r="O200">
        <v>85.1</v>
      </c>
      <c r="P200">
        <v>41</v>
      </c>
      <c r="Q200">
        <v>22.8</v>
      </c>
      <c r="R200">
        <v>11.19</v>
      </c>
      <c r="S200">
        <v>14.75</v>
      </c>
      <c r="T200">
        <v>5.07</v>
      </c>
      <c r="U200">
        <v>7.37</v>
      </c>
      <c r="V200">
        <v>3499.42</v>
      </c>
      <c r="W200">
        <v>1043.02</v>
      </c>
      <c r="X200">
        <v>1258.1099999999999</v>
      </c>
      <c r="Y200">
        <v>749.13</v>
      </c>
      <c r="Z200">
        <v>5.16</v>
      </c>
      <c r="AA200">
        <v>1.58</v>
      </c>
      <c r="AB200">
        <v>4.45</v>
      </c>
      <c r="AC200">
        <v>68.819999999999993</v>
      </c>
      <c r="AD200">
        <v>490</v>
      </c>
      <c r="AE200">
        <v>4700</v>
      </c>
      <c r="AF200">
        <v>80.44</v>
      </c>
      <c r="AG200">
        <v>0.47</v>
      </c>
      <c r="AH200">
        <v>12.63</v>
      </c>
      <c r="AI200">
        <v>27.55</v>
      </c>
      <c r="AJ200">
        <v>60</v>
      </c>
      <c r="AK200">
        <v>9</v>
      </c>
      <c r="AL200">
        <v>9</v>
      </c>
      <c r="AM200">
        <v>0.82</v>
      </c>
      <c r="AN200">
        <v>294</v>
      </c>
      <c r="AO200">
        <v>301.39</v>
      </c>
      <c r="AP200">
        <v>362862.05</v>
      </c>
      <c r="AQ200">
        <v>205168.73</v>
      </c>
      <c r="AR200" t="s">
        <v>1107</v>
      </c>
      <c r="AT200" s="6">
        <f t="shared" si="15"/>
        <v>9.0007602739726007</v>
      </c>
    </row>
    <row r="201" spans="1:46" x14ac:dyDescent="0.55000000000000004">
      <c r="A201">
        <v>19.809999999999999</v>
      </c>
      <c r="B201">
        <v>31.1</v>
      </c>
      <c r="C201">
        <v>5553.69</v>
      </c>
      <c r="D201">
        <v>7.6</v>
      </c>
      <c r="E201" t="s">
        <v>236</v>
      </c>
      <c r="F201" t="s">
        <v>480</v>
      </c>
      <c r="G201" t="s">
        <v>659</v>
      </c>
      <c r="H201" t="s">
        <v>867</v>
      </c>
      <c r="I201">
        <v>0</v>
      </c>
      <c r="J201">
        <v>889.77</v>
      </c>
      <c r="K201">
        <f t="shared" si="12"/>
        <v>77.740000000000009</v>
      </c>
      <c r="L201">
        <f t="shared" si="13"/>
        <v>81.34</v>
      </c>
      <c r="M201">
        <f t="shared" si="14"/>
        <v>-3.5999999999999943</v>
      </c>
      <c r="N201">
        <v>7.35</v>
      </c>
      <c r="O201">
        <v>84.98</v>
      </c>
      <c r="P201">
        <v>54</v>
      </c>
      <c r="Q201">
        <v>21</v>
      </c>
      <c r="R201">
        <v>11.29</v>
      </c>
      <c r="S201">
        <v>15.11</v>
      </c>
      <c r="T201">
        <v>4.7</v>
      </c>
      <c r="U201">
        <v>6.24</v>
      </c>
      <c r="V201">
        <v>3554.36</v>
      </c>
      <c r="W201">
        <v>1054.07</v>
      </c>
      <c r="X201">
        <v>1218.8</v>
      </c>
      <c r="Y201">
        <v>746.3</v>
      </c>
      <c r="Z201">
        <v>5.73</v>
      </c>
      <c r="AA201">
        <v>1.56</v>
      </c>
      <c r="AB201">
        <v>4.47</v>
      </c>
      <c r="AC201">
        <v>70.59</v>
      </c>
      <c r="AD201">
        <v>490</v>
      </c>
      <c r="AE201">
        <v>4700</v>
      </c>
      <c r="AF201">
        <v>81.17</v>
      </c>
      <c r="AG201">
        <v>0.47</v>
      </c>
      <c r="AH201">
        <v>15.49</v>
      </c>
      <c r="AI201">
        <v>25.05</v>
      </c>
      <c r="AJ201">
        <v>60</v>
      </c>
      <c r="AK201">
        <v>9</v>
      </c>
      <c r="AL201">
        <v>9</v>
      </c>
      <c r="AM201">
        <v>0.9</v>
      </c>
      <c r="AN201">
        <v>294</v>
      </c>
      <c r="AO201">
        <v>302.13</v>
      </c>
      <c r="AP201">
        <v>453499.36</v>
      </c>
      <c r="AQ201">
        <v>236771.85</v>
      </c>
      <c r="AR201" t="s">
        <v>1108</v>
      </c>
      <c r="AT201" s="6">
        <f t="shared" si="15"/>
        <v>12.370291666666665</v>
      </c>
    </row>
    <row r="202" spans="1:46" x14ac:dyDescent="0.55000000000000004">
      <c r="A202">
        <v>18.8</v>
      </c>
      <c r="B202">
        <v>30.03</v>
      </c>
      <c r="C202">
        <v>5494.18</v>
      </c>
      <c r="D202">
        <v>7.6</v>
      </c>
      <c r="E202" t="s">
        <v>237</v>
      </c>
      <c r="F202" t="s">
        <v>481</v>
      </c>
      <c r="G202" t="s">
        <v>647</v>
      </c>
      <c r="H202" t="s">
        <v>868</v>
      </c>
      <c r="I202">
        <v>0</v>
      </c>
      <c r="J202">
        <v>756.16</v>
      </c>
      <c r="K202">
        <f t="shared" si="12"/>
        <v>64.64</v>
      </c>
      <c r="L202">
        <f t="shared" si="13"/>
        <v>75.150000000000006</v>
      </c>
      <c r="M202">
        <f t="shared" si="14"/>
        <v>-10.510000000000005</v>
      </c>
      <c r="N202">
        <v>7.25</v>
      </c>
      <c r="O202">
        <v>84.38</v>
      </c>
      <c r="P202">
        <v>44</v>
      </c>
      <c r="Q202">
        <v>19.399999999999999</v>
      </c>
      <c r="R202">
        <v>11.23</v>
      </c>
      <c r="S202">
        <v>12.38</v>
      </c>
      <c r="T202">
        <v>6.41</v>
      </c>
      <c r="U202">
        <v>7.27</v>
      </c>
      <c r="V202">
        <v>3516.28</v>
      </c>
      <c r="W202">
        <v>1047.76</v>
      </c>
      <c r="X202">
        <v>1259.8399999999999</v>
      </c>
      <c r="Y202">
        <v>751.84</v>
      </c>
      <c r="Z202">
        <v>5.16</v>
      </c>
      <c r="AA202">
        <v>1.55</v>
      </c>
      <c r="AB202">
        <v>4.49</v>
      </c>
      <c r="AC202">
        <v>63.65</v>
      </c>
      <c r="AD202">
        <v>490</v>
      </c>
      <c r="AE202">
        <v>4700</v>
      </c>
      <c r="AF202">
        <v>80.760000000000005</v>
      </c>
      <c r="AG202">
        <v>0.47</v>
      </c>
      <c r="AH202">
        <v>12.89</v>
      </c>
      <c r="AI202">
        <v>27.11</v>
      </c>
      <c r="AJ202">
        <v>60</v>
      </c>
      <c r="AK202">
        <v>9</v>
      </c>
      <c r="AL202">
        <v>9</v>
      </c>
      <c r="AM202">
        <v>0.84</v>
      </c>
      <c r="AN202">
        <v>294</v>
      </c>
      <c r="AO202">
        <v>301.52</v>
      </c>
      <c r="AP202">
        <v>361584.79</v>
      </c>
      <c r="AQ202">
        <v>208877.66</v>
      </c>
      <c r="AR202" t="s">
        <v>1109</v>
      </c>
      <c r="AT202" s="6">
        <f t="shared" si="15"/>
        <v>8.716160388127852</v>
      </c>
    </row>
    <row r="203" spans="1:46" x14ac:dyDescent="0.55000000000000004">
      <c r="A203">
        <v>18.75</v>
      </c>
      <c r="B203">
        <v>29.93</v>
      </c>
      <c r="C203">
        <v>5484.95</v>
      </c>
      <c r="D203">
        <v>7.6</v>
      </c>
      <c r="E203" t="s">
        <v>238</v>
      </c>
      <c r="F203" t="s">
        <v>482</v>
      </c>
      <c r="G203" t="s">
        <v>620</v>
      </c>
      <c r="H203" t="s">
        <v>801</v>
      </c>
      <c r="I203">
        <v>0</v>
      </c>
      <c r="J203">
        <v>698.69</v>
      </c>
      <c r="K203">
        <f t="shared" si="12"/>
        <v>60.33</v>
      </c>
      <c r="L203">
        <f t="shared" si="13"/>
        <v>70</v>
      </c>
      <c r="M203">
        <f t="shared" si="14"/>
        <v>-9.6700000000000017</v>
      </c>
      <c r="N203">
        <v>7.21</v>
      </c>
      <c r="O203">
        <v>85.3</v>
      </c>
      <c r="P203">
        <v>42</v>
      </c>
      <c r="Q203">
        <v>19.8</v>
      </c>
      <c r="R203">
        <v>11.18</v>
      </c>
      <c r="S203">
        <v>12.44</v>
      </c>
      <c r="T203">
        <v>6.32</v>
      </c>
      <c r="U203">
        <v>7.85</v>
      </c>
      <c r="V203">
        <v>3510.37</v>
      </c>
      <c r="W203">
        <v>1048.6199999999999</v>
      </c>
      <c r="X203">
        <v>1286.56</v>
      </c>
      <c r="Y203">
        <v>757.74</v>
      </c>
      <c r="Z203">
        <v>5.17</v>
      </c>
      <c r="AA203">
        <v>1.57</v>
      </c>
      <c r="AB203">
        <v>4.46</v>
      </c>
      <c r="AC203">
        <v>63.89</v>
      </c>
      <c r="AD203">
        <v>490</v>
      </c>
      <c r="AE203">
        <v>4700</v>
      </c>
      <c r="AF203">
        <v>80.37</v>
      </c>
      <c r="AG203">
        <v>0.47</v>
      </c>
      <c r="AH203">
        <v>11.73</v>
      </c>
      <c r="AI203">
        <v>29.11</v>
      </c>
      <c r="AJ203">
        <v>60</v>
      </c>
      <c r="AK203">
        <v>9</v>
      </c>
      <c r="AL203">
        <v>9</v>
      </c>
      <c r="AM203">
        <v>0.78</v>
      </c>
      <c r="AN203">
        <v>294</v>
      </c>
      <c r="AO203">
        <v>301</v>
      </c>
      <c r="AP203">
        <v>358550.39</v>
      </c>
      <c r="AQ203">
        <v>186305.6</v>
      </c>
      <c r="AR203" t="s">
        <v>1110</v>
      </c>
      <c r="AT203" s="6">
        <f t="shared" si="15"/>
        <v>9.8313236301369873</v>
      </c>
    </row>
    <row r="204" spans="1:46" x14ac:dyDescent="0.55000000000000004">
      <c r="A204">
        <v>18.88</v>
      </c>
      <c r="B204">
        <v>30.14</v>
      </c>
      <c r="C204">
        <v>5471.42</v>
      </c>
      <c r="D204">
        <v>7.59</v>
      </c>
      <c r="E204" t="s">
        <v>239</v>
      </c>
      <c r="F204" t="s">
        <v>483</v>
      </c>
      <c r="G204" t="s">
        <v>655</v>
      </c>
      <c r="H204" t="s">
        <v>869</v>
      </c>
      <c r="I204">
        <v>0</v>
      </c>
      <c r="J204">
        <v>812.12</v>
      </c>
      <c r="K204">
        <f t="shared" si="12"/>
        <v>69.13</v>
      </c>
      <c r="L204">
        <f t="shared" si="13"/>
        <v>75.53</v>
      </c>
      <c r="M204">
        <f t="shared" si="14"/>
        <v>-6.4000000000000057</v>
      </c>
      <c r="N204">
        <v>7.29</v>
      </c>
      <c r="O204">
        <v>84.82</v>
      </c>
      <c r="P204">
        <v>51</v>
      </c>
      <c r="Q204">
        <v>19.2</v>
      </c>
      <c r="R204">
        <v>11.26</v>
      </c>
      <c r="S204">
        <v>13.14</v>
      </c>
      <c r="T204">
        <v>5.74</v>
      </c>
      <c r="U204">
        <v>6.74</v>
      </c>
      <c r="V204">
        <v>3501.71</v>
      </c>
      <c r="W204">
        <v>1041.1199999999999</v>
      </c>
      <c r="X204">
        <v>1229.76</v>
      </c>
      <c r="Y204">
        <v>742.5</v>
      </c>
      <c r="Z204">
        <v>5.49</v>
      </c>
      <c r="AA204">
        <v>1.54</v>
      </c>
      <c r="AB204">
        <v>4.51</v>
      </c>
      <c r="AC204">
        <v>66.260000000000005</v>
      </c>
      <c r="AD204">
        <v>490</v>
      </c>
      <c r="AE204">
        <v>4700</v>
      </c>
      <c r="AF204">
        <v>80.98</v>
      </c>
      <c r="AG204">
        <v>0.47</v>
      </c>
      <c r="AH204">
        <v>14.11</v>
      </c>
      <c r="AI204">
        <v>26.97</v>
      </c>
      <c r="AJ204">
        <v>60</v>
      </c>
      <c r="AK204">
        <v>9</v>
      </c>
      <c r="AL204">
        <v>9</v>
      </c>
      <c r="AM204">
        <v>0.84</v>
      </c>
      <c r="AN204">
        <v>294</v>
      </c>
      <c r="AO204">
        <v>301.55</v>
      </c>
      <c r="AP204">
        <v>406218.86</v>
      </c>
      <c r="AQ204">
        <v>211655.59</v>
      </c>
      <c r="AR204" t="s">
        <v>1111</v>
      </c>
      <c r="AT204" s="6">
        <f t="shared" si="15"/>
        <v>11.105209474885845</v>
      </c>
    </row>
    <row r="205" spans="1:46" x14ac:dyDescent="0.55000000000000004">
      <c r="A205">
        <v>18.62</v>
      </c>
      <c r="B205">
        <v>29.84</v>
      </c>
      <c r="C205">
        <v>5518.5</v>
      </c>
      <c r="D205">
        <v>7.59</v>
      </c>
      <c r="E205" t="s">
        <v>240</v>
      </c>
      <c r="F205" t="s">
        <v>484</v>
      </c>
      <c r="G205" t="s">
        <v>660</v>
      </c>
      <c r="H205" t="s">
        <v>870</v>
      </c>
      <c r="I205">
        <v>0</v>
      </c>
      <c r="J205">
        <v>815.37</v>
      </c>
      <c r="K205">
        <f t="shared" si="12"/>
        <v>71.12</v>
      </c>
      <c r="L205">
        <f t="shared" si="13"/>
        <v>81.210000000000008</v>
      </c>
      <c r="M205">
        <f t="shared" si="14"/>
        <v>-10.090000000000003</v>
      </c>
      <c r="N205">
        <v>7.31</v>
      </c>
      <c r="O205">
        <v>84.85</v>
      </c>
      <c r="P205">
        <v>45</v>
      </c>
      <c r="Q205">
        <v>18.399999999999999</v>
      </c>
      <c r="R205">
        <v>11.22</v>
      </c>
      <c r="S205">
        <v>11.68</v>
      </c>
      <c r="T205">
        <v>6.94</v>
      </c>
      <c r="U205">
        <v>6.77</v>
      </c>
      <c r="V205">
        <v>3531.84</v>
      </c>
      <c r="W205">
        <v>1051.05</v>
      </c>
      <c r="X205">
        <v>1246.92</v>
      </c>
      <c r="Y205">
        <v>751.09</v>
      </c>
      <c r="Z205">
        <v>5.25</v>
      </c>
      <c r="AA205">
        <v>1.55</v>
      </c>
      <c r="AB205">
        <v>4.5</v>
      </c>
      <c r="AC205">
        <v>61.78</v>
      </c>
      <c r="AD205">
        <v>490</v>
      </c>
      <c r="AE205">
        <v>4700</v>
      </c>
      <c r="AF205">
        <v>80.69</v>
      </c>
      <c r="AG205">
        <v>0.47</v>
      </c>
      <c r="AH205">
        <v>13.99</v>
      </c>
      <c r="AI205">
        <v>25.09</v>
      </c>
      <c r="AJ205">
        <v>60</v>
      </c>
      <c r="AK205">
        <v>9</v>
      </c>
      <c r="AL205">
        <v>9</v>
      </c>
      <c r="AM205">
        <v>0.9</v>
      </c>
      <c r="AN205">
        <v>294</v>
      </c>
      <c r="AO205">
        <v>302.12</v>
      </c>
      <c r="AP205">
        <v>381325.59</v>
      </c>
      <c r="AQ205">
        <v>226683.78</v>
      </c>
      <c r="AR205" t="s">
        <v>1112</v>
      </c>
      <c r="AT205" s="6">
        <f t="shared" si="15"/>
        <v>8.8265873287671255</v>
      </c>
    </row>
    <row r="206" spans="1:46" x14ac:dyDescent="0.55000000000000004">
      <c r="A206">
        <v>18.52</v>
      </c>
      <c r="B206">
        <v>29.85</v>
      </c>
      <c r="C206">
        <v>5493.81</v>
      </c>
      <c r="D206">
        <v>7.6</v>
      </c>
      <c r="E206" t="s">
        <v>241</v>
      </c>
      <c r="F206" t="s">
        <v>485</v>
      </c>
      <c r="G206" t="s">
        <v>640</v>
      </c>
      <c r="H206" t="s">
        <v>871</v>
      </c>
      <c r="I206">
        <v>0</v>
      </c>
      <c r="J206">
        <v>788.5</v>
      </c>
      <c r="K206">
        <f t="shared" si="12"/>
        <v>67.349999999999994</v>
      </c>
      <c r="L206">
        <f t="shared" si="13"/>
        <v>78.12</v>
      </c>
      <c r="M206">
        <f t="shared" si="14"/>
        <v>-10.77000000000001</v>
      </c>
      <c r="N206">
        <v>7.28</v>
      </c>
      <c r="O206">
        <v>85.31</v>
      </c>
      <c r="P206">
        <v>46</v>
      </c>
      <c r="Q206">
        <v>18.399999999999999</v>
      </c>
      <c r="R206">
        <v>11.33</v>
      </c>
      <c r="S206">
        <v>11.81</v>
      </c>
      <c r="T206">
        <v>6.71</v>
      </c>
      <c r="U206">
        <v>6.97</v>
      </c>
      <c r="V206">
        <v>3516.04</v>
      </c>
      <c r="W206">
        <v>1046.46</v>
      </c>
      <c r="X206">
        <v>1245.95</v>
      </c>
      <c r="Y206">
        <v>748.4</v>
      </c>
      <c r="Z206">
        <v>5.17</v>
      </c>
      <c r="AA206">
        <v>1.54</v>
      </c>
      <c r="AB206">
        <v>4.51</v>
      </c>
      <c r="AC206">
        <v>62.81</v>
      </c>
      <c r="AD206">
        <v>490</v>
      </c>
      <c r="AE206">
        <v>4700</v>
      </c>
      <c r="AF206">
        <v>81.489999999999995</v>
      </c>
      <c r="AG206">
        <v>0.47</v>
      </c>
      <c r="AH206">
        <v>13.66</v>
      </c>
      <c r="AI206">
        <v>26.08</v>
      </c>
      <c r="AJ206">
        <v>60</v>
      </c>
      <c r="AK206">
        <v>9</v>
      </c>
      <c r="AL206">
        <v>9</v>
      </c>
      <c r="AM206">
        <v>0.87</v>
      </c>
      <c r="AN206">
        <v>294</v>
      </c>
      <c r="AO206">
        <v>301.81</v>
      </c>
      <c r="AP206">
        <v>365673.35</v>
      </c>
      <c r="AQ206">
        <v>221301.45</v>
      </c>
      <c r="AR206" t="s">
        <v>1113</v>
      </c>
      <c r="AT206" s="6">
        <f t="shared" si="15"/>
        <v>8.2404052511415511</v>
      </c>
    </row>
    <row r="207" spans="1:46" x14ac:dyDescent="0.55000000000000004">
      <c r="A207">
        <v>18.84</v>
      </c>
      <c r="B207">
        <v>30.1</v>
      </c>
      <c r="C207">
        <v>5453.22</v>
      </c>
      <c r="D207">
        <v>7.6</v>
      </c>
      <c r="E207" t="s">
        <v>242</v>
      </c>
      <c r="F207" t="s">
        <v>486</v>
      </c>
      <c r="G207" t="s">
        <v>626</v>
      </c>
      <c r="H207" t="s">
        <v>872</v>
      </c>
      <c r="I207">
        <v>0</v>
      </c>
      <c r="J207">
        <v>832.97</v>
      </c>
      <c r="K207">
        <f t="shared" si="12"/>
        <v>71.12</v>
      </c>
      <c r="L207">
        <f t="shared" si="13"/>
        <v>79.69</v>
      </c>
      <c r="M207">
        <f t="shared" si="14"/>
        <v>-8.5699999999999932</v>
      </c>
      <c r="N207">
        <v>7.3</v>
      </c>
      <c r="O207">
        <v>85.29</v>
      </c>
      <c r="P207">
        <v>50</v>
      </c>
      <c r="Q207">
        <v>19.100000000000001</v>
      </c>
      <c r="R207">
        <v>11.26</v>
      </c>
      <c r="S207">
        <v>12.93</v>
      </c>
      <c r="T207">
        <v>5.92</v>
      </c>
      <c r="U207">
        <v>6.55</v>
      </c>
      <c r="V207">
        <v>3490.06</v>
      </c>
      <c r="W207">
        <v>1036.44</v>
      </c>
      <c r="X207">
        <v>1214.07</v>
      </c>
      <c r="Y207">
        <v>736.89</v>
      </c>
      <c r="Z207">
        <v>5.36</v>
      </c>
      <c r="AA207">
        <v>1.54</v>
      </c>
      <c r="AB207">
        <v>4.5199999999999996</v>
      </c>
      <c r="AC207">
        <v>65.55</v>
      </c>
      <c r="AD207">
        <v>490</v>
      </c>
      <c r="AE207">
        <v>4700</v>
      </c>
      <c r="AF207">
        <v>80.95</v>
      </c>
      <c r="AG207">
        <v>0.47</v>
      </c>
      <c r="AH207">
        <v>14.59</v>
      </c>
      <c r="AI207">
        <v>25.57</v>
      </c>
      <c r="AJ207">
        <v>60</v>
      </c>
      <c r="AK207">
        <v>9</v>
      </c>
      <c r="AL207">
        <v>9</v>
      </c>
      <c r="AM207">
        <v>0.89</v>
      </c>
      <c r="AN207">
        <v>294</v>
      </c>
      <c r="AO207">
        <v>301.97000000000003</v>
      </c>
      <c r="AP207">
        <v>395419.7</v>
      </c>
      <c r="AQ207">
        <v>233081.18</v>
      </c>
      <c r="AR207" t="s">
        <v>1114</v>
      </c>
      <c r="AT207" s="6">
        <f t="shared" si="15"/>
        <v>9.2658972602739738</v>
      </c>
    </row>
    <row r="208" spans="1:46" x14ac:dyDescent="0.55000000000000004">
      <c r="A208">
        <v>18.82</v>
      </c>
      <c r="B208">
        <v>30.12</v>
      </c>
      <c r="C208">
        <v>5502.53</v>
      </c>
      <c r="D208">
        <v>7.61</v>
      </c>
      <c r="E208" t="s">
        <v>243</v>
      </c>
      <c r="F208" t="s">
        <v>487</v>
      </c>
      <c r="G208" t="s">
        <v>593</v>
      </c>
      <c r="H208" t="s">
        <v>873</v>
      </c>
      <c r="I208">
        <v>0</v>
      </c>
      <c r="J208">
        <v>827.65</v>
      </c>
      <c r="K208">
        <f t="shared" si="12"/>
        <v>71.84</v>
      </c>
      <c r="L208">
        <f t="shared" si="13"/>
        <v>74.210000000000008</v>
      </c>
      <c r="M208">
        <f t="shared" si="14"/>
        <v>-2.3700000000000045</v>
      </c>
      <c r="N208">
        <v>7.31</v>
      </c>
      <c r="O208">
        <v>84.72</v>
      </c>
      <c r="P208">
        <v>55</v>
      </c>
      <c r="Q208">
        <v>19.5</v>
      </c>
      <c r="R208">
        <v>11.3</v>
      </c>
      <c r="S208">
        <v>13.92</v>
      </c>
      <c r="T208">
        <v>4.9000000000000004</v>
      </c>
      <c r="U208">
        <v>6.65</v>
      </c>
      <c r="V208">
        <v>3521.62</v>
      </c>
      <c r="W208">
        <v>1046.9100000000001</v>
      </c>
      <c r="X208">
        <v>1233.73</v>
      </c>
      <c r="Y208">
        <v>746.19</v>
      </c>
      <c r="Z208">
        <v>5.81</v>
      </c>
      <c r="AA208">
        <v>1.56</v>
      </c>
      <c r="AB208">
        <v>4.49</v>
      </c>
      <c r="AC208">
        <v>69.75</v>
      </c>
      <c r="AD208">
        <v>490</v>
      </c>
      <c r="AE208">
        <v>4700</v>
      </c>
      <c r="AF208">
        <v>81.25</v>
      </c>
      <c r="AG208">
        <v>0.47</v>
      </c>
      <c r="AH208">
        <v>14.38</v>
      </c>
      <c r="AI208">
        <v>27.46</v>
      </c>
      <c r="AJ208">
        <v>60</v>
      </c>
      <c r="AK208">
        <v>9</v>
      </c>
      <c r="AL208">
        <v>9</v>
      </c>
      <c r="AM208">
        <v>0.82</v>
      </c>
      <c r="AN208">
        <v>294</v>
      </c>
      <c r="AO208">
        <v>301.42</v>
      </c>
      <c r="AP208">
        <v>449857.79</v>
      </c>
      <c r="AQ208">
        <v>200789.18</v>
      </c>
      <c r="AR208" t="s">
        <v>1115</v>
      </c>
      <c r="AT208" s="6">
        <f t="shared" si="15"/>
        <v>14.216244863013697</v>
      </c>
    </row>
    <row r="209" spans="1:46" x14ac:dyDescent="0.55000000000000004">
      <c r="A209">
        <v>18.96</v>
      </c>
      <c r="B209">
        <v>30.18</v>
      </c>
      <c r="C209">
        <v>5497.95</v>
      </c>
      <c r="D209">
        <v>7.59</v>
      </c>
      <c r="E209" t="s">
        <v>244</v>
      </c>
      <c r="F209" t="s">
        <v>488</v>
      </c>
      <c r="G209" t="s">
        <v>661</v>
      </c>
      <c r="H209" t="s">
        <v>874</v>
      </c>
      <c r="I209">
        <v>0</v>
      </c>
      <c r="J209">
        <v>835.91</v>
      </c>
      <c r="K209">
        <f t="shared" si="12"/>
        <v>71.28</v>
      </c>
      <c r="L209">
        <f t="shared" si="13"/>
        <v>82.56</v>
      </c>
      <c r="M209">
        <f t="shared" si="14"/>
        <v>-11.280000000000001</v>
      </c>
      <c r="N209">
        <v>7.3</v>
      </c>
      <c r="O209">
        <v>84.99</v>
      </c>
      <c r="P209">
        <v>44</v>
      </c>
      <c r="Q209">
        <v>19.100000000000001</v>
      </c>
      <c r="R209">
        <v>11.22</v>
      </c>
      <c r="S209">
        <v>12.13</v>
      </c>
      <c r="T209">
        <v>6.83</v>
      </c>
      <c r="U209">
        <v>6.58</v>
      </c>
      <c r="V209">
        <v>3518.69</v>
      </c>
      <c r="W209">
        <v>1044.68</v>
      </c>
      <c r="X209">
        <v>1221.74</v>
      </c>
      <c r="Y209">
        <v>742.29</v>
      </c>
      <c r="Z209">
        <v>5.18</v>
      </c>
      <c r="AA209">
        <v>1.54</v>
      </c>
      <c r="AB209">
        <v>4.5199999999999996</v>
      </c>
      <c r="AC209">
        <v>62.16</v>
      </c>
      <c r="AD209">
        <v>490</v>
      </c>
      <c r="AE209">
        <v>4700</v>
      </c>
      <c r="AF209">
        <v>80.67</v>
      </c>
      <c r="AG209">
        <v>0.47</v>
      </c>
      <c r="AH209">
        <v>14.46</v>
      </c>
      <c r="AI209">
        <v>24.68</v>
      </c>
      <c r="AJ209">
        <v>60</v>
      </c>
      <c r="AK209">
        <v>9</v>
      </c>
      <c r="AL209">
        <v>9</v>
      </c>
      <c r="AM209">
        <v>0.92</v>
      </c>
      <c r="AN209">
        <v>294</v>
      </c>
      <c r="AO209">
        <v>302.26</v>
      </c>
      <c r="AP209">
        <v>373129.52</v>
      </c>
      <c r="AQ209">
        <v>246982.09</v>
      </c>
      <c r="AR209" t="s">
        <v>1116</v>
      </c>
      <c r="AT209" s="6">
        <f t="shared" si="15"/>
        <v>7.2001957762557094</v>
      </c>
    </row>
    <row r="210" spans="1:46" x14ac:dyDescent="0.55000000000000004">
      <c r="A210">
        <v>18.8</v>
      </c>
      <c r="B210">
        <v>30.09</v>
      </c>
      <c r="C210">
        <v>5469.44</v>
      </c>
      <c r="D210">
        <v>7.6</v>
      </c>
      <c r="E210" t="s">
        <v>245</v>
      </c>
      <c r="F210" t="s">
        <v>489</v>
      </c>
      <c r="G210" t="s">
        <v>640</v>
      </c>
      <c r="H210" t="s">
        <v>875</v>
      </c>
      <c r="I210">
        <v>0</v>
      </c>
      <c r="J210">
        <v>775.65</v>
      </c>
      <c r="K210">
        <f t="shared" si="12"/>
        <v>66.03</v>
      </c>
      <c r="L210">
        <f t="shared" si="13"/>
        <v>69.53</v>
      </c>
      <c r="M210">
        <f t="shared" si="14"/>
        <v>-3.5</v>
      </c>
      <c r="N210">
        <v>7.27</v>
      </c>
      <c r="O210">
        <v>85.22</v>
      </c>
      <c r="P210">
        <v>55</v>
      </c>
      <c r="Q210">
        <v>19</v>
      </c>
      <c r="R210">
        <v>11.29</v>
      </c>
      <c r="S210">
        <v>13.48</v>
      </c>
      <c r="T210">
        <v>5.32</v>
      </c>
      <c r="U210">
        <v>7.05</v>
      </c>
      <c r="V210">
        <v>3500.44</v>
      </c>
      <c r="W210">
        <v>1042.3900000000001</v>
      </c>
      <c r="X210">
        <v>1246.48</v>
      </c>
      <c r="Y210">
        <v>746.62</v>
      </c>
      <c r="Z210">
        <v>5.7</v>
      </c>
      <c r="AA210">
        <v>1.55</v>
      </c>
      <c r="AB210">
        <v>4.5</v>
      </c>
      <c r="AC210">
        <v>67.98</v>
      </c>
      <c r="AD210">
        <v>490</v>
      </c>
      <c r="AE210">
        <v>4700</v>
      </c>
      <c r="AF210">
        <v>81.22</v>
      </c>
      <c r="AG210">
        <v>0.47</v>
      </c>
      <c r="AH210">
        <v>13.42</v>
      </c>
      <c r="AI210">
        <v>29.3</v>
      </c>
      <c r="AJ210">
        <v>60</v>
      </c>
      <c r="AK210">
        <v>9</v>
      </c>
      <c r="AL210">
        <v>9</v>
      </c>
      <c r="AM210">
        <v>0.77</v>
      </c>
      <c r="AN210">
        <v>294</v>
      </c>
      <c r="AO210">
        <v>300.95</v>
      </c>
      <c r="AP210">
        <v>422738.83</v>
      </c>
      <c r="AQ210">
        <v>183603.09</v>
      </c>
      <c r="AR210" t="s">
        <v>1117</v>
      </c>
      <c r="AT210" s="6">
        <f t="shared" si="15"/>
        <v>13.649300228310503</v>
      </c>
    </row>
    <row r="211" spans="1:46" x14ac:dyDescent="0.55000000000000004">
      <c r="A211">
        <v>18.77</v>
      </c>
      <c r="B211">
        <v>30</v>
      </c>
      <c r="C211">
        <v>5486.51</v>
      </c>
      <c r="D211">
        <v>7.59</v>
      </c>
      <c r="E211" t="s">
        <v>246</v>
      </c>
      <c r="F211" t="s">
        <v>490</v>
      </c>
      <c r="G211" t="s">
        <v>581</v>
      </c>
      <c r="H211" t="s">
        <v>762</v>
      </c>
      <c r="I211">
        <v>0</v>
      </c>
      <c r="J211">
        <v>612.54999999999995</v>
      </c>
      <c r="K211">
        <f t="shared" si="12"/>
        <v>55.5</v>
      </c>
      <c r="L211">
        <f t="shared" si="13"/>
        <v>63.230000000000004</v>
      </c>
      <c r="M211">
        <f t="shared" si="14"/>
        <v>-7.730000000000004</v>
      </c>
      <c r="N211">
        <v>7.16</v>
      </c>
      <c r="O211">
        <v>84.89</v>
      </c>
      <c r="P211">
        <v>45</v>
      </c>
      <c r="Q211">
        <v>19.399999999999999</v>
      </c>
      <c r="R211">
        <v>11.23</v>
      </c>
      <c r="S211">
        <v>12.52</v>
      </c>
      <c r="T211">
        <v>6.25</v>
      </c>
      <c r="U211">
        <v>8.9600000000000009</v>
      </c>
      <c r="V211">
        <v>3511.37</v>
      </c>
      <c r="W211">
        <v>1055.05</v>
      </c>
      <c r="X211">
        <v>1349.59</v>
      </c>
      <c r="Y211">
        <v>774.18</v>
      </c>
      <c r="Z211">
        <v>5.71</v>
      </c>
      <c r="AA211">
        <v>1.58</v>
      </c>
      <c r="AB211">
        <v>4.43</v>
      </c>
      <c r="AC211">
        <v>64.239999999999995</v>
      </c>
      <c r="AD211">
        <v>490</v>
      </c>
      <c r="AE211">
        <v>4700</v>
      </c>
      <c r="AF211">
        <v>80.75</v>
      </c>
      <c r="AG211">
        <v>0.47</v>
      </c>
      <c r="AH211">
        <v>10.15</v>
      </c>
      <c r="AI211">
        <v>34.909999999999997</v>
      </c>
      <c r="AJ211">
        <v>60</v>
      </c>
      <c r="AK211">
        <v>9</v>
      </c>
      <c r="AL211">
        <v>9</v>
      </c>
      <c r="AM211">
        <v>0.65</v>
      </c>
      <c r="AN211">
        <v>294</v>
      </c>
      <c r="AO211">
        <v>299.83999999999997</v>
      </c>
      <c r="AP211">
        <v>354745.63</v>
      </c>
      <c r="AQ211">
        <v>189469.25</v>
      </c>
      <c r="AR211" t="s">
        <v>1118</v>
      </c>
      <c r="AT211" s="6">
        <f t="shared" si="15"/>
        <v>9.433583333333333</v>
      </c>
    </row>
    <row r="212" spans="1:46" x14ac:dyDescent="0.55000000000000004">
      <c r="A212">
        <v>18.82</v>
      </c>
      <c r="B212">
        <v>30.1</v>
      </c>
      <c r="C212">
        <v>5467.61</v>
      </c>
      <c r="D212">
        <v>7.59</v>
      </c>
      <c r="E212" t="s">
        <v>247</v>
      </c>
      <c r="F212" t="s">
        <v>491</v>
      </c>
      <c r="G212" t="s">
        <v>662</v>
      </c>
      <c r="H212" t="s">
        <v>876</v>
      </c>
      <c r="I212">
        <v>0</v>
      </c>
      <c r="J212">
        <v>926.23</v>
      </c>
      <c r="K212">
        <f t="shared" si="12"/>
        <v>81.77000000000001</v>
      </c>
      <c r="L212">
        <f t="shared" si="13"/>
        <v>86.94</v>
      </c>
      <c r="M212">
        <f t="shared" si="14"/>
        <v>-5.1699999999999875</v>
      </c>
      <c r="N212">
        <v>7.37</v>
      </c>
      <c r="O212">
        <v>85.24</v>
      </c>
      <c r="P212">
        <v>55</v>
      </c>
      <c r="Q212">
        <v>19.2</v>
      </c>
      <c r="R212">
        <v>11.27</v>
      </c>
      <c r="S212">
        <v>13.66</v>
      </c>
      <c r="T212">
        <v>5.17</v>
      </c>
      <c r="U212">
        <v>5.9</v>
      </c>
      <c r="V212">
        <v>3499.27</v>
      </c>
      <c r="W212">
        <v>1036.21</v>
      </c>
      <c r="X212">
        <v>1184.8399999999999</v>
      </c>
      <c r="Y212">
        <v>730.75</v>
      </c>
      <c r="Z212">
        <v>5.64</v>
      </c>
      <c r="AA212">
        <v>1.52</v>
      </c>
      <c r="AB212">
        <v>4.55</v>
      </c>
      <c r="AC212">
        <v>68.56</v>
      </c>
      <c r="AD212">
        <v>490</v>
      </c>
      <c r="AE212">
        <v>4700</v>
      </c>
      <c r="AF212">
        <v>81.040000000000006</v>
      </c>
      <c r="AG212">
        <v>0.47</v>
      </c>
      <c r="AH212">
        <v>16.53</v>
      </c>
      <c r="AI212">
        <v>23.43</v>
      </c>
      <c r="AJ212">
        <v>60</v>
      </c>
      <c r="AK212">
        <v>9</v>
      </c>
      <c r="AL212">
        <v>9</v>
      </c>
      <c r="AM212">
        <v>0.97</v>
      </c>
      <c r="AN212">
        <v>294</v>
      </c>
      <c r="AO212">
        <v>302.69</v>
      </c>
      <c r="AP212">
        <v>451523.68</v>
      </c>
      <c r="AQ212">
        <v>266028.24</v>
      </c>
      <c r="AR212" t="s">
        <v>1119</v>
      </c>
      <c r="AT212" s="6">
        <f t="shared" si="15"/>
        <v>10.587639269406393</v>
      </c>
    </row>
    <row r="213" spans="1:46" x14ac:dyDescent="0.55000000000000004">
      <c r="A213">
        <v>18.68</v>
      </c>
      <c r="B213">
        <v>29.9</v>
      </c>
      <c r="C213">
        <v>5510.92</v>
      </c>
      <c r="D213">
        <v>7.61</v>
      </c>
      <c r="E213" t="s">
        <v>248</v>
      </c>
      <c r="F213" t="s">
        <v>492</v>
      </c>
      <c r="G213" t="s">
        <v>663</v>
      </c>
      <c r="H213" t="s">
        <v>877</v>
      </c>
      <c r="I213">
        <v>0</v>
      </c>
      <c r="J213">
        <v>737.21</v>
      </c>
      <c r="K213">
        <f t="shared" si="12"/>
        <v>62.71</v>
      </c>
      <c r="L213">
        <f t="shared" si="13"/>
        <v>70.63</v>
      </c>
      <c r="M213">
        <f t="shared" si="14"/>
        <v>-7.9199999999999946</v>
      </c>
      <c r="N213">
        <v>7.24</v>
      </c>
      <c r="O213">
        <v>85.17</v>
      </c>
      <c r="P213">
        <v>46</v>
      </c>
      <c r="Q213">
        <v>18</v>
      </c>
      <c r="R213">
        <v>11.22</v>
      </c>
      <c r="S213">
        <v>11.47</v>
      </c>
      <c r="T213">
        <v>7.2</v>
      </c>
      <c r="U213">
        <v>7.48</v>
      </c>
      <c r="V213">
        <v>3526.99</v>
      </c>
      <c r="W213">
        <v>1051.4100000000001</v>
      </c>
      <c r="X213">
        <v>1270.0999999999999</v>
      </c>
      <c r="Y213">
        <v>755.53</v>
      </c>
      <c r="Z213">
        <v>5.33</v>
      </c>
      <c r="AA213">
        <v>1.57</v>
      </c>
      <c r="AB213">
        <v>4.47</v>
      </c>
      <c r="AC213">
        <v>60.89</v>
      </c>
      <c r="AD213">
        <v>490</v>
      </c>
      <c r="AE213">
        <v>4700</v>
      </c>
      <c r="AF213">
        <v>80.66</v>
      </c>
      <c r="AG213">
        <v>0.47</v>
      </c>
      <c r="AH213">
        <v>12.46</v>
      </c>
      <c r="AI213">
        <v>28.85</v>
      </c>
      <c r="AJ213">
        <v>60</v>
      </c>
      <c r="AK213">
        <v>9</v>
      </c>
      <c r="AL213">
        <v>9</v>
      </c>
      <c r="AM213">
        <v>0.78</v>
      </c>
      <c r="AN213">
        <v>294</v>
      </c>
      <c r="AO213">
        <v>301.06</v>
      </c>
      <c r="AP213">
        <v>378463.98</v>
      </c>
      <c r="AQ213">
        <v>191718.25</v>
      </c>
      <c r="AR213" t="s">
        <v>1120</v>
      </c>
      <c r="AT213" s="6">
        <f t="shared" si="15"/>
        <v>10.659002853881278</v>
      </c>
    </row>
    <row r="214" spans="1:46" x14ac:dyDescent="0.55000000000000004">
      <c r="A214">
        <v>18.850000000000001</v>
      </c>
      <c r="B214">
        <v>30.08</v>
      </c>
      <c r="C214">
        <v>5502.91</v>
      </c>
      <c r="D214">
        <v>7.6</v>
      </c>
      <c r="E214" t="s">
        <v>249</v>
      </c>
      <c r="F214" t="s">
        <v>493</v>
      </c>
      <c r="G214" t="s">
        <v>620</v>
      </c>
      <c r="H214" t="s">
        <v>878</v>
      </c>
      <c r="I214">
        <v>0</v>
      </c>
      <c r="J214">
        <v>690.38</v>
      </c>
      <c r="K214">
        <f t="shared" si="12"/>
        <v>59.480000000000004</v>
      </c>
      <c r="L214">
        <f t="shared" si="13"/>
        <v>68.92</v>
      </c>
      <c r="M214">
        <f t="shared" si="14"/>
        <v>-9.4399999999999977</v>
      </c>
      <c r="N214">
        <v>7.21</v>
      </c>
      <c r="O214">
        <v>84.83</v>
      </c>
      <c r="P214">
        <v>43</v>
      </c>
      <c r="Q214">
        <v>19.5</v>
      </c>
      <c r="R214">
        <v>11.23</v>
      </c>
      <c r="S214">
        <v>12.33</v>
      </c>
      <c r="T214">
        <v>6.52</v>
      </c>
      <c r="U214">
        <v>7.97</v>
      </c>
      <c r="V214">
        <v>3521.86</v>
      </c>
      <c r="W214">
        <v>1052.5999999999999</v>
      </c>
      <c r="X214">
        <v>1296.27</v>
      </c>
      <c r="Y214">
        <v>761.65</v>
      </c>
      <c r="Z214">
        <v>5.18</v>
      </c>
      <c r="AA214">
        <v>1.57</v>
      </c>
      <c r="AB214">
        <v>4.45</v>
      </c>
      <c r="AC214">
        <v>63.28</v>
      </c>
      <c r="AD214">
        <v>490</v>
      </c>
      <c r="AE214">
        <v>4700</v>
      </c>
      <c r="AF214">
        <v>80.77</v>
      </c>
      <c r="AG214">
        <v>0.47</v>
      </c>
      <c r="AH214">
        <v>11.59</v>
      </c>
      <c r="AI214">
        <v>29.56</v>
      </c>
      <c r="AJ214">
        <v>60</v>
      </c>
      <c r="AK214">
        <v>9</v>
      </c>
      <c r="AL214">
        <v>9</v>
      </c>
      <c r="AM214">
        <v>0.77</v>
      </c>
      <c r="AN214">
        <v>294</v>
      </c>
      <c r="AO214">
        <v>300.89</v>
      </c>
      <c r="AP214">
        <v>356460.06</v>
      </c>
      <c r="AQ214">
        <v>181584.39</v>
      </c>
      <c r="AR214" t="s">
        <v>1121</v>
      </c>
      <c r="AT214" s="6">
        <f t="shared" si="15"/>
        <v>9.9814880136986286</v>
      </c>
    </row>
    <row r="215" spans="1:46" x14ac:dyDescent="0.55000000000000004">
      <c r="A215">
        <v>18.89</v>
      </c>
      <c r="B215">
        <v>30.2</v>
      </c>
      <c r="C215">
        <v>5504.89</v>
      </c>
      <c r="D215">
        <v>7.6</v>
      </c>
      <c r="E215" t="s">
        <v>250</v>
      </c>
      <c r="F215" t="s">
        <v>494</v>
      </c>
      <c r="G215" t="s">
        <v>664</v>
      </c>
      <c r="H215" t="s">
        <v>879</v>
      </c>
      <c r="I215">
        <v>0</v>
      </c>
      <c r="J215">
        <v>846.87</v>
      </c>
      <c r="K215">
        <f t="shared" si="12"/>
        <v>72.2</v>
      </c>
      <c r="L215">
        <f t="shared" si="13"/>
        <v>74.650000000000006</v>
      </c>
      <c r="M215">
        <f t="shared" si="14"/>
        <v>-2.4500000000000028</v>
      </c>
      <c r="N215">
        <v>7.31</v>
      </c>
      <c r="O215">
        <v>85.25</v>
      </c>
      <c r="P215">
        <v>55</v>
      </c>
      <c r="Q215">
        <v>19.600000000000001</v>
      </c>
      <c r="R215">
        <v>11.3</v>
      </c>
      <c r="S215">
        <v>14.01</v>
      </c>
      <c r="T215">
        <v>4.8899999999999997</v>
      </c>
      <c r="U215">
        <v>6.5</v>
      </c>
      <c r="V215">
        <v>3523.13</v>
      </c>
      <c r="W215">
        <v>1045.44</v>
      </c>
      <c r="X215">
        <v>1217.79</v>
      </c>
      <c r="Y215">
        <v>741.76</v>
      </c>
      <c r="Z215">
        <v>5.8</v>
      </c>
      <c r="AA215">
        <v>1.54</v>
      </c>
      <c r="AB215">
        <v>4.51</v>
      </c>
      <c r="AC215">
        <v>69.819999999999993</v>
      </c>
      <c r="AD215">
        <v>490</v>
      </c>
      <c r="AE215">
        <v>4700</v>
      </c>
      <c r="AF215">
        <v>81.27</v>
      </c>
      <c r="AG215">
        <v>0.47</v>
      </c>
      <c r="AH215">
        <v>14.77</v>
      </c>
      <c r="AI215">
        <v>27.29</v>
      </c>
      <c r="AJ215">
        <v>60</v>
      </c>
      <c r="AK215">
        <v>9</v>
      </c>
      <c r="AL215">
        <v>9</v>
      </c>
      <c r="AM215">
        <v>0.83</v>
      </c>
      <c r="AN215">
        <v>294</v>
      </c>
      <c r="AO215">
        <v>301.45999999999998</v>
      </c>
      <c r="AP215">
        <v>450639.57</v>
      </c>
      <c r="AQ215">
        <v>213865.27</v>
      </c>
      <c r="AR215" t="s">
        <v>1122</v>
      </c>
      <c r="AT215" s="6">
        <f t="shared" si="15"/>
        <v>13.514514840182649</v>
      </c>
    </row>
    <row r="216" spans="1:46" x14ac:dyDescent="0.55000000000000004">
      <c r="A216">
        <v>18.91</v>
      </c>
      <c r="B216">
        <v>30.2</v>
      </c>
      <c r="C216">
        <v>5507.61</v>
      </c>
      <c r="D216">
        <v>7.6</v>
      </c>
      <c r="E216" t="s">
        <v>251</v>
      </c>
      <c r="F216" t="s">
        <v>495</v>
      </c>
      <c r="G216" t="s">
        <v>665</v>
      </c>
      <c r="H216" t="s">
        <v>880</v>
      </c>
      <c r="I216">
        <v>0</v>
      </c>
      <c r="J216">
        <v>801.87</v>
      </c>
      <c r="K216">
        <f t="shared" si="12"/>
        <v>70.63</v>
      </c>
      <c r="L216">
        <f t="shared" si="13"/>
        <v>81.900000000000006</v>
      </c>
      <c r="M216">
        <f t="shared" si="14"/>
        <v>-11.27000000000001</v>
      </c>
      <c r="N216">
        <v>7.3</v>
      </c>
      <c r="O216">
        <v>84.7</v>
      </c>
      <c r="P216">
        <v>43</v>
      </c>
      <c r="Q216">
        <v>19.5</v>
      </c>
      <c r="R216">
        <v>11.3</v>
      </c>
      <c r="S216">
        <v>12.33</v>
      </c>
      <c r="T216">
        <v>6.58</v>
      </c>
      <c r="U216">
        <v>6.87</v>
      </c>
      <c r="V216">
        <v>3524.87</v>
      </c>
      <c r="W216">
        <v>1049.94</v>
      </c>
      <c r="X216">
        <v>1253.3499999999999</v>
      </c>
      <c r="Y216">
        <v>752.06</v>
      </c>
      <c r="Z216">
        <v>5.17</v>
      </c>
      <c r="AA216">
        <v>1.56</v>
      </c>
      <c r="AB216">
        <v>4.4800000000000004</v>
      </c>
      <c r="AC216">
        <v>63.2</v>
      </c>
      <c r="AD216">
        <v>490</v>
      </c>
      <c r="AE216">
        <v>4700</v>
      </c>
      <c r="AF216">
        <v>81.22</v>
      </c>
      <c r="AG216">
        <v>0.47</v>
      </c>
      <c r="AH216">
        <v>13.84</v>
      </c>
      <c r="AI216">
        <v>24.88</v>
      </c>
      <c r="AJ216">
        <v>60</v>
      </c>
      <c r="AK216">
        <v>9</v>
      </c>
      <c r="AL216">
        <v>9</v>
      </c>
      <c r="AM216">
        <v>0.91</v>
      </c>
      <c r="AN216">
        <v>294</v>
      </c>
      <c r="AO216">
        <v>302.19</v>
      </c>
      <c r="AP216">
        <v>371233.09</v>
      </c>
      <c r="AQ216">
        <v>225577.33</v>
      </c>
      <c r="AR216" t="s">
        <v>1123</v>
      </c>
      <c r="AT216" s="6">
        <f t="shared" si="15"/>
        <v>8.3136849315068524</v>
      </c>
    </row>
    <row r="217" spans="1:46" x14ac:dyDescent="0.55000000000000004">
      <c r="A217">
        <v>18.829999999999998</v>
      </c>
      <c r="B217">
        <v>30.11</v>
      </c>
      <c r="C217">
        <v>5477.09</v>
      </c>
      <c r="D217">
        <v>7.6</v>
      </c>
      <c r="E217" t="s">
        <v>252</v>
      </c>
      <c r="F217" t="s">
        <v>496</v>
      </c>
      <c r="G217" t="s">
        <v>666</v>
      </c>
      <c r="H217" t="s">
        <v>881</v>
      </c>
      <c r="I217">
        <v>0</v>
      </c>
      <c r="J217">
        <v>767.05</v>
      </c>
      <c r="K217">
        <f t="shared" si="12"/>
        <v>64.97</v>
      </c>
      <c r="L217">
        <f t="shared" si="13"/>
        <v>69.45</v>
      </c>
      <c r="M217">
        <f t="shared" si="14"/>
        <v>-4.480000000000004</v>
      </c>
      <c r="N217">
        <v>7.25</v>
      </c>
      <c r="O217">
        <v>84.83</v>
      </c>
      <c r="P217">
        <v>53</v>
      </c>
      <c r="Q217">
        <v>19.100000000000001</v>
      </c>
      <c r="R217">
        <v>11.27</v>
      </c>
      <c r="S217">
        <v>13.31</v>
      </c>
      <c r="T217">
        <v>5.52</v>
      </c>
      <c r="U217">
        <v>7.14</v>
      </c>
      <c r="V217">
        <v>3505.34</v>
      </c>
      <c r="W217">
        <v>1043.0999999999999</v>
      </c>
      <c r="X217">
        <v>1244.03</v>
      </c>
      <c r="Y217">
        <v>746.05</v>
      </c>
      <c r="Z217">
        <v>5.61</v>
      </c>
      <c r="AA217">
        <v>1.55</v>
      </c>
      <c r="AB217">
        <v>4.49</v>
      </c>
      <c r="AC217">
        <v>67.12</v>
      </c>
      <c r="AD217">
        <v>490</v>
      </c>
      <c r="AE217">
        <v>4700</v>
      </c>
      <c r="AF217">
        <v>81.05</v>
      </c>
      <c r="AG217">
        <v>0.47</v>
      </c>
      <c r="AH217">
        <v>13.2</v>
      </c>
      <c r="AI217">
        <v>29.33</v>
      </c>
      <c r="AJ217">
        <v>60</v>
      </c>
      <c r="AK217">
        <v>9</v>
      </c>
      <c r="AL217">
        <v>9</v>
      </c>
      <c r="AM217">
        <v>0.77</v>
      </c>
      <c r="AN217">
        <v>294</v>
      </c>
      <c r="AO217">
        <v>300.95</v>
      </c>
      <c r="AP217">
        <v>415308.73</v>
      </c>
      <c r="AQ217">
        <v>190131.19</v>
      </c>
      <c r="AR217" t="s">
        <v>1124</v>
      </c>
      <c r="AT217" s="6">
        <f t="shared" si="15"/>
        <v>12.852599315068492</v>
      </c>
    </row>
    <row r="218" spans="1:46" x14ac:dyDescent="0.55000000000000004">
      <c r="A218">
        <v>18.46</v>
      </c>
      <c r="B218">
        <v>29.7</v>
      </c>
      <c r="C218">
        <v>5519.41</v>
      </c>
      <c r="D218">
        <v>7.6</v>
      </c>
      <c r="E218" t="s">
        <v>253</v>
      </c>
      <c r="F218" t="s">
        <v>497</v>
      </c>
      <c r="G218" t="s">
        <v>599</v>
      </c>
      <c r="H218" t="s">
        <v>882</v>
      </c>
      <c r="I218">
        <v>0</v>
      </c>
      <c r="J218">
        <v>632.92999999999995</v>
      </c>
      <c r="K218">
        <f t="shared" si="12"/>
        <v>56.46</v>
      </c>
      <c r="L218">
        <f t="shared" si="13"/>
        <v>63.73</v>
      </c>
      <c r="M218">
        <f t="shared" si="14"/>
        <v>-7.269999999999996</v>
      </c>
      <c r="N218">
        <v>7.17</v>
      </c>
      <c r="O218">
        <v>85.1</v>
      </c>
      <c r="P218">
        <v>46</v>
      </c>
      <c r="Q218">
        <v>18.2</v>
      </c>
      <c r="R218">
        <v>11.24</v>
      </c>
      <c r="S218">
        <v>11.64</v>
      </c>
      <c r="T218">
        <v>6.81</v>
      </c>
      <c r="U218">
        <v>8.7200000000000006</v>
      </c>
      <c r="V218">
        <v>3532.42</v>
      </c>
      <c r="W218">
        <v>1059.3900000000001</v>
      </c>
      <c r="X218">
        <v>1338.5</v>
      </c>
      <c r="Y218">
        <v>773.69</v>
      </c>
      <c r="Z218">
        <v>5.76</v>
      </c>
      <c r="AA218">
        <v>1.58</v>
      </c>
      <c r="AB218">
        <v>4.4400000000000004</v>
      </c>
      <c r="AC218">
        <v>62.26</v>
      </c>
      <c r="AD218">
        <v>490</v>
      </c>
      <c r="AE218">
        <v>4700</v>
      </c>
      <c r="AF218">
        <v>80.84</v>
      </c>
      <c r="AG218">
        <v>0.47</v>
      </c>
      <c r="AH218">
        <v>10.47</v>
      </c>
      <c r="AI218">
        <v>34.64</v>
      </c>
      <c r="AJ218">
        <v>60</v>
      </c>
      <c r="AK218">
        <v>9</v>
      </c>
      <c r="AL218">
        <v>9</v>
      </c>
      <c r="AM218">
        <v>0.65</v>
      </c>
      <c r="AN218">
        <v>294</v>
      </c>
      <c r="AO218">
        <v>299.88</v>
      </c>
      <c r="AP218">
        <v>361601.75</v>
      </c>
      <c r="AQ218">
        <v>195061.28</v>
      </c>
      <c r="AR218" t="s">
        <v>1125</v>
      </c>
      <c r="AT218" s="6">
        <f t="shared" si="15"/>
        <v>9.5057345890410954</v>
      </c>
    </row>
    <row r="219" spans="1:46" x14ac:dyDescent="0.55000000000000004">
      <c r="A219">
        <v>18.78</v>
      </c>
      <c r="B219">
        <v>30.01</v>
      </c>
      <c r="C219">
        <v>5464.58</v>
      </c>
      <c r="D219">
        <v>7.6</v>
      </c>
      <c r="E219" t="s">
        <v>254</v>
      </c>
      <c r="F219" t="s">
        <v>498</v>
      </c>
      <c r="G219" t="s">
        <v>663</v>
      </c>
      <c r="H219" t="s">
        <v>883</v>
      </c>
      <c r="I219">
        <v>0</v>
      </c>
      <c r="J219">
        <v>906.37</v>
      </c>
      <c r="K219">
        <f t="shared" si="12"/>
        <v>79.400000000000006</v>
      </c>
      <c r="L219">
        <f t="shared" si="13"/>
        <v>92.87</v>
      </c>
      <c r="M219">
        <f t="shared" si="14"/>
        <v>-13.469999999999999</v>
      </c>
      <c r="N219">
        <v>7.35</v>
      </c>
      <c r="O219">
        <v>85.11</v>
      </c>
      <c r="P219">
        <v>43</v>
      </c>
      <c r="Q219">
        <v>19.600000000000001</v>
      </c>
      <c r="R219">
        <v>11.23</v>
      </c>
      <c r="S219">
        <v>12.41</v>
      </c>
      <c r="T219">
        <v>6.37</v>
      </c>
      <c r="U219">
        <v>6.03</v>
      </c>
      <c r="V219">
        <v>3497.33</v>
      </c>
      <c r="W219">
        <v>1036.47</v>
      </c>
      <c r="X219">
        <v>1192.4100000000001</v>
      </c>
      <c r="Y219">
        <v>732.53</v>
      </c>
      <c r="Z219">
        <v>5.13</v>
      </c>
      <c r="AA219">
        <v>1.53</v>
      </c>
      <c r="AB219">
        <v>4.54</v>
      </c>
      <c r="AC219">
        <v>63.81</v>
      </c>
      <c r="AD219">
        <v>490</v>
      </c>
      <c r="AE219">
        <v>4700</v>
      </c>
      <c r="AF219">
        <v>80.77</v>
      </c>
      <c r="AG219">
        <v>0.47</v>
      </c>
      <c r="AH219">
        <v>16.059999999999999</v>
      </c>
      <c r="AI219">
        <v>21.94</v>
      </c>
      <c r="AJ219">
        <v>60</v>
      </c>
      <c r="AK219">
        <v>9</v>
      </c>
      <c r="AL219">
        <v>9</v>
      </c>
      <c r="AM219">
        <v>1.03</v>
      </c>
      <c r="AN219">
        <v>294</v>
      </c>
      <c r="AO219">
        <v>303.29000000000002</v>
      </c>
      <c r="AP219">
        <v>373974.69</v>
      </c>
      <c r="AQ219">
        <v>289520.3</v>
      </c>
      <c r="AR219" t="s">
        <v>1126</v>
      </c>
      <c r="AT219" s="6">
        <f t="shared" si="15"/>
        <v>4.8204560502283114</v>
      </c>
    </row>
    <row r="220" spans="1:46" x14ac:dyDescent="0.55000000000000004">
      <c r="A220">
        <v>18.71</v>
      </c>
      <c r="B220">
        <v>29.96</v>
      </c>
      <c r="C220">
        <v>5466.61</v>
      </c>
      <c r="D220">
        <v>7.61</v>
      </c>
      <c r="E220" t="s">
        <v>255</v>
      </c>
      <c r="F220" t="s">
        <v>499</v>
      </c>
      <c r="G220" t="s">
        <v>667</v>
      </c>
      <c r="H220" t="s">
        <v>884</v>
      </c>
      <c r="I220">
        <v>0</v>
      </c>
      <c r="J220">
        <v>690.01</v>
      </c>
      <c r="K220">
        <f t="shared" si="12"/>
        <v>58.739999999999995</v>
      </c>
      <c r="L220">
        <f t="shared" si="13"/>
        <v>68.06</v>
      </c>
      <c r="M220">
        <f t="shared" si="14"/>
        <v>-9.3200000000000074</v>
      </c>
      <c r="N220">
        <v>7.2</v>
      </c>
      <c r="O220">
        <v>85.34</v>
      </c>
      <c r="P220">
        <v>48</v>
      </c>
      <c r="Q220">
        <v>19.100000000000001</v>
      </c>
      <c r="R220">
        <v>11.25</v>
      </c>
      <c r="S220">
        <v>12.66</v>
      </c>
      <c r="T220">
        <v>6.05</v>
      </c>
      <c r="U220">
        <v>7.92</v>
      </c>
      <c r="V220">
        <v>3498.63</v>
      </c>
      <c r="W220">
        <v>1044.8800000000001</v>
      </c>
      <c r="X220">
        <v>1282.1600000000001</v>
      </c>
      <c r="Y220">
        <v>754.83</v>
      </c>
      <c r="Z220">
        <v>5.18</v>
      </c>
      <c r="AA220">
        <v>1.57</v>
      </c>
      <c r="AB220">
        <v>4.47</v>
      </c>
      <c r="AC220">
        <v>65.03</v>
      </c>
      <c r="AD220">
        <v>490</v>
      </c>
      <c r="AE220">
        <v>4700</v>
      </c>
      <c r="AF220">
        <v>80.900000000000006</v>
      </c>
      <c r="AG220">
        <v>0.47</v>
      </c>
      <c r="AH220">
        <v>11.69</v>
      </c>
      <c r="AI220">
        <v>29.94</v>
      </c>
      <c r="AJ220">
        <v>60</v>
      </c>
      <c r="AK220">
        <v>9</v>
      </c>
      <c r="AL220">
        <v>9</v>
      </c>
      <c r="AM220">
        <v>0.76</v>
      </c>
      <c r="AN220">
        <v>294</v>
      </c>
      <c r="AO220">
        <v>300.81</v>
      </c>
      <c r="AP220">
        <v>355426.27</v>
      </c>
      <c r="AQ220">
        <v>182833.41</v>
      </c>
      <c r="AR220" t="s">
        <v>1127</v>
      </c>
      <c r="AT220" s="6">
        <f t="shared" si="15"/>
        <v>9.851190639269408</v>
      </c>
    </row>
    <row r="221" spans="1:46" x14ac:dyDescent="0.55000000000000004">
      <c r="A221">
        <v>18.760000000000002</v>
      </c>
      <c r="B221">
        <v>30.04</v>
      </c>
      <c r="C221">
        <v>5460.22</v>
      </c>
      <c r="D221">
        <v>7.6</v>
      </c>
      <c r="E221" t="s">
        <v>256</v>
      </c>
      <c r="F221" t="s">
        <v>500</v>
      </c>
      <c r="G221" t="s">
        <v>601</v>
      </c>
      <c r="H221" t="s">
        <v>885</v>
      </c>
      <c r="I221">
        <v>0</v>
      </c>
      <c r="J221">
        <v>766.7</v>
      </c>
      <c r="K221">
        <f t="shared" si="12"/>
        <v>65.510000000000005</v>
      </c>
      <c r="L221">
        <f t="shared" si="13"/>
        <v>73.8</v>
      </c>
      <c r="M221">
        <f t="shared" si="14"/>
        <v>-8.289999999999992</v>
      </c>
      <c r="N221">
        <v>7.26</v>
      </c>
      <c r="O221">
        <v>85.23</v>
      </c>
      <c r="P221">
        <v>49</v>
      </c>
      <c r="Q221">
        <v>19.2</v>
      </c>
      <c r="R221">
        <v>11.28</v>
      </c>
      <c r="S221">
        <v>12.88</v>
      </c>
      <c r="T221">
        <v>5.88</v>
      </c>
      <c r="U221">
        <v>7.12</v>
      </c>
      <c r="V221">
        <v>3494.54</v>
      </c>
      <c r="W221">
        <v>1040.6600000000001</v>
      </c>
      <c r="X221">
        <v>1245.8699999999999</v>
      </c>
      <c r="Y221">
        <v>745.56</v>
      </c>
      <c r="Z221">
        <v>5.77</v>
      </c>
      <c r="AA221">
        <v>1.55</v>
      </c>
      <c r="AB221">
        <v>4.5</v>
      </c>
      <c r="AC221">
        <v>65.72</v>
      </c>
      <c r="AD221">
        <v>490</v>
      </c>
      <c r="AE221">
        <v>4700</v>
      </c>
      <c r="AF221">
        <v>81.12</v>
      </c>
      <c r="AG221">
        <v>0.47</v>
      </c>
      <c r="AH221">
        <v>13.25</v>
      </c>
      <c r="AI221">
        <v>29.91</v>
      </c>
      <c r="AJ221">
        <v>60</v>
      </c>
      <c r="AK221">
        <v>9</v>
      </c>
      <c r="AL221">
        <v>9</v>
      </c>
      <c r="AM221">
        <v>0.76</v>
      </c>
      <c r="AN221">
        <v>294</v>
      </c>
      <c r="AO221">
        <v>300.81</v>
      </c>
      <c r="AP221">
        <v>373779.26</v>
      </c>
      <c r="AQ221">
        <v>249550.49</v>
      </c>
      <c r="AR221" t="s">
        <v>1128</v>
      </c>
      <c r="AT221" s="6">
        <f t="shared" si="15"/>
        <v>7.0906832191780831</v>
      </c>
    </row>
    <row r="222" spans="1:46" x14ac:dyDescent="0.55000000000000004">
      <c r="A222">
        <v>19.97</v>
      </c>
      <c r="B222">
        <v>30.99</v>
      </c>
      <c r="C222">
        <v>5504.83</v>
      </c>
      <c r="D222">
        <v>7.58</v>
      </c>
      <c r="E222" t="s">
        <v>257</v>
      </c>
      <c r="F222" t="s">
        <v>501</v>
      </c>
      <c r="G222" t="s">
        <v>668</v>
      </c>
      <c r="H222" t="s">
        <v>886</v>
      </c>
      <c r="I222">
        <v>0</v>
      </c>
      <c r="J222">
        <v>970.48</v>
      </c>
      <c r="K222">
        <f t="shared" si="12"/>
        <v>89.45</v>
      </c>
      <c r="L222">
        <f t="shared" si="13"/>
        <v>97.37</v>
      </c>
      <c r="M222">
        <f t="shared" si="14"/>
        <v>-7.9200000000000017</v>
      </c>
      <c r="N222">
        <v>7.4</v>
      </c>
      <c r="O222">
        <v>84.31</v>
      </c>
      <c r="P222">
        <v>39</v>
      </c>
      <c r="Q222">
        <v>22.5</v>
      </c>
      <c r="R222">
        <v>11.02</v>
      </c>
      <c r="S222">
        <v>14.19</v>
      </c>
      <c r="T222">
        <v>5.77</v>
      </c>
      <c r="U222">
        <v>5.67</v>
      </c>
      <c r="V222">
        <v>3523.09</v>
      </c>
      <c r="W222">
        <v>1042.72</v>
      </c>
      <c r="X222">
        <v>1184.57</v>
      </c>
      <c r="Y222">
        <v>734</v>
      </c>
      <c r="Z222">
        <v>5.51</v>
      </c>
      <c r="AA222">
        <v>1.53</v>
      </c>
      <c r="AB222">
        <v>4.5199999999999996</v>
      </c>
      <c r="AC222">
        <v>65.64</v>
      </c>
      <c r="AD222">
        <v>490</v>
      </c>
      <c r="AE222">
        <v>4700</v>
      </c>
      <c r="AF222">
        <v>79.260000000000005</v>
      </c>
      <c r="AG222">
        <v>0.47</v>
      </c>
      <c r="AH222">
        <v>16.96</v>
      </c>
      <c r="AI222">
        <v>20.92</v>
      </c>
      <c r="AJ222">
        <v>60</v>
      </c>
      <c r="AK222">
        <v>9</v>
      </c>
      <c r="AL222">
        <v>9</v>
      </c>
      <c r="AM222">
        <v>1.08</v>
      </c>
      <c r="AN222">
        <v>294</v>
      </c>
      <c r="AO222">
        <v>303.74</v>
      </c>
      <c r="AP222">
        <v>447410.14</v>
      </c>
      <c r="AQ222">
        <v>304021.68</v>
      </c>
      <c r="AR222" t="s">
        <v>1129</v>
      </c>
      <c r="AT222" s="6">
        <f t="shared" si="15"/>
        <v>8.1842728310502295</v>
      </c>
    </row>
    <row r="223" spans="1:46" x14ac:dyDescent="0.55000000000000004">
      <c r="A223">
        <v>20.149999999999999</v>
      </c>
      <c r="B223">
        <v>31.45</v>
      </c>
      <c r="C223">
        <v>5460.72</v>
      </c>
      <c r="D223">
        <v>7.6</v>
      </c>
      <c r="E223" t="s">
        <v>258</v>
      </c>
      <c r="F223" t="s">
        <v>502</v>
      </c>
      <c r="G223" t="s">
        <v>602</v>
      </c>
      <c r="H223" t="s">
        <v>887</v>
      </c>
      <c r="I223">
        <v>0</v>
      </c>
      <c r="J223">
        <v>831.59</v>
      </c>
      <c r="K223">
        <f t="shared" si="12"/>
        <v>72.150000000000006</v>
      </c>
      <c r="L223">
        <f t="shared" si="13"/>
        <v>82.41</v>
      </c>
      <c r="M223">
        <f t="shared" si="14"/>
        <v>-10.259999999999991</v>
      </c>
      <c r="N223">
        <v>7.31</v>
      </c>
      <c r="O223">
        <v>84.94</v>
      </c>
      <c r="P223">
        <v>34</v>
      </c>
      <c r="Q223">
        <v>25</v>
      </c>
      <c r="R223">
        <v>11.3</v>
      </c>
      <c r="S223">
        <v>15.34</v>
      </c>
      <c r="T223">
        <v>4.8099999999999996</v>
      </c>
      <c r="U223">
        <v>6.57</v>
      </c>
      <c r="V223">
        <v>3494.86</v>
      </c>
      <c r="W223">
        <v>1038.77</v>
      </c>
      <c r="X223">
        <v>1222.46</v>
      </c>
      <c r="Y223">
        <v>740.02</v>
      </c>
      <c r="Z223">
        <v>5.25</v>
      </c>
      <c r="AA223">
        <v>1.57</v>
      </c>
      <c r="AB223">
        <v>4.47</v>
      </c>
      <c r="AC223">
        <v>70.150000000000006</v>
      </c>
      <c r="AD223">
        <v>490</v>
      </c>
      <c r="AE223">
        <v>4700</v>
      </c>
      <c r="AF223">
        <v>81.28</v>
      </c>
      <c r="AG223">
        <v>0.47</v>
      </c>
      <c r="AH223">
        <v>14.6</v>
      </c>
      <c r="AI223">
        <v>24.72</v>
      </c>
      <c r="AJ223">
        <v>60</v>
      </c>
      <c r="AK223">
        <v>9</v>
      </c>
      <c r="AL223">
        <v>9</v>
      </c>
      <c r="AM223">
        <v>0.92</v>
      </c>
      <c r="AN223">
        <v>294</v>
      </c>
      <c r="AO223">
        <v>302.24</v>
      </c>
      <c r="AP223">
        <v>383748.98</v>
      </c>
      <c r="AQ223">
        <v>237323.23</v>
      </c>
      <c r="AR223" t="s">
        <v>1130</v>
      </c>
      <c r="AT223" s="6">
        <f t="shared" si="15"/>
        <v>8.35763413242009</v>
      </c>
    </row>
    <row r="224" spans="1:46" x14ac:dyDescent="0.55000000000000004">
      <c r="A224">
        <v>19.61</v>
      </c>
      <c r="B224">
        <v>31.26</v>
      </c>
      <c r="C224">
        <v>5450.09</v>
      </c>
      <c r="D224">
        <v>7.62</v>
      </c>
      <c r="E224" t="s">
        <v>259</v>
      </c>
      <c r="F224" t="s">
        <v>503</v>
      </c>
      <c r="G224" t="s">
        <v>643</v>
      </c>
      <c r="H224" t="s">
        <v>888</v>
      </c>
      <c r="I224">
        <v>0</v>
      </c>
      <c r="J224">
        <v>788.85</v>
      </c>
      <c r="K224">
        <f t="shared" si="12"/>
        <v>67.290000000000006</v>
      </c>
      <c r="L224">
        <f t="shared" si="13"/>
        <v>74.510000000000005</v>
      </c>
      <c r="M224">
        <f t="shared" si="14"/>
        <v>-7.2199999999999989</v>
      </c>
      <c r="N224">
        <v>7.27</v>
      </c>
      <c r="O224">
        <v>85.16</v>
      </c>
      <c r="P224">
        <v>35</v>
      </c>
      <c r="Q224">
        <v>24.4</v>
      </c>
      <c r="R224">
        <v>11.64</v>
      </c>
      <c r="S224">
        <v>15.05</v>
      </c>
      <c r="T224">
        <v>4.57</v>
      </c>
      <c r="U224">
        <v>6.91</v>
      </c>
      <c r="V224">
        <v>3488.06</v>
      </c>
      <c r="W224">
        <v>1037.95</v>
      </c>
      <c r="X224">
        <v>1234.6600000000001</v>
      </c>
      <c r="Y224">
        <v>742.02</v>
      </c>
      <c r="Z224">
        <v>5.42</v>
      </c>
      <c r="AA224">
        <v>1.58</v>
      </c>
      <c r="AB224">
        <v>4.46</v>
      </c>
      <c r="AC224">
        <v>71.83</v>
      </c>
      <c r="AD224">
        <v>490</v>
      </c>
      <c r="AE224">
        <v>4700</v>
      </c>
      <c r="AF224">
        <v>83.73</v>
      </c>
      <c r="AG224">
        <v>0.47</v>
      </c>
      <c r="AH224">
        <v>14.17</v>
      </c>
      <c r="AI224">
        <v>27.35</v>
      </c>
      <c r="AJ224">
        <v>60</v>
      </c>
      <c r="AK224">
        <v>9</v>
      </c>
      <c r="AL224">
        <v>9</v>
      </c>
      <c r="AM224">
        <v>0.83</v>
      </c>
      <c r="AN224">
        <v>294</v>
      </c>
      <c r="AO224">
        <v>301.45</v>
      </c>
      <c r="AP224">
        <v>395912.29</v>
      </c>
      <c r="AQ224">
        <v>206612.33</v>
      </c>
      <c r="AR224" t="s">
        <v>1131</v>
      </c>
      <c r="AT224" s="6">
        <f t="shared" si="15"/>
        <v>10.804792237442921</v>
      </c>
    </row>
    <row r="225" spans="1:46" x14ac:dyDescent="0.55000000000000004">
      <c r="A225">
        <v>19.7</v>
      </c>
      <c r="B225">
        <v>30.68</v>
      </c>
      <c r="C225">
        <v>5525.75</v>
      </c>
      <c r="D225">
        <v>7.6</v>
      </c>
      <c r="E225" t="s">
        <v>260</v>
      </c>
      <c r="F225" t="s">
        <v>504</v>
      </c>
      <c r="G225" t="s">
        <v>669</v>
      </c>
      <c r="H225" t="s">
        <v>889</v>
      </c>
      <c r="I225">
        <v>0</v>
      </c>
      <c r="J225">
        <v>721.93</v>
      </c>
      <c r="K225">
        <f t="shared" si="12"/>
        <v>61.959999999999994</v>
      </c>
      <c r="L225">
        <f t="shared" si="13"/>
        <v>64.37</v>
      </c>
      <c r="M225">
        <f t="shared" si="14"/>
        <v>-2.4100000000000108</v>
      </c>
      <c r="N225">
        <v>7.23</v>
      </c>
      <c r="O225">
        <v>84.31</v>
      </c>
      <c r="P225">
        <v>39</v>
      </c>
      <c r="Q225">
        <v>22</v>
      </c>
      <c r="R225">
        <v>10.99</v>
      </c>
      <c r="S225">
        <v>13.79</v>
      </c>
      <c r="T225">
        <v>5.91</v>
      </c>
      <c r="U225">
        <v>7.65</v>
      </c>
      <c r="V225">
        <v>3536.48</v>
      </c>
      <c r="W225">
        <v>1055.6300000000001</v>
      </c>
      <c r="X225">
        <v>1286.2</v>
      </c>
      <c r="Y225">
        <v>761.08</v>
      </c>
      <c r="Z225">
        <v>6.26</v>
      </c>
      <c r="AA225">
        <v>1.59</v>
      </c>
      <c r="AB225">
        <v>4.43</v>
      </c>
      <c r="AC225">
        <v>65.03</v>
      </c>
      <c r="AD225">
        <v>490</v>
      </c>
      <c r="AE225">
        <v>4700</v>
      </c>
      <c r="AF225">
        <v>79</v>
      </c>
      <c r="AG225">
        <v>0.47</v>
      </c>
      <c r="AH225">
        <v>11.87</v>
      </c>
      <c r="AI225">
        <v>34.29</v>
      </c>
      <c r="AJ225">
        <v>60</v>
      </c>
      <c r="AK225">
        <v>9</v>
      </c>
      <c r="AL225">
        <v>9</v>
      </c>
      <c r="AM225">
        <v>0.66</v>
      </c>
      <c r="AN225">
        <v>294</v>
      </c>
      <c r="AO225">
        <v>299.94</v>
      </c>
      <c r="AP225">
        <v>413951.5</v>
      </c>
      <c r="AQ225">
        <v>199725.33</v>
      </c>
      <c r="AR225" t="s">
        <v>1132</v>
      </c>
      <c r="AT225" s="6">
        <f t="shared" si="15"/>
        <v>12.227521118721462</v>
      </c>
    </row>
    <row r="226" spans="1:46" x14ac:dyDescent="0.55000000000000004">
      <c r="A226">
        <v>20.92</v>
      </c>
      <c r="B226">
        <v>31.88</v>
      </c>
      <c r="C226">
        <v>5506.8</v>
      </c>
      <c r="D226">
        <v>7.62</v>
      </c>
      <c r="E226" t="s">
        <v>261</v>
      </c>
      <c r="F226" t="s">
        <v>505</v>
      </c>
      <c r="G226" t="s">
        <v>584</v>
      </c>
      <c r="H226" t="s">
        <v>890</v>
      </c>
      <c r="I226">
        <v>0</v>
      </c>
      <c r="J226">
        <v>727.36</v>
      </c>
      <c r="K226">
        <f t="shared" si="12"/>
        <v>62.81</v>
      </c>
      <c r="L226">
        <f t="shared" si="13"/>
        <v>72.789999999999992</v>
      </c>
      <c r="M226">
        <f t="shared" si="14"/>
        <v>-9.9799999999999898</v>
      </c>
      <c r="N226">
        <v>7.24</v>
      </c>
      <c r="O226">
        <v>85.15</v>
      </c>
      <c r="P226">
        <v>49</v>
      </c>
      <c r="Q226">
        <v>24.5</v>
      </c>
      <c r="R226">
        <v>10.96</v>
      </c>
      <c r="S226">
        <v>17.41</v>
      </c>
      <c r="T226">
        <v>3.5</v>
      </c>
      <c r="U226">
        <v>7.57</v>
      </c>
      <c r="V226">
        <v>3524.35</v>
      </c>
      <c r="W226">
        <v>1051.8499999999999</v>
      </c>
      <c r="X226">
        <v>1279.67</v>
      </c>
      <c r="Y226">
        <v>757.99</v>
      </c>
      <c r="Z226">
        <v>5.18</v>
      </c>
      <c r="AA226">
        <v>1.63</v>
      </c>
      <c r="AB226">
        <v>4.37</v>
      </c>
      <c r="AC226">
        <v>75.78</v>
      </c>
      <c r="AD226">
        <v>490</v>
      </c>
      <c r="AE226">
        <v>4700</v>
      </c>
      <c r="AF226">
        <v>78.84</v>
      </c>
      <c r="AG226">
        <v>0.47</v>
      </c>
      <c r="AH226">
        <v>12</v>
      </c>
      <c r="AI226">
        <v>27.99</v>
      </c>
      <c r="AJ226">
        <v>60</v>
      </c>
      <c r="AK226">
        <v>9</v>
      </c>
      <c r="AL226">
        <v>9</v>
      </c>
      <c r="AM226">
        <v>0.81</v>
      </c>
      <c r="AN226">
        <v>294</v>
      </c>
      <c r="AO226">
        <v>301.27999999999997</v>
      </c>
      <c r="AP226">
        <v>361953.86</v>
      </c>
      <c r="AQ226">
        <v>195660.04</v>
      </c>
      <c r="AR226" t="s">
        <v>1133</v>
      </c>
      <c r="AT226" s="6">
        <f t="shared" si="15"/>
        <v>9.4916563926940629</v>
      </c>
    </row>
    <row r="227" spans="1:46" x14ac:dyDescent="0.55000000000000004">
      <c r="A227">
        <v>18.78</v>
      </c>
      <c r="B227">
        <v>29.58</v>
      </c>
      <c r="C227">
        <v>5508.43</v>
      </c>
      <c r="D227">
        <v>7.61</v>
      </c>
      <c r="E227" t="s">
        <v>262</v>
      </c>
      <c r="F227" t="s">
        <v>506</v>
      </c>
      <c r="G227" t="s">
        <v>670</v>
      </c>
      <c r="H227" t="s">
        <v>891</v>
      </c>
      <c r="I227">
        <v>0</v>
      </c>
      <c r="J227">
        <v>937.92</v>
      </c>
      <c r="K227">
        <f t="shared" si="12"/>
        <v>77.060000000000016</v>
      </c>
      <c r="L227">
        <f t="shared" si="13"/>
        <v>83.81</v>
      </c>
      <c r="M227">
        <f t="shared" si="14"/>
        <v>-6.7499999999999858</v>
      </c>
      <c r="N227">
        <v>7.33</v>
      </c>
      <c r="O227">
        <v>84.78</v>
      </c>
      <c r="P227">
        <v>45</v>
      </c>
      <c r="Q227">
        <v>19</v>
      </c>
      <c r="R227">
        <v>10.81</v>
      </c>
      <c r="S227">
        <v>12.18</v>
      </c>
      <c r="T227">
        <v>6.59</v>
      </c>
      <c r="U227">
        <v>5.87</v>
      </c>
      <c r="V227">
        <v>3525.4</v>
      </c>
      <c r="W227">
        <v>1040.3699999999999</v>
      </c>
      <c r="X227">
        <v>1166.49</v>
      </c>
      <c r="Y227">
        <v>727.75</v>
      </c>
      <c r="Z227">
        <v>5.52</v>
      </c>
      <c r="AA227">
        <v>1.53</v>
      </c>
      <c r="AB227">
        <v>4.55</v>
      </c>
      <c r="AC227">
        <v>62.11</v>
      </c>
      <c r="AD227">
        <v>490</v>
      </c>
      <c r="AE227">
        <v>4700</v>
      </c>
      <c r="AF227">
        <v>77.709999999999994</v>
      </c>
      <c r="AG227">
        <v>0.47</v>
      </c>
      <c r="AH227">
        <v>15.95</v>
      </c>
      <c r="AI227">
        <v>24.31</v>
      </c>
      <c r="AJ227">
        <v>60</v>
      </c>
      <c r="AK227">
        <v>9</v>
      </c>
      <c r="AL227">
        <v>9</v>
      </c>
      <c r="AM227">
        <v>0.93</v>
      </c>
      <c r="AN227">
        <v>294</v>
      </c>
      <c r="AO227">
        <v>302.38</v>
      </c>
      <c r="AP227">
        <v>425726.55</v>
      </c>
      <c r="AQ227">
        <v>287274.81</v>
      </c>
      <c r="AR227" t="s">
        <v>1134</v>
      </c>
      <c r="AT227" s="6">
        <f t="shared" si="15"/>
        <v>7.9024965753424654</v>
      </c>
    </row>
    <row r="228" spans="1:46" x14ac:dyDescent="0.55000000000000004">
      <c r="A228">
        <v>19.95</v>
      </c>
      <c r="B228">
        <v>31.57</v>
      </c>
      <c r="C228">
        <v>5446.13</v>
      </c>
      <c r="D228">
        <v>7.61</v>
      </c>
      <c r="E228" t="s">
        <v>263</v>
      </c>
      <c r="F228" t="s">
        <v>507</v>
      </c>
      <c r="G228" t="s">
        <v>608</v>
      </c>
      <c r="H228" t="s">
        <v>892</v>
      </c>
      <c r="I228">
        <v>0</v>
      </c>
      <c r="J228">
        <v>816.26</v>
      </c>
      <c r="K228">
        <f t="shared" si="12"/>
        <v>69.77</v>
      </c>
      <c r="L228">
        <f t="shared" si="13"/>
        <v>79.95</v>
      </c>
      <c r="M228">
        <f t="shared" si="14"/>
        <v>-10.180000000000007</v>
      </c>
      <c r="N228">
        <v>7.29</v>
      </c>
      <c r="O228">
        <v>84.95</v>
      </c>
      <c r="P228">
        <v>32</v>
      </c>
      <c r="Q228">
        <v>25.3</v>
      </c>
      <c r="R228">
        <v>11.62</v>
      </c>
      <c r="S228">
        <v>15.2</v>
      </c>
      <c r="T228">
        <v>4.75</v>
      </c>
      <c r="U228">
        <v>6.67</v>
      </c>
      <c r="V228">
        <v>3485.52</v>
      </c>
      <c r="W228">
        <v>1036.01</v>
      </c>
      <c r="X228">
        <v>1221.3</v>
      </c>
      <c r="Y228">
        <v>738.29</v>
      </c>
      <c r="Z228">
        <v>5.67</v>
      </c>
      <c r="AA228">
        <v>1.57</v>
      </c>
      <c r="AB228">
        <v>4.47</v>
      </c>
      <c r="AC228">
        <v>70.98</v>
      </c>
      <c r="AD228">
        <v>490</v>
      </c>
      <c r="AE228">
        <v>4700</v>
      </c>
      <c r="AF228">
        <v>83.53</v>
      </c>
      <c r="AG228">
        <v>0.47</v>
      </c>
      <c r="AH228">
        <v>14.73</v>
      </c>
      <c r="AI228">
        <v>27.61</v>
      </c>
      <c r="AJ228">
        <v>60</v>
      </c>
      <c r="AK228">
        <v>9</v>
      </c>
      <c r="AL228">
        <v>9</v>
      </c>
      <c r="AM228">
        <v>0.82</v>
      </c>
      <c r="AN228">
        <v>294</v>
      </c>
      <c r="AO228">
        <v>301.38</v>
      </c>
      <c r="AP228">
        <v>367306.11</v>
      </c>
      <c r="AQ228">
        <v>280983.28000000003</v>
      </c>
      <c r="AR228" t="s">
        <v>1135</v>
      </c>
      <c r="AT228" s="6">
        <f t="shared" si="15"/>
        <v>4.9271021689497694</v>
      </c>
    </row>
    <row r="229" spans="1:46" x14ac:dyDescent="0.55000000000000004">
      <c r="A229">
        <v>19.239999999999998</v>
      </c>
      <c r="B229">
        <v>29.9</v>
      </c>
      <c r="C229">
        <v>5491.9</v>
      </c>
      <c r="D229">
        <v>7.59</v>
      </c>
      <c r="E229" t="s">
        <v>264</v>
      </c>
      <c r="F229" t="s">
        <v>508</v>
      </c>
      <c r="G229" t="s">
        <v>671</v>
      </c>
      <c r="H229" t="s">
        <v>893</v>
      </c>
      <c r="I229">
        <v>0</v>
      </c>
      <c r="J229">
        <v>773.31</v>
      </c>
      <c r="K229">
        <f t="shared" si="12"/>
        <v>64.28</v>
      </c>
      <c r="L229">
        <f t="shared" si="13"/>
        <v>69.27000000000001</v>
      </c>
      <c r="M229">
        <f t="shared" si="14"/>
        <v>-4.9900000000000091</v>
      </c>
      <c r="N229">
        <v>7.25</v>
      </c>
      <c r="O229">
        <v>85.64</v>
      </c>
      <c r="P229">
        <v>41</v>
      </c>
      <c r="Q229">
        <v>21</v>
      </c>
      <c r="R229">
        <v>10.66</v>
      </c>
      <c r="S229">
        <v>13.28</v>
      </c>
      <c r="T229">
        <v>5.96</v>
      </c>
      <c r="U229">
        <v>7.1</v>
      </c>
      <c r="V229">
        <v>3514.82</v>
      </c>
      <c r="W229">
        <v>1044.82</v>
      </c>
      <c r="X229">
        <v>1238.44</v>
      </c>
      <c r="Y229">
        <v>745.4</v>
      </c>
      <c r="Z229">
        <v>5.57</v>
      </c>
      <c r="AA229">
        <v>1.55</v>
      </c>
      <c r="AB229">
        <v>4.49</v>
      </c>
      <c r="AC229">
        <v>64.13</v>
      </c>
      <c r="AD229">
        <v>490</v>
      </c>
      <c r="AE229">
        <v>4700</v>
      </c>
      <c r="AF229">
        <v>76.66</v>
      </c>
      <c r="AG229">
        <v>0.47</v>
      </c>
      <c r="AH229">
        <v>12.56</v>
      </c>
      <c r="AI229">
        <v>29.41</v>
      </c>
      <c r="AJ229">
        <v>60</v>
      </c>
      <c r="AK229">
        <v>9</v>
      </c>
      <c r="AL229">
        <v>9</v>
      </c>
      <c r="AM229">
        <v>0.77</v>
      </c>
      <c r="AN229">
        <v>294</v>
      </c>
      <c r="AO229">
        <v>300.93</v>
      </c>
      <c r="AP229">
        <v>407773.2</v>
      </c>
      <c r="AQ229">
        <v>196200.46</v>
      </c>
      <c r="AR229" t="s">
        <v>1136</v>
      </c>
      <c r="AT229" s="6">
        <f t="shared" si="15"/>
        <v>12.076069634703197</v>
      </c>
    </row>
    <row r="230" spans="1:46" x14ac:dyDescent="0.55000000000000004">
      <c r="A230">
        <v>18.760000000000002</v>
      </c>
      <c r="B230">
        <v>29.94</v>
      </c>
      <c r="C230">
        <v>5522.03</v>
      </c>
      <c r="D230">
        <v>7.59</v>
      </c>
      <c r="E230" t="s">
        <v>265</v>
      </c>
      <c r="F230" t="s">
        <v>509</v>
      </c>
      <c r="G230" t="s">
        <v>585</v>
      </c>
      <c r="H230" t="s">
        <v>894</v>
      </c>
      <c r="I230">
        <v>0</v>
      </c>
      <c r="J230">
        <v>831.56</v>
      </c>
      <c r="K230">
        <f t="shared" si="12"/>
        <v>72</v>
      </c>
      <c r="L230">
        <f t="shared" si="13"/>
        <v>78.499999999999986</v>
      </c>
      <c r="M230">
        <f t="shared" si="14"/>
        <v>-6.4999999999999858</v>
      </c>
      <c r="N230">
        <v>7.31</v>
      </c>
      <c r="O230">
        <v>84.82</v>
      </c>
      <c r="P230">
        <v>46</v>
      </c>
      <c r="Q230">
        <v>18.3</v>
      </c>
      <c r="R230">
        <v>11.19</v>
      </c>
      <c r="S230">
        <v>11.73</v>
      </c>
      <c r="T230">
        <v>7.03</v>
      </c>
      <c r="U230">
        <v>6.64</v>
      </c>
      <c r="V230">
        <v>3534.1</v>
      </c>
      <c r="W230">
        <v>1050.56</v>
      </c>
      <c r="X230">
        <v>1237.1300000000001</v>
      </c>
      <c r="Y230">
        <v>748.63</v>
      </c>
      <c r="Z230">
        <v>5.5</v>
      </c>
      <c r="AA230">
        <v>1.54</v>
      </c>
      <c r="AB230">
        <v>4.51</v>
      </c>
      <c r="AC230">
        <v>61.41</v>
      </c>
      <c r="AD230">
        <v>490</v>
      </c>
      <c r="AE230">
        <v>4700</v>
      </c>
      <c r="AF230">
        <v>80.45</v>
      </c>
      <c r="AG230">
        <v>0.47</v>
      </c>
      <c r="AH230">
        <v>14.26</v>
      </c>
      <c r="AI230">
        <v>25.95</v>
      </c>
      <c r="AJ230">
        <v>60</v>
      </c>
      <c r="AK230">
        <v>9</v>
      </c>
      <c r="AL230">
        <v>9</v>
      </c>
      <c r="AM230">
        <v>0.87</v>
      </c>
      <c r="AN230">
        <v>294</v>
      </c>
      <c r="AO230">
        <v>301.85000000000002</v>
      </c>
      <c r="AP230">
        <v>413941.03</v>
      </c>
      <c r="AQ230">
        <v>219542.34</v>
      </c>
      <c r="AR230" t="s">
        <v>1137</v>
      </c>
      <c r="AT230" s="6">
        <f t="shared" si="15"/>
        <v>11.095815639269409</v>
      </c>
    </row>
    <row r="231" spans="1:46" x14ac:dyDescent="0.55000000000000004">
      <c r="A231">
        <v>21.23</v>
      </c>
      <c r="B231">
        <v>32.19</v>
      </c>
      <c r="C231">
        <v>5516.62</v>
      </c>
      <c r="D231">
        <v>7.6</v>
      </c>
      <c r="E231" t="s">
        <v>266</v>
      </c>
      <c r="F231" t="s">
        <v>510</v>
      </c>
      <c r="G231" t="s">
        <v>649</v>
      </c>
      <c r="H231" t="s">
        <v>895</v>
      </c>
      <c r="I231">
        <v>0</v>
      </c>
      <c r="J231">
        <v>781.2</v>
      </c>
      <c r="K231">
        <f t="shared" si="12"/>
        <v>65.900000000000006</v>
      </c>
      <c r="L231">
        <f t="shared" si="13"/>
        <v>75.94</v>
      </c>
      <c r="M231">
        <f t="shared" si="14"/>
        <v>-10.039999999999992</v>
      </c>
      <c r="N231">
        <v>7.27</v>
      </c>
      <c r="O231">
        <v>84.75</v>
      </c>
      <c r="P231">
        <v>52</v>
      </c>
      <c r="Q231">
        <v>24.1</v>
      </c>
      <c r="R231">
        <v>10.96</v>
      </c>
      <c r="S231">
        <v>17.52</v>
      </c>
      <c r="T231">
        <v>3.7</v>
      </c>
      <c r="U231">
        <v>7.06</v>
      </c>
      <c r="V231">
        <v>3530.64</v>
      </c>
      <c r="W231">
        <v>1050.6300000000001</v>
      </c>
      <c r="X231">
        <v>1250.8900000000001</v>
      </c>
      <c r="Y231">
        <v>751.21</v>
      </c>
      <c r="Z231">
        <v>5.21</v>
      </c>
      <c r="AA231">
        <v>1.6</v>
      </c>
      <c r="AB231">
        <v>4.4000000000000004</v>
      </c>
      <c r="AC231">
        <v>74.75</v>
      </c>
      <c r="AD231">
        <v>490</v>
      </c>
      <c r="AE231">
        <v>4700</v>
      </c>
      <c r="AF231">
        <v>78.83</v>
      </c>
      <c r="AG231">
        <v>0.47</v>
      </c>
      <c r="AH231">
        <v>13</v>
      </c>
      <c r="AI231">
        <v>26.83</v>
      </c>
      <c r="AJ231">
        <v>60</v>
      </c>
      <c r="AK231">
        <v>9</v>
      </c>
      <c r="AL231">
        <v>9</v>
      </c>
      <c r="AM231">
        <v>0.84</v>
      </c>
      <c r="AN231">
        <v>294</v>
      </c>
      <c r="AO231">
        <v>301.58999999999997</v>
      </c>
      <c r="AP231">
        <v>366879.98</v>
      </c>
      <c r="AQ231">
        <v>215917.77</v>
      </c>
      <c r="AR231" t="s">
        <v>1138</v>
      </c>
      <c r="AT231" s="6">
        <f t="shared" si="15"/>
        <v>8.6165644977168938</v>
      </c>
    </row>
    <row r="232" spans="1:46" x14ac:dyDescent="0.55000000000000004">
      <c r="A232">
        <v>19.47</v>
      </c>
      <c r="B232">
        <v>30.32</v>
      </c>
      <c r="C232">
        <v>5514.02</v>
      </c>
      <c r="D232">
        <v>7.6</v>
      </c>
      <c r="E232" t="s">
        <v>267</v>
      </c>
      <c r="F232" t="s">
        <v>511</v>
      </c>
      <c r="G232" t="s">
        <v>672</v>
      </c>
      <c r="H232" t="s">
        <v>896</v>
      </c>
      <c r="I232">
        <v>0</v>
      </c>
      <c r="J232">
        <v>620.63</v>
      </c>
      <c r="K232">
        <f t="shared" si="12"/>
        <v>55.32</v>
      </c>
      <c r="L232">
        <f t="shared" si="13"/>
        <v>57.5</v>
      </c>
      <c r="M232">
        <f t="shared" si="14"/>
        <v>-2.1799999999999997</v>
      </c>
      <c r="N232">
        <v>7.16</v>
      </c>
      <c r="O232">
        <v>85.26</v>
      </c>
      <c r="P232">
        <v>40</v>
      </c>
      <c r="Q232">
        <v>21.5</v>
      </c>
      <c r="R232">
        <v>10.85</v>
      </c>
      <c r="S232">
        <v>13.54</v>
      </c>
      <c r="T232">
        <v>5.94</v>
      </c>
      <c r="U232">
        <v>8.8800000000000008</v>
      </c>
      <c r="V232">
        <v>3528.97</v>
      </c>
      <c r="W232">
        <v>1058.94</v>
      </c>
      <c r="X232">
        <v>1344.26</v>
      </c>
      <c r="Y232">
        <v>774.6</v>
      </c>
      <c r="Z232">
        <v>6.25</v>
      </c>
      <c r="AA232">
        <v>1.61</v>
      </c>
      <c r="AB232">
        <v>4.3899999999999997</v>
      </c>
      <c r="AC232">
        <v>64.63</v>
      </c>
      <c r="AD232">
        <v>490</v>
      </c>
      <c r="AE232">
        <v>4700</v>
      </c>
      <c r="AF232">
        <v>78</v>
      </c>
      <c r="AG232">
        <v>0.47</v>
      </c>
      <c r="AH232">
        <v>9.89</v>
      </c>
      <c r="AI232">
        <v>38.39</v>
      </c>
      <c r="AJ232">
        <v>60</v>
      </c>
      <c r="AK232">
        <v>9</v>
      </c>
      <c r="AL232">
        <v>9</v>
      </c>
      <c r="AM232">
        <v>0.59</v>
      </c>
      <c r="AN232">
        <v>294</v>
      </c>
      <c r="AO232">
        <v>299.31</v>
      </c>
      <c r="AP232">
        <v>401232.65</v>
      </c>
      <c r="AQ232">
        <v>165468.32999999999</v>
      </c>
      <c r="AR232" t="s">
        <v>1139</v>
      </c>
      <c r="AT232" s="6">
        <f t="shared" si="15"/>
        <v>13.456867579908678</v>
      </c>
    </row>
    <row r="233" spans="1:46" x14ac:dyDescent="0.55000000000000004">
      <c r="A233">
        <v>18.77</v>
      </c>
      <c r="B233">
        <v>29.34</v>
      </c>
      <c r="C233">
        <v>5485.63</v>
      </c>
      <c r="D233">
        <v>7.61</v>
      </c>
      <c r="E233" t="s">
        <v>268</v>
      </c>
      <c r="F233" t="s">
        <v>512</v>
      </c>
      <c r="G233" t="s">
        <v>673</v>
      </c>
      <c r="H233" t="s">
        <v>897</v>
      </c>
      <c r="I233">
        <v>0</v>
      </c>
      <c r="J233">
        <v>902.6</v>
      </c>
      <c r="K233">
        <f t="shared" si="12"/>
        <v>74.399999999999991</v>
      </c>
      <c r="L233">
        <f t="shared" si="13"/>
        <v>80.81</v>
      </c>
      <c r="M233">
        <f t="shared" si="14"/>
        <v>-6.4100000000000108</v>
      </c>
      <c r="N233">
        <v>7.32</v>
      </c>
      <c r="O233">
        <v>85.24</v>
      </c>
      <c r="P233">
        <v>42</v>
      </c>
      <c r="Q233">
        <v>20.100000000000001</v>
      </c>
      <c r="R233">
        <v>10.57</v>
      </c>
      <c r="S233">
        <v>12.68</v>
      </c>
      <c r="T233">
        <v>6.09</v>
      </c>
      <c r="U233">
        <v>6.08</v>
      </c>
      <c r="V233">
        <v>3510.8</v>
      </c>
      <c r="W233">
        <v>1037.73</v>
      </c>
      <c r="X233">
        <v>1177.57</v>
      </c>
      <c r="Y233">
        <v>729.04</v>
      </c>
      <c r="Z233">
        <v>5.52</v>
      </c>
      <c r="AA233">
        <v>1.53</v>
      </c>
      <c r="AB233">
        <v>4.54</v>
      </c>
      <c r="AC233">
        <v>63.45</v>
      </c>
      <c r="AD233">
        <v>490</v>
      </c>
      <c r="AE233">
        <v>4700</v>
      </c>
      <c r="AF233">
        <v>76</v>
      </c>
      <c r="AG233">
        <v>0.47</v>
      </c>
      <c r="AH233">
        <v>14.97</v>
      </c>
      <c r="AI233">
        <v>25.21</v>
      </c>
      <c r="AJ233">
        <v>60</v>
      </c>
      <c r="AK233">
        <v>9</v>
      </c>
      <c r="AL233">
        <v>9</v>
      </c>
      <c r="AM233">
        <v>0.9</v>
      </c>
      <c r="AN233">
        <v>294</v>
      </c>
      <c r="AO233">
        <v>302.08</v>
      </c>
      <c r="AP233">
        <v>422082.05</v>
      </c>
      <c r="AQ233">
        <v>264653.71999999997</v>
      </c>
      <c r="AR233" t="s">
        <v>1140</v>
      </c>
      <c r="AT233" s="6">
        <f t="shared" si="15"/>
        <v>8.9856352739726031</v>
      </c>
    </row>
    <row r="234" spans="1:46" x14ac:dyDescent="0.55000000000000004">
      <c r="A234">
        <v>19.75</v>
      </c>
      <c r="B234">
        <v>31.22</v>
      </c>
      <c r="C234">
        <v>5460.58</v>
      </c>
      <c r="D234">
        <v>7.61</v>
      </c>
      <c r="E234" t="s">
        <v>269</v>
      </c>
      <c r="F234" t="s">
        <v>513</v>
      </c>
      <c r="G234" t="s">
        <v>657</v>
      </c>
      <c r="H234" t="s">
        <v>898</v>
      </c>
      <c r="I234">
        <v>0</v>
      </c>
      <c r="J234">
        <v>862.96</v>
      </c>
      <c r="K234">
        <f t="shared" si="12"/>
        <v>75.179999999999993</v>
      </c>
      <c r="L234">
        <f t="shared" si="13"/>
        <v>75.179999999999993</v>
      </c>
      <c r="M234">
        <f t="shared" si="14"/>
        <v>0</v>
      </c>
      <c r="N234">
        <v>7.33</v>
      </c>
      <c r="O234">
        <v>84.83</v>
      </c>
      <c r="P234">
        <v>35</v>
      </c>
      <c r="Q234">
        <v>25.5</v>
      </c>
      <c r="R234">
        <v>11.47</v>
      </c>
      <c r="S234">
        <v>15.91</v>
      </c>
      <c r="T234">
        <v>3.84</v>
      </c>
      <c r="U234">
        <v>6.33</v>
      </c>
      <c r="V234">
        <v>3494.77</v>
      </c>
      <c r="W234">
        <v>1037.3699999999999</v>
      </c>
      <c r="X234">
        <v>1208.53</v>
      </c>
      <c r="Y234">
        <v>736.38</v>
      </c>
      <c r="Z234">
        <v>37.6</v>
      </c>
      <c r="AA234">
        <v>1.56</v>
      </c>
      <c r="AB234">
        <v>4.49</v>
      </c>
      <c r="AC234">
        <v>74.930000000000007</v>
      </c>
      <c r="AD234">
        <v>490</v>
      </c>
      <c r="AE234">
        <v>4700</v>
      </c>
      <c r="AF234">
        <v>82.51</v>
      </c>
      <c r="AG234">
        <v>0.47</v>
      </c>
      <c r="AH234">
        <v>15.49</v>
      </c>
      <c r="AI234">
        <v>169.86</v>
      </c>
      <c r="AJ234">
        <v>60</v>
      </c>
      <c r="AK234">
        <v>9</v>
      </c>
      <c r="AL234">
        <v>9</v>
      </c>
      <c r="AM234">
        <v>0.13</v>
      </c>
      <c r="AN234">
        <v>294</v>
      </c>
      <c r="AO234">
        <v>295.2</v>
      </c>
      <c r="AP234">
        <v>371723.63</v>
      </c>
      <c r="AQ234">
        <v>371723.63</v>
      </c>
      <c r="AR234" t="s">
        <v>1141</v>
      </c>
      <c r="AT234" s="6">
        <f t="shared" si="15"/>
        <v>0</v>
      </c>
    </row>
    <row r="235" spans="1:46" x14ac:dyDescent="0.55000000000000004">
      <c r="A235">
        <v>18.63</v>
      </c>
      <c r="B235">
        <v>29.84</v>
      </c>
      <c r="C235">
        <v>5529.09</v>
      </c>
      <c r="D235">
        <v>7.6</v>
      </c>
      <c r="E235" t="s">
        <v>270</v>
      </c>
      <c r="F235" t="s">
        <v>514</v>
      </c>
      <c r="G235" t="s">
        <v>674</v>
      </c>
      <c r="H235" t="s">
        <v>899</v>
      </c>
      <c r="I235">
        <v>0</v>
      </c>
      <c r="J235">
        <v>703.93</v>
      </c>
      <c r="K235">
        <f t="shared" si="12"/>
        <v>60.95</v>
      </c>
      <c r="L235">
        <f t="shared" si="13"/>
        <v>66.58</v>
      </c>
      <c r="M235">
        <f t="shared" si="14"/>
        <v>-5.6299999999999955</v>
      </c>
      <c r="N235">
        <v>7.22</v>
      </c>
      <c r="O235">
        <v>84.92</v>
      </c>
      <c r="P235">
        <v>48</v>
      </c>
      <c r="Q235">
        <v>17.7</v>
      </c>
      <c r="R235">
        <v>11.21</v>
      </c>
      <c r="S235">
        <v>11.47</v>
      </c>
      <c r="T235">
        <v>7.16</v>
      </c>
      <c r="U235">
        <v>7.85</v>
      </c>
      <c r="V235">
        <v>3538.62</v>
      </c>
      <c r="W235">
        <v>1057.22</v>
      </c>
      <c r="X235">
        <v>1297.1199999999999</v>
      </c>
      <c r="Y235">
        <v>764.11</v>
      </c>
      <c r="Z235">
        <v>5.95</v>
      </c>
      <c r="AA235">
        <v>1.57</v>
      </c>
      <c r="AB235">
        <v>4.46</v>
      </c>
      <c r="AC235">
        <v>61.02</v>
      </c>
      <c r="AD235">
        <v>490</v>
      </c>
      <c r="AE235">
        <v>4700</v>
      </c>
      <c r="AF235">
        <v>80.61</v>
      </c>
      <c r="AG235">
        <v>0.47</v>
      </c>
      <c r="AH235">
        <v>11.76</v>
      </c>
      <c r="AI235">
        <v>33.15</v>
      </c>
      <c r="AJ235">
        <v>60</v>
      </c>
      <c r="AK235">
        <v>9</v>
      </c>
      <c r="AL235">
        <v>9</v>
      </c>
      <c r="AM235">
        <v>0.68</v>
      </c>
      <c r="AN235">
        <v>294</v>
      </c>
      <c r="AO235">
        <v>300.14999999999998</v>
      </c>
      <c r="AP235">
        <v>385181.91</v>
      </c>
      <c r="AQ235">
        <v>209879.51</v>
      </c>
      <c r="AR235" t="s">
        <v>1142</v>
      </c>
      <c r="AT235" s="6">
        <f t="shared" si="15"/>
        <v>10.005844748858445</v>
      </c>
    </row>
    <row r="236" spans="1:46" x14ac:dyDescent="0.55000000000000004">
      <c r="A236">
        <v>19.55</v>
      </c>
      <c r="B236">
        <v>31.29</v>
      </c>
      <c r="C236">
        <v>5455.64</v>
      </c>
      <c r="D236">
        <v>7.61</v>
      </c>
      <c r="E236" t="s">
        <v>271</v>
      </c>
      <c r="F236" t="s">
        <v>515</v>
      </c>
      <c r="G236" t="s">
        <v>636</v>
      </c>
      <c r="H236" t="s">
        <v>898</v>
      </c>
      <c r="I236">
        <v>0</v>
      </c>
      <c r="J236">
        <v>848.66</v>
      </c>
      <c r="K236">
        <f t="shared" si="12"/>
        <v>72.67</v>
      </c>
      <c r="L236">
        <f t="shared" si="13"/>
        <v>72.67</v>
      </c>
      <c r="M236">
        <f t="shared" si="14"/>
        <v>0</v>
      </c>
      <c r="N236">
        <v>7.31</v>
      </c>
      <c r="O236">
        <v>84.79</v>
      </c>
      <c r="P236">
        <v>32</v>
      </c>
      <c r="Q236">
        <v>25.4</v>
      </c>
      <c r="R236">
        <v>11.74</v>
      </c>
      <c r="S236">
        <v>15.28</v>
      </c>
      <c r="T236">
        <v>4.28</v>
      </c>
      <c r="U236">
        <v>6.43</v>
      </c>
      <c r="V236">
        <v>3491.61</v>
      </c>
      <c r="W236">
        <v>1036.54</v>
      </c>
      <c r="X236">
        <v>1209.97</v>
      </c>
      <c r="Y236">
        <v>736.16</v>
      </c>
      <c r="Z236">
        <v>36.340000000000003</v>
      </c>
      <c r="AA236">
        <v>1.56</v>
      </c>
      <c r="AB236">
        <v>4.49</v>
      </c>
      <c r="AC236">
        <v>73.3</v>
      </c>
      <c r="AD236">
        <v>490</v>
      </c>
      <c r="AE236">
        <v>4700</v>
      </c>
      <c r="AF236">
        <v>84.41</v>
      </c>
      <c r="AG236">
        <v>0.47</v>
      </c>
      <c r="AH236">
        <v>15.55</v>
      </c>
      <c r="AI236">
        <v>169.8</v>
      </c>
      <c r="AJ236">
        <v>60</v>
      </c>
      <c r="AK236">
        <v>9</v>
      </c>
      <c r="AL236">
        <v>9</v>
      </c>
      <c r="AM236">
        <v>0.13</v>
      </c>
      <c r="AN236">
        <v>294</v>
      </c>
      <c r="AO236">
        <v>295.2</v>
      </c>
      <c r="AP236">
        <v>367951.73</v>
      </c>
      <c r="AQ236">
        <v>367951.73</v>
      </c>
      <c r="AR236" t="s">
        <v>1143</v>
      </c>
      <c r="AT236" s="6">
        <f t="shared" si="15"/>
        <v>0</v>
      </c>
    </row>
    <row r="237" spans="1:46" x14ac:dyDescent="0.55000000000000004">
      <c r="A237">
        <v>21.63</v>
      </c>
      <c r="B237">
        <v>32.58</v>
      </c>
      <c r="C237">
        <v>5531.47</v>
      </c>
      <c r="D237">
        <v>7.59</v>
      </c>
      <c r="E237" t="s">
        <v>272</v>
      </c>
      <c r="F237" t="s">
        <v>516</v>
      </c>
      <c r="G237" t="s">
        <v>580</v>
      </c>
      <c r="H237" t="s">
        <v>900</v>
      </c>
      <c r="I237">
        <v>0</v>
      </c>
      <c r="J237">
        <v>807.13</v>
      </c>
      <c r="K237">
        <f t="shared" si="12"/>
        <v>69.72999999999999</v>
      </c>
      <c r="L237">
        <f t="shared" si="13"/>
        <v>79.349999999999994</v>
      </c>
      <c r="M237">
        <f t="shared" si="14"/>
        <v>-9.6200000000000045</v>
      </c>
      <c r="N237">
        <v>7.29</v>
      </c>
      <c r="O237">
        <v>85.1</v>
      </c>
      <c r="P237">
        <v>72</v>
      </c>
      <c r="Q237">
        <v>22.8</v>
      </c>
      <c r="R237">
        <v>10.94</v>
      </c>
      <c r="S237">
        <v>19.16</v>
      </c>
      <c r="T237">
        <v>2.48</v>
      </c>
      <c r="U237">
        <v>6.85</v>
      </c>
      <c r="V237">
        <v>3540.14</v>
      </c>
      <c r="W237">
        <v>1053.0999999999999</v>
      </c>
      <c r="X237">
        <v>1247.92</v>
      </c>
      <c r="Y237">
        <v>751.99</v>
      </c>
      <c r="Z237">
        <v>5.27</v>
      </c>
      <c r="AA237">
        <v>1.6</v>
      </c>
      <c r="AB237">
        <v>4.3899999999999997</v>
      </c>
      <c r="AC237">
        <v>81.55</v>
      </c>
      <c r="AD237">
        <v>490</v>
      </c>
      <c r="AE237">
        <v>4700</v>
      </c>
      <c r="AF237">
        <v>78.7</v>
      </c>
      <c r="AG237">
        <v>0.47</v>
      </c>
      <c r="AH237">
        <v>13.45</v>
      </c>
      <c r="AI237">
        <v>25.67</v>
      </c>
      <c r="AJ237">
        <v>60</v>
      </c>
      <c r="AK237">
        <v>9</v>
      </c>
      <c r="AL237">
        <v>9</v>
      </c>
      <c r="AM237">
        <v>0.88</v>
      </c>
      <c r="AN237">
        <v>294</v>
      </c>
      <c r="AO237">
        <v>301.94</v>
      </c>
      <c r="AP237">
        <v>383059.25</v>
      </c>
      <c r="AQ237">
        <v>224356.15</v>
      </c>
      <c r="AR237" t="s">
        <v>1144</v>
      </c>
      <c r="AT237" s="6">
        <f t="shared" si="15"/>
        <v>9.0583961187214612</v>
      </c>
    </row>
    <row r="238" spans="1:46" x14ac:dyDescent="0.55000000000000004">
      <c r="A238">
        <v>18.64</v>
      </c>
      <c r="B238">
        <v>29.81</v>
      </c>
      <c r="C238">
        <v>5526.01</v>
      </c>
      <c r="D238">
        <v>7.6</v>
      </c>
      <c r="E238" t="s">
        <v>273</v>
      </c>
      <c r="F238" t="s">
        <v>517</v>
      </c>
      <c r="G238" t="s">
        <v>675</v>
      </c>
      <c r="H238" t="s">
        <v>901</v>
      </c>
      <c r="I238">
        <v>0</v>
      </c>
      <c r="J238">
        <v>791.92</v>
      </c>
      <c r="K238">
        <f t="shared" si="12"/>
        <v>67.37</v>
      </c>
      <c r="L238">
        <f t="shared" si="13"/>
        <v>73.95</v>
      </c>
      <c r="M238">
        <f t="shared" si="14"/>
        <v>-6.5799999999999983</v>
      </c>
      <c r="N238">
        <v>7.27</v>
      </c>
      <c r="O238">
        <v>84.7</v>
      </c>
      <c r="P238">
        <v>47</v>
      </c>
      <c r="Q238">
        <v>17.8</v>
      </c>
      <c r="R238">
        <v>11.16</v>
      </c>
      <c r="S238">
        <v>11.43</v>
      </c>
      <c r="T238">
        <v>7.21</v>
      </c>
      <c r="U238">
        <v>6.98</v>
      </c>
      <c r="V238">
        <v>3536.65</v>
      </c>
      <c r="W238">
        <v>1051.94</v>
      </c>
      <c r="X238">
        <v>1247.98</v>
      </c>
      <c r="Y238">
        <v>751.2</v>
      </c>
      <c r="Z238">
        <v>5.47</v>
      </c>
      <c r="AA238">
        <v>1.55</v>
      </c>
      <c r="AB238">
        <v>4.5</v>
      </c>
      <c r="AC238">
        <v>60.75</v>
      </c>
      <c r="AD238">
        <v>490</v>
      </c>
      <c r="AE238">
        <v>4700</v>
      </c>
      <c r="AF238">
        <v>80.27</v>
      </c>
      <c r="AG238">
        <v>0.47</v>
      </c>
      <c r="AH238">
        <v>13.43</v>
      </c>
      <c r="AI238">
        <v>27.55</v>
      </c>
      <c r="AJ238">
        <v>60</v>
      </c>
      <c r="AK238">
        <v>9</v>
      </c>
      <c r="AL238">
        <v>9</v>
      </c>
      <c r="AM238">
        <v>0.82</v>
      </c>
      <c r="AN238">
        <v>294</v>
      </c>
      <c r="AO238">
        <v>301.39</v>
      </c>
      <c r="AP238">
        <v>402362.72</v>
      </c>
      <c r="AQ238">
        <v>206583.08</v>
      </c>
      <c r="AR238" t="s">
        <v>1145</v>
      </c>
      <c r="AT238" s="6">
        <f t="shared" si="15"/>
        <v>11.174636986301369</v>
      </c>
    </row>
    <row r="239" spans="1:46" x14ac:dyDescent="0.55000000000000004">
      <c r="A239">
        <v>19.98</v>
      </c>
      <c r="B239">
        <v>31.2</v>
      </c>
      <c r="C239">
        <v>5447.13</v>
      </c>
      <c r="D239">
        <v>7.6</v>
      </c>
      <c r="E239" t="s">
        <v>274</v>
      </c>
      <c r="F239" t="s">
        <v>518</v>
      </c>
      <c r="G239" t="s">
        <v>676</v>
      </c>
      <c r="H239" t="s">
        <v>902</v>
      </c>
      <c r="I239">
        <v>0</v>
      </c>
      <c r="J239">
        <v>910.56</v>
      </c>
      <c r="K239">
        <f t="shared" si="12"/>
        <v>82.259999999999991</v>
      </c>
      <c r="L239">
        <f t="shared" si="13"/>
        <v>89.94</v>
      </c>
      <c r="M239">
        <f t="shared" si="14"/>
        <v>-7.6800000000000068</v>
      </c>
      <c r="N239">
        <v>7.37</v>
      </c>
      <c r="O239">
        <v>85.36</v>
      </c>
      <c r="P239">
        <v>37</v>
      </c>
      <c r="Q239">
        <v>23.6</v>
      </c>
      <c r="R239">
        <v>11.22</v>
      </c>
      <c r="S239">
        <v>14.75</v>
      </c>
      <c r="T239">
        <v>5.23</v>
      </c>
      <c r="U239">
        <v>5.98</v>
      </c>
      <c r="V239">
        <v>3486.16</v>
      </c>
      <c r="W239">
        <v>1034.07</v>
      </c>
      <c r="X239">
        <v>1194.78</v>
      </c>
      <c r="Y239">
        <v>732.27</v>
      </c>
      <c r="Z239">
        <v>5.49</v>
      </c>
      <c r="AA239">
        <v>1.56</v>
      </c>
      <c r="AB239">
        <v>4.49</v>
      </c>
      <c r="AC239">
        <v>68.23</v>
      </c>
      <c r="AD239">
        <v>490</v>
      </c>
      <c r="AE239">
        <v>4700</v>
      </c>
      <c r="AF239">
        <v>80.7</v>
      </c>
      <c r="AG239">
        <v>0.47</v>
      </c>
      <c r="AH239">
        <v>16.2</v>
      </c>
      <c r="AI239">
        <v>22.65</v>
      </c>
      <c r="AJ239">
        <v>60</v>
      </c>
      <c r="AK239">
        <v>9</v>
      </c>
      <c r="AL239">
        <v>9</v>
      </c>
      <c r="AM239">
        <v>1</v>
      </c>
      <c r="AN239">
        <v>294</v>
      </c>
      <c r="AO239">
        <v>302.99</v>
      </c>
      <c r="AP239">
        <v>431695.79</v>
      </c>
      <c r="AQ239">
        <v>264403.34999999998</v>
      </c>
      <c r="AR239" t="s">
        <v>1146</v>
      </c>
      <c r="AT239" s="6">
        <f t="shared" si="15"/>
        <v>9.5486552511415521</v>
      </c>
    </row>
    <row r="240" spans="1:46" x14ac:dyDescent="0.55000000000000004">
      <c r="A240">
        <v>19.850000000000001</v>
      </c>
      <c r="B240">
        <v>31.36</v>
      </c>
      <c r="C240">
        <v>5457.92</v>
      </c>
      <c r="D240">
        <v>7.61</v>
      </c>
      <c r="E240" t="s">
        <v>275</v>
      </c>
      <c r="F240" t="s">
        <v>519</v>
      </c>
      <c r="G240" t="s">
        <v>675</v>
      </c>
      <c r="H240" t="s">
        <v>898</v>
      </c>
      <c r="I240">
        <v>0</v>
      </c>
      <c r="J240">
        <v>879.27</v>
      </c>
      <c r="K240">
        <f t="shared" si="12"/>
        <v>76.099999999999994</v>
      </c>
      <c r="L240">
        <f t="shared" si="13"/>
        <v>76.099999999999994</v>
      </c>
      <c r="M240">
        <f t="shared" si="14"/>
        <v>0</v>
      </c>
      <c r="N240">
        <v>7.34</v>
      </c>
      <c r="O240">
        <v>85.55</v>
      </c>
      <c r="P240">
        <v>42</v>
      </c>
      <c r="Q240">
        <v>25</v>
      </c>
      <c r="R240">
        <v>11.51</v>
      </c>
      <c r="S240">
        <v>16.72</v>
      </c>
      <c r="T240">
        <v>3.14</v>
      </c>
      <c r="U240">
        <v>6.21</v>
      </c>
      <c r="V240">
        <v>3493.07</v>
      </c>
      <c r="W240">
        <v>1036.01</v>
      </c>
      <c r="X240">
        <v>1199.81</v>
      </c>
      <c r="Y240">
        <v>733.83</v>
      </c>
      <c r="Z240">
        <v>38.08</v>
      </c>
      <c r="AA240">
        <v>1.56</v>
      </c>
      <c r="AB240">
        <v>4.49</v>
      </c>
      <c r="AC240">
        <v>78.58</v>
      </c>
      <c r="AD240">
        <v>490</v>
      </c>
      <c r="AE240">
        <v>4700</v>
      </c>
      <c r="AF240">
        <v>82.75</v>
      </c>
      <c r="AG240">
        <v>0.47</v>
      </c>
      <c r="AH240">
        <v>15.89</v>
      </c>
      <c r="AI240">
        <v>169.89</v>
      </c>
      <c r="AJ240">
        <v>60</v>
      </c>
      <c r="AK240">
        <v>9</v>
      </c>
      <c r="AL240">
        <v>9</v>
      </c>
      <c r="AM240">
        <v>0.13</v>
      </c>
      <c r="AN240">
        <v>294</v>
      </c>
      <c r="AO240">
        <v>295.2</v>
      </c>
      <c r="AP240">
        <v>371072.25</v>
      </c>
      <c r="AQ240">
        <v>371072.25</v>
      </c>
      <c r="AR240" t="s">
        <v>1147</v>
      </c>
      <c r="AT240" s="6">
        <f t="shared" si="15"/>
        <v>0</v>
      </c>
    </row>
    <row r="241" spans="1:46" x14ac:dyDescent="0.55000000000000004">
      <c r="A241">
        <v>21.67</v>
      </c>
      <c r="B241">
        <v>32.799999999999997</v>
      </c>
      <c r="C241">
        <v>5542.04</v>
      </c>
      <c r="D241">
        <v>7.57</v>
      </c>
      <c r="E241" t="s">
        <v>276</v>
      </c>
      <c r="F241" t="s">
        <v>520</v>
      </c>
      <c r="G241" t="s">
        <v>647</v>
      </c>
      <c r="H241" t="s">
        <v>903</v>
      </c>
      <c r="I241">
        <v>0</v>
      </c>
      <c r="J241">
        <v>722.22</v>
      </c>
      <c r="K241">
        <f t="shared" si="12"/>
        <v>62.160000000000004</v>
      </c>
      <c r="L241">
        <f t="shared" si="13"/>
        <v>68.66</v>
      </c>
      <c r="M241">
        <f t="shared" si="14"/>
        <v>-6.4999999999999929</v>
      </c>
      <c r="N241">
        <v>7.23</v>
      </c>
      <c r="O241">
        <v>85.09</v>
      </c>
      <c r="P241">
        <v>72</v>
      </c>
      <c r="Q241">
        <v>22.2</v>
      </c>
      <c r="R241">
        <v>11.13</v>
      </c>
      <c r="S241">
        <v>18.59</v>
      </c>
      <c r="T241">
        <v>3.07</v>
      </c>
      <c r="U241">
        <v>7.67</v>
      </c>
      <c r="V241">
        <v>3546.91</v>
      </c>
      <c r="W241">
        <v>1058.3699999999999</v>
      </c>
      <c r="X241">
        <v>1287.21</v>
      </c>
      <c r="Y241">
        <v>762.44</v>
      </c>
      <c r="Z241">
        <v>5.43</v>
      </c>
      <c r="AA241">
        <v>1.6</v>
      </c>
      <c r="AB241">
        <v>4.37</v>
      </c>
      <c r="AC241">
        <v>78.36</v>
      </c>
      <c r="AD241">
        <v>490</v>
      </c>
      <c r="AE241">
        <v>4700</v>
      </c>
      <c r="AF241">
        <v>80.03</v>
      </c>
      <c r="AG241">
        <v>0.47</v>
      </c>
      <c r="AH241">
        <v>11.99</v>
      </c>
      <c r="AI241">
        <v>29.67</v>
      </c>
      <c r="AJ241">
        <v>60</v>
      </c>
      <c r="AK241">
        <v>9</v>
      </c>
      <c r="AL241">
        <v>9</v>
      </c>
      <c r="AM241">
        <v>0.76</v>
      </c>
      <c r="AN241">
        <v>294</v>
      </c>
      <c r="AO241">
        <v>300.87</v>
      </c>
      <c r="AP241">
        <v>390614.86</v>
      </c>
      <c r="AQ241">
        <v>180278.95</v>
      </c>
      <c r="AR241" t="s">
        <v>1148</v>
      </c>
      <c r="AT241" s="6">
        <f t="shared" si="15"/>
        <v>12.005474315068492</v>
      </c>
    </row>
    <row r="242" spans="1:46" x14ac:dyDescent="0.55000000000000004">
      <c r="A242">
        <v>20.88</v>
      </c>
      <c r="B242">
        <v>32.08</v>
      </c>
      <c r="C242">
        <v>5476.35</v>
      </c>
      <c r="D242">
        <v>7.62</v>
      </c>
      <c r="E242" t="s">
        <v>277</v>
      </c>
      <c r="F242" t="s">
        <v>521</v>
      </c>
      <c r="G242" t="s">
        <v>586</v>
      </c>
      <c r="H242" t="s">
        <v>904</v>
      </c>
      <c r="I242">
        <v>0</v>
      </c>
      <c r="J242">
        <v>843.46</v>
      </c>
      <c r="K242">
        <f t="shared" si="12"/>
        <v>72.239999999999995</v>
      </c>
      <c r="L242">
        <f t="shared" si="13"/>
        <v>76.349999999999994</v>
      </c>
      <c r="M242">
        <f t="shared" si="14"/>
        <v>-4.1099999999999994</v>
      </c>
      <c r="N242">
        <v>7.31</v>
      </c>
      <c r="O242">
        <v>85.18</v>
      </c>
      <c r="P242">
        <v>54</v>
      </c>
      <c r="Q242">
        <v>22</v>
      </c>
      <c r="R242">
        <v>11.21</v>
      </c>
      <c r="S242">
        <v>15.98</v>
      </c>
      <c r="T242">
        <v>4.8899999999999997</v>
      </c>
      <c r="U242">
        <v>6.49</v>
      </c>
      <c r="V242">
        <v>3504.86</v>
      </c>
      <c r="W242">
        <v>1040.9100000000001</v>
      </c>
      <c r="X242">
        <v>1218.3699999999999</v>
      </c>
      <c r="Y242">
        <v>740.03</v>
      </c>
      <c r="Z242">
        <v>5.68</v>
      </c>
      <c r="AA242">
        <v>1.6</v>
      </c>
      <c r="AB242">
        <v>4.42</v>
      </c>
      <c r="AC242">
        <v>69.61</v>
      </c>
      <c r="AD242">
        <v>490</v>
      </c>
      <c r="AE242">
        <v>4700</v>
      </c>
      <c r="AF242">
        <v>80.599999999999994</v>
      </c>
      <c r="AG242">
        <v>0.47</v>
      </c>
      <c r="AH242">
        <v>14.67</v>
      </c>
      <c r="AI242">
        <v>26.68</v>
      </c>
      <c r="AJ242">
        <v>60</v>
      </c>
      <c r="AK242">
        <v>9</v>
      </c>
      <c r="AL242">
        <v>9</v>
      </c>
      <c r="AM242">
        <v>0.85</v>
      </c>
      <c r="AN242">
        <v>294</v>
      </c>
      <c r="AO242">
        <v>301.64</v>
      </c>
      <c r="AP242">
        <v>433723.04</v>
      </c>
      <c r="AQ242">
        <v>215422.62</v>
      </c>
      <c r="AR242" t="s">
        <v>1149</v>
      </c>
      <c r="AT242" s="6">
        <f t="shared" si="15"/>
        <v>12.460069634703196</v>
      </c>
    </row>
    <row r="243" spans="1:46" x14ac:dyDescent="0.55000000000000004">
      <c r="A243">
        <v>21.2</v>
      </c>
      <c r="B243">
        <v>32.4</v>
      </c>
      <c r="C243">
        <v>5478.94</v>
      </c>
      <c r="D243">
        <v>7.59</v>
      </c>
      <c r="E243" t="s">
        <v>278</v>
      </c>
      <c r="F243" t="s">
        <v>522</v>
      </c>
      <c r="G243" t="s">
        <v>590</v>
      </c>
      <c r="H243" t="s">
        <v>905</v>
      </c>
      <c r="I243">
        <v>0</v>
      </c>
      <c r="J243">
        <v>917.25</v>
      </c>
      <c r="K243">
        <f t="shared" si="12"/>
        <v>81.539999999999992</v>
      </c>
      <c r="L243">
        <f t="shared" si="13"/>
        <v>86.490000000000009</v>
      </c>
      <c r="M243">
        <f t="shared" si="14"/>
        <v>-4.9500000000000171</v>
      </c>
      <c r="N243">
        <v>7.36</v>
      </c>
      <c r="O243">
        <v>85.32</v>
      </c>
      <c r="P243">
        <v>53</v>
      </c>
      <c r="Q243">
        <v>22.3</v>
      </c>
      <c r="R243">
        <v>11.2</v>
      </c>
      <c r="S243">
        <v>16.100000000000001</v>
      </c>
      <c r="T243">
        <v>5.09</v>
      </c>
      <c r="U243">
        <v>5.97</v>
      </c>
      <c r="V243">
        <v>3506.52</v>
      </c>
      <c r="W243">
        <v>1038.98</v>
      </c>
      <c r="X243">
        <v>1192.81</v>
      </c>
      <c r="Y243">
        <v>733.83</v>
      </c>
      <c r="Z243">
        <v>5.66</v>
      </c>
      <c r="AA243">
        <v>1.57</v>
      </c>
      <c r="AB243">
        <v>4.46</v>
      </c>
      <c r="AC243">
        <v>68.739999999999995</v>
      </c>
      <c r="AD243">
        <v>490</v>
      </c>
      <c r="AE243">
        <v>4700</v>
      </c>
      <c r="AF243">
        <v>80.56</v>
      </c>
      <c r="AG243">
        <v>0.47</v>
      </c>
      <c r="AH243">
        <v>16.2</v>
      </c>
      <c r="AI243">
        <v>23.56</v>
      </c>
      <c r="AJ243">
        <v>60</v>
      </c>
      <c r="AK243">
        <v>9</v>
      </c>
      <c r="AL243">
        <v>9</v>
      </c>
      <c r="AM243">
        <v>0.96</v>
      </c>
      <c r="AN243">
        <v>294</v>
      </c>
      <c r="AO243">
        <v>302.64999999999998</v>
      </c>
      <c r="AP243">
        <v>453571.09</v>
      </c>
      <c r="AQ243">
        <v>259503.32</v>
      </c>
      <c r="AR243" t="s">
        <v>1150</v>
      </c>
      <c r="AT243" s="6">
        <f t="shared" si="15"/>
        <v>11.076927511415526</v>
      </c>
    </row>
    <row r="244" spans="1:46" x14ac:dyDescent="0.55000000000000004">
      <c r="A244">
        <v>21.51</v>
      </c>
      <c r="B244">
        <v>32.659999999999997</v>
      </c>
      <c r="C244">
        <v>5567.02</v>
      </c>
      <c r="D244">
        <v>7.59</v>
      </c>
      <c r="E244" t="s">
        <v>279</v>
      </c>
      <c r="F244" t="s">
        <v>523</v>
      </c>
      <c r="G244" t="s">
        <v>613</v>
      </c>
      <c r="H244" t="s">
        <v>906</v>
      </c>
      <c r="I244">
        <v>0</v>
      </c>
      <c r="J244">
        <v>763.48</v>
      </c>
      <c r="K244">
        <f t="shared" si="12"/>
        <v>64.91</v>
      </c>
      <c r="L244">
        <f t="shared" si="13"/>
        <v>69.489999999999995</v>
      </c>
      <c r="M244">
        <f t="shared" si="14"/>
        <v>-4.5799999999999983</v>
      </c>
      <c r="N244">
        <v>7.26</v>
      </c>
      <c r="O244">
        <v>84.6</v>
      </c>
      <c r="P244">
        <v>71</v>
      </c>
      <c r="Q244">
        <v>22.1</v>
      </c>
      <c r="R244">
        <v>11.16</v>
      </c>
      <c r="S244">
        <v>18.37</v>
      </c>
      <c r="T244">
        <v>3.14</v>
      </c>
      <c r="U244">
        <v>7.29</v>
      </c>
      <c r="V244">
        <v>3562.89</v>
      </c>
      <c r="W244">
        <v>1061.3699999999999</v>
      </c>
      <c r="X244">
        <v>1273.33</v>
      </c>
      <c r="Y244">
        <v>761.02</v>
      </c>
      <c r="Z244">
        <v>5.6</v>
      </c>
      <c r="AA244">
        <v>1.61</v>
      </c>
      <c r="AB244">
        <v>4.37</v>
      </c>
      <c r="AC244">
        <v>78.05</v>
      </c>
      <c r="AD244">
        <v>490</v>
      </c>
      <c r="AE244">
        <v>4700</v>
      </c>
      <c r="AF244">
        <v>80.23</v>
      </c>
      <c r="AG244">
        <v>0.47</v>
      </c>
      <c r="AH244">
        <v>12.75</v>
      </c>
      <c r="AI244">
        <v>29.32</v>
      </c>
      <c r="AJ244">
        <v>60</v>
      </c>
      <c r="AK244">
        <v>9</v>
      </c>
      <c r="AL244">
        <v>9</v>
      </c>
      <c r="AM244">
        <v>0.77</v>
      </c>
      <c r="AN244">
        <v>294</v>
      </c>
      <c r="AO244">
        <v>300.95</v>
      </c>
      <c r="AP244">
        <v>410960.62</v>
      </c>
      <c r="AQ244">
        <v>184386.09</v>
      </c>
      <c r="AR244" t="s">
        <v>1151</v>
      </c>
      <c r="AT244" s="6">
        <f t="shared" si="15"/>
        <v>12.932336187214611</v>
      </c>
    </row>
    <row r="245" spans="1:46" x14ac:dyDescent="0.55000000000000004">
      <c r="A245">
        <v>20.92</v>
      </c>
      <c r="B245">
        <v>32.01</v>
      </c>
      <c r="C245">
        <v>5493.58</v>
      </c>
      <c r="D245">
        <v>7.61</v>
      </c>
      <c r="E245" t="s">
        <v>280</v>
      </c>
      <c r="F245" t="s">
        <v>524</v>
      </c>
      <c r="G245" t="s">
        <v>616</v>
      </c>
      <c r="H245" t="s">
        <v>907</v>
      </c>
      <c r="I245">
        <v>0</v>
      </c>
      <c r="J245">
        <v>819.59</v>
      </c>
      <c r="K245">
        <f t="shared" si="12"/>
        <v>70.81</v>
      </c>
      <c r="L245">
        <f t="shared" si="13"/>
        <v>75.289999999999992</v>
      </c>
      <c r="M245">
        <f t="shared" si="14"/>
        <v>-4.4799999999999898</v>
      </c>
      <c r="N245">
        <v>7.3</v>
      </c>
      <c r="O245">
        <v>85.23</v>
      </c>
      <c r="P245">
        <v>77</v>
      </c>
      <c r="Q245">
        <v>19.8</v>
      </c>
      <c r="R245">
        <v>11.09</v>
      </c>
      <c r="S245">
        <v>16.97</v>
      </c>
      <c r="T245">
        <v>3.96</v>
      </c>
      <c r="U245">
        <v>6.7</v>
      </c>
      <c r="V245">
        <v>3515.89</v>
      </c>
      <c r="W245">
        <v>1045.1500000000001</v>
      </c>
      <c r="X245">
        <v>1232.3499999999999</v>
      </c>
      <c r="Y245">
        <v>744.95</v>
      </c>
      <c r="Z245">
        <v>5.64</v>
      </c>
      <c r="AA245">
        <v>1.6</v>
      </c>
      <c r="AB245">
        <v>4.42</v>
      </c>
      <c r="AC245">
        <v>73.709999999999994</v>
      </c>
      <c r="AD245">
        <v>490</v>
      </c>
      <c r="AE245">
        <v>4700</v>
      </c>
      <c r="AF245">
        <v>79.75</v>
      </c>
      <c r="AG245">
        <v>0.47</v>
      </c>
      <c r="AH245">
        <v>13.98</v>
      </c>
      <c r="AI245">
        <v>27.06</v>
      </c>
      <c r="AJ245">
        <v>60</v>
      </c>
      <c r="AK245">
        <v>9</v>
      </c>
      <c r="AL245">
        <v>9</v>
      </c>
      <c r="AM245">
        <v>0.84</v>
      </c>
      <c r="AN245">
        <v>294</v>
      </c>
      <c r="AO245">
        <v>301.52999999999997</v>
      </c>
      <c r="AP245">
        <v>430307.07</v>
      </c>
      <c r="AQ245">
        <v>208304.54</v>
      </c>
      <c r="AR245" t="s">
        <v>1152</v>
      </c>
      <c r="AT245" s="6">
        <f t="shared" si="15"/>
        <v>12.671377283105024</v>
      </c>
    </row>
    <row r="246" spans="1:46" x14ac:dyDescent="0.55000000000000004">
      <c r="A246">
        <v>21.46</v>
      </c>
      <c r="B246">
        <v>32.64</v>
      </c>
      <c r="C246">
        <v>5510.05</v>
      </c>
      <c r="D246">
        <v>7.59</v>
      </c>
      <c r="E246" t="s">
        <v>281</v>
      </c>
      <c r="F246" t="s">
        <v>525</v>
      </c>
      <c r="G246" t="s">
        <v>642</v>
      </c>
      <c r="H246" t="s">
        <v>908</v>
      </c>
      <c r="I246">
        <v>0</v>
      </c>
      <c r="J246">
        <v>960.88</v>
      </c>
      <c r="K246">
        <f t="shared" si="12"/>
        <v>86.789999999999992</v>
      </c>
      <c r="L246">
        <f t="shared" si="13"/>
        <v>92.359999999999985</v>
      </c>
      <c r="M246">
        <f t="shared" si="14"/>
        <v>-5.5699999999999932</v>
      </c>
      <c r="N246">
        <v>7.39</v>
      </c>
      <c r="O246">
        <v>84.84</v>
      </c>
      <c r="P246">
        <v>61</v>
      </c>
      <c r="Q246">
        <v>22.1</v>
      </c>
      <c r="R246">
        <v>11.18</v>
      </c>
      <c r="S246">
        <v>17.03</v>
      </c>
      <c r="T246">
        <v>4.43</v>
      </c>
      <c r="U246">
        <v>5.73</v>
      </c>
      <c r="V246">
        <v>3526.43</v>
      </c>
      <c r="W246">
        <v>1043.6199999999999</v>
      </c>
      <c r="X246">
        <v>1185.94</v>
      </c>
      <c r="Y246">
        <v>734.58</v>
      </c>
      <c r="Z246">
        <v>5.64</v>
      </c>
      <c r="AA246">
        <v>1.58</v>
      </c>
      <c r="AB246">
        <v>4.4400000000000004</v>
      </c>
      <c r="AC246">
        <v>71.63</v>
      </c>
      <c r="AD246">
        <v>490</v>
      </c>
      <c r="AE246">
        <v>4700</v>
      </c>
      <c r="AF246">
        <v>80.37</v>
      </c>
      <c r="AG246">
        <v>0.47</v>
      </c>
      <c r="AH246">
        <v>16.98</v>
      </c>
      <c r="AI246">
        <v>22.06</v>
      </c>
      <c r="AJ246">
        <v>60</v>
      </c>
      <c r="AK246">
        <v>9</v>
      </c>
      <c r="AL246">
        <v>9</v>
      </c>
      <c r="AM246">
        <v>1.03</v>
      </c>
      <c r="AN246">
        <v>294</v>
      </c>
      <c r="AO246">
        <v>303.24</v>
      </c>
      <c r="AP246">
        <v>459398.84</v>
      </c>
      <c r="AQ246">
        <v>286936.92</v>
      </c>
      <c r="AR246" t="s">
        <v>1153</v>
      </c>
      <c r="AT246" s="6">
        <f t="shared" si="15"/>
        <v>9.8437168949771721</v>
      </c>
    </row>
    <row r="247" spans="1:46" x14ac:dyDescent="0.55000000000000004">
      <c r="A247">
        <v>21.58</v>
      </c>
      <c r="B247">
        <v>32.76</v>
      </c>
      <c r="C247">
        <v>5531.57</v>
      </c>
      <c r="D247">
        <v>7.6</v>
      </c>
      <c r="E247" t="s">
        <v>282</v>
      </c>
      <c r="F247" t="s">
        <v>526</v>
      </c>
      <c r="G247" t="s">
        <v>612</v>
      </c>
      <c r="H247" t="s">
        <v>909</v>
      </c>
      <c r="I247">
        <v>0</v>
      </c>
      <c r="J247">
        <v>917.04</v>
      </c>
      <c r="K247">
        <f t="shared" si="12"/>
        <v>81.549999999999983</v>
      </c>
      <c r="L247">
        <f t="shared" si="13"/>
        <v>87.039999999999992</v>
      </c>
      <c r="M247">
        <f t="shared" si="14"/>
        <v>-5.4900000000000091</v>
      </c>
      <c r="N247">
        <v>7.36</v>
      </c>
      <c r="O247">
        <v>84.74</v>
      </c>
      <c r="P247">
        <v>68</v>
      </c>
      <c r="Q247">
        <v>22.2</v>
      </c>
      <c r="R247">
        <v>11.18</v>
      </c>
      <c r="S247">
        <v>18.059999999999999</v>
      </c>
      <c r="T247">
        <v>3.51</v>
      </c>
      <c r="U247">
        <v>6.03</v>
      </c>
      <c r="V247">
        <v>3540.2</v>
      </c>
      <c r="W247">
        <v>1049.07</v>
      </c>
      <c r="X247">
        <v>1205.0899999999999</v>
      </c>
      <c r="Y247">
        <v>741.14</v>
      </c>
      <c r="Z247">
        <v>5.62</v>
      </c>
      <c r="AA247">
        <v>1.6</v>
      </c>
      <c r="AB247">
        <v>4.41</v>
      </c>
      <c r="AC247">
        <v>76.099999999999994</v>
      </c>
      <c r="AD247">
        <v>490</v>
      </c>
      <c r="AE247">
        <v>4700</v>
      </c>
      <c r="AF247">
        <v>80.41</v>
      </c>
      <c r="AG247">
        <v>0.47</v>
      </c>
      <c r="AH247">
        <v>15.98</v>
      </c>
      <c r="AI247">
        <v>23.41</v>
      </c>
      <c r="AJ247">
        <v>60</v>
      </c>
      <c r="AK247">
        <v>9</v>
      </c>
      <c r="AL247">
        <v>9</v>
      </c>
      <c r="AM247">
        <v>0.97</v>
      </c>
      <c r="AN247">
        <v>294</v>
      </c>
      <c r="AO247">
        <v>302.7</v>
      </c>
      <c r="AP247">
        <v>448685.57</v>
      </c>
      <c r="AQ247">
        <v>260956.91</v>
      </c>
      <c r="AR247" t="s">
        <v>1154</v>
      </c>
      <c r="AT247" s="6">
        <f t="shared" si="15"/>
        <v>10.715106164383561</v>
      </c>
    </row>
    <row r="248" spans="1:46" x14ac:dyDescent="0.55000000000000004">
      <c r="A248">
        <v>21.44</v>
      </c>
      <c r="B248">
        <v>32.31</v>
      </c>
      <c r="C248">
        <v>5513.88</v>
      </c>
      <c r="D248">
        <v>7.6</v>
      </c>
      <c r="E248" t="s">
        <v>283</v>
      </c>
      <c r="F248" t="s">
        <v>527</v>
      </c>
      <c r="G248" t="s">
        <v>584</v>
      </c>
      <c r="H248" t="s">
        <v>910</v>
      </c>
      <c r="I248">
        <v>0</v>
      </c>
      <c r="J248">
        <v>852.61</v>
      </c>
      <c r="K248">
        <f t="shared" si="12"/>
        <v>74.209999999999994</v>
      </c>
      <c r="L248">
        <f t="shared" si="13"/>
        <v>77.69</v>
      </c>
      <c r="M248">
        <f t="shared" si="14"/>
        <v>-3.480000000000004</v>
      </c>
      <c r="N248">
        <v>7.32</v>
      </c>
      <c r="O248">
        <v>83.54</v>
      </c>
      <c r="P248">
        <v>74</v>
      </c>
      <c r="Q248">
        <v>20.2</v>
      </c>
      <c r="R248">
        <v>10.86</v>
      </c>
      <c r="S248">
        <v>16.97</v>
      </c>
      <c r="T248">
        <v>4.47</v>
      </c>
      <c r="U248">
        <v>6.47</v>
      </c>
      <c r="V248">
        <v>3528.88</v>
      </c>
      <c r="W248">
        <v>1048.06</v>
      </c>
      <c r="X248">
        <v>1225.74</v>
      </c>
      <c r="Y248">
        <v>745.04</v>
      </c>
      <c r="Z248">
        <v>5.73</v>
      </c>
      <c r="AA248">
        <v>1.59</v>
      </c>
      <c r="AB248">
        <v>4.41</v>
      </c>
      <c r="AC248">
        <v>70.83</v>
      </c>
      <c r="AD248">
        <v>490</v>
      </c>
      <c r="AE248">
        <v>4700</v>
      </c>
      <c r="AF248">
        <v>78.12</v>
      </c>
      <c r="AG248">
        <v>0.47</v>
      </c>
      <c r="AH248">
        <v>14.29</v>
      </c>
      <c r="AI248">
        <v>26.23</v>
      </c>
      <c r="AJ248">
        <v>60</v>
      </c>
      <c r="AK248">
        <v>9</v>
      </c>
      <c r="AL248">
        <v>9</v>
      </c>
      <c r="AM248">
        <v>0.86</v>
      </c>
      <c r="AN248">
        <v>294</v>
      </c>
      <c r="AO248">
        <v>301.77</v>
      </c>
      <c r="AP248">
        <v>446112.78</v>
      </c>
      <c r="AQ248">
        <v>217230.05</v>
      </c>
      <c r="AR248" t="s">
        <v>1155</v>
      </c>
      <c r="AT248" s="6">
        <f t="shared" si="15"/>
        <v>13.06408276255708</v>
      </c>
    </row>
    <row r="249" spans="1:46" x14ac:dyDescent="0.55000000000000004">
      <c r="A249">
        <v>21.88</v>
      </c>
      <c r="B249">
        <v>32.74</v>
      </c>
      <c r="C249">
        <v>5512.91</v>
      </c>
      <c r="D249">
        <v>7.56</v>
      </c>
      <c r="E249" t="s">
        <v>284</v>
      </c>
      <c r="F249" t="s">
        <v>528</v>
      </c>
      <c r="G249" t="s">
        <v>596</v>
      </c>
      <c r="H249" t="s">
        <v>911</v>
      </c>
      <c r="I249">
        <v>0</v>
      </c>
      <c r="J249">
        <v>291.95</v>
      </c>
      <c r="K249">
        <f t="shared" si="12"/>
        <v>40.449999999999996</v>
      </c>
      <c r="L249">
        <f t="shared" si="13"/>
        <v>38.08</v>
      </c>
      <c r="M249">
        <f t="shared" si="14"/>
        <v>2.3699999999999974</v>
      </c>
      <c r="N249">
        <v>6.92</v>
      </c>
      <c r="O249">
        <v>85.44</v>
      </c>
      <c r="P249">
        <v>85</v>
      </c>
      <c r="Q249">
        <v>20.399999999999999</v>
      </c>
      <c r="R249">
        <v>10.86</v>
      </c>
      <c r="S249">
        <v>18.54</v>
      </c>
      <c r="T249">
        <v>3.34</v>
      </c>
      <c r="U249">
        <v>18.88</v>
      </c>
      <c r="V249">
        <v>3528.26</v>
      </c>
      <c r="W249">
        <v>1101.6600000000001</v>
      </c>
      <c r="X249">
        <v>1819.92</v>
      </c>
      <c r="Y249">
        <v>892.08</v>
      </c>
      <c r="Z249">
        <v>7.43</v>
      </c>
      <c r="AA249">
        <v>1.75</v>
      </c>
      <c r="AB249">
        <v>4.05</v>
      </c>
      <c r="AC249">
        <v>76.48</v>
      </c>
      <c r="AD249">
        <v>490</v>
      </c>
      <c r="AE249">
        <v>4700</v>
      </c>
      <c r="AF249">
        <v>78.069999999999993</v>
      </c>
      <c r="AG249">
        <v>0.47</v>
      </c>
      <c r="AH249">
        <v>4.37</v>
      </c>
      <c r="AI249">
        <v>62.42</v>
      </c>
      <c r="AJ249">
        <v>60</v>
      </c>
      <c r="AK249">
        <v>9</v>
      </c>
      <c r="AL249">
        <v>9</v>
      </c>
      <c r="AM249">
        <v>0.36</v>
      </c>
      <c r="AN249">
        <v>294</v>
      </c>
      <c r="AO249">
        <v>297.26</v>
      </c>
      <c r="AP249">
        <v>400504.7</v>
      </c>
      <c r="AQ249">
        <v>92660.41</v>
      </c>
      <c r="AR249" t="s">
        <v>1156</v>
      </c>
      <c r="AT249" s="6">
        <f t="shared" si="15"/>
        <v>17.571021118721465</v>
      </c>
    </row>
    <row r="250" spans="1:46" x14ac:dyDescent="0.55000000000000004">
      <c r="A250">
        <v>21.89</v>
      </c>
      <c r="B250">
        <v>32.68</v>
      </c>
      <c r="C250">
        <v>5525.87</v>
      </c>
      <c r="D250">
        <v>7.59</v>
      </c>
      <c r="E250" t="s">
        <v>285</v>
      </c>
      <c r="F250" t="s">
        <v>529</v>
      </c>
      <c r="G250" t="s">
        <v>677</v>
      </c>
      <c r="H250" t="s">
        <v>912</v>
      </c>
      <c r="I250">
        <v>0</v>
      </c>
      <c r="J250">
        <v>336.59</v>
      </c>
      <c r="K250">
        <f t="shared" si="12"/>
        <v>42.2</v>
      </c>
      <c r="L250">
        <f t="shared" si="13"/>
        <v>39.22</v>
      </c>
      <c r="M250">
        <f t="shared" si="14"/>
        <v>2.980000000000004</v>
      </c>
      <c r="N250">
        <v>6.97</v>
      </c>
      <c r="O250">
        <v>84.37</v>
      </c>
      <c r="P250">
        <v>80</v>
      </c>
      <c r="Q250">
        <v>20.3</v>
      </c>
      <c r="R250">
        <v>10.79</v>
      </c>
      <c r="S250">
        <v>17.82</v>
      </c>
      <c r="T250">
        <v>4.07</v>
      </c>
      <c r="U250">
        <v>16.420000000000002</v>
      </c>
      <c r="V250">
        <v>3536.56</v>
      </c>
      <c r="W250">
        <v>1096.8399999999999</v>
      </c>
      <c r="X250">
        <v>1729.22</v>
      </c>
      <c r="Y250">
        <v>872.5</v>
      </c>
      <c r="Z250">
        <v>7.53</v>
      </c>
      <c r="AA250">
        <v>1.76</v>
      </c>
      <c r="AB250">
        <v>4.0599999999999996</v>
      </c>
      <c r="AC250">
        <v>72.599999999999994</v>
      </c>
      <c r="AD250">
        <v>490</v>
      </c>
      <c r="AE250">
        <v>4700</v>
      </c>
      <c r="AF250">
        <v>77.61</v>
      </c>
      <c r="AG250">
        <v>0.47</v>
      </c>
      <c r="AH250">
        <v>5.03</v>
      </c>
      <c r="AI250">
        <v>60.6</v>
      </c>
      <c r="AJ250">
        <v>60</v>
      </c>
      <c r="AK250">
        <v>9</v>
      </c>
      <c r="AL250">
        <v>9</v>
      </c>
      <c r="AM250">
        <v>0.37</v>
      </c>
      <c r="AN250">
        <v>294</v>
      </c>
      <c r="AO250">
        <v>297.36</v>
      </c>
      <c r="AP250">
        <v>407079.64</v>
      </c>
      <c r="AQ250">
        <v>92576.44</v>
      </c>
      <c r="AR250" t="s">
        <v>1157</v>
      </c>
      <c r="AT250" s="6">
        <f t="shared" si="15"/>
        <v>17.951095890410958</v>
      </c>
    </row>
    <row r="251" spans="1:46" x14ac:dyDescent="0.55000000000000004">
      <c r="A251">
        <v>21.31</v>
      </c>
      <c r="B251">
        <v>32.21</v>
      </c>
      <c r="C251">
        <v>5490.71</v>
      </c>
      <c r="D251">
        <v>7.62</v>
      </c>
      <c r="E251" t="s">
        <v>286</v>
      </c>
      <c r="F251" t="s">
        <v>530</v>
      </c>
      <c r="G251" t="s">
        <v>678</v>
      </c>
      <c r="H251" t="s">
        <v>913</v>
      </c>
      <c r="I251">
        <v>0</v>
      </c>
      <c r="J251">
        <v>685.78</v>
      </c>
      <c r="K251">
        <f t="shared" si="12"/>
        <v>59.68</v>
      </c>
      <c r="L251">
        <f t="shared" si="13"/>
        <v>61.54</v>
      </c>
      <c r="M251">
        <f t="shared" si="14"/>
        <v>-1.8599999999999994</v>
      </c>
      <c r="N251">
        <v>7.21</v>
      </c>
      <c r="O251">
        <v>85.91</v>
      </c>
      <c r="P251">
        <v>87</v>
      </c>
      <c r="Q251">
        <v>19.600000000000001</v>
      </c>
      <c r="R251">
        <v>10.91</v>
      </c>
      <c r="S251">
        <v>18.010000000000002</v>
      </c>
      <c r="T251">
        <v>3.3</v>
      </c>
      <c r="U251">
        <v>8.01</v>
      </c>
      <c r="V251">
        <v>3514.05</v>
      </c>
      <c r="W251">
        <v>1051.3</v>
      </c>
      <c r="X251">
        <v>1301.79</v>
      </c>
      <c r="Y251">
        <v>762.47</v>
      </c>
      <c r="Z251">
        <v>6.3</v>
      </c>
      <c r="AA251">
        <v>1.64</v>
      </c>
      <c r="AB251">
        <v>4.34</v>
      </c>
      <c r="AC251">
        <v>76.77</v>
      </c>
      <c r="AD251">
        <v>490</v>
      </c>
      <c r="AE251">
        <v>4700</v>
      </c>
      <c r="AF251">
        <v>78.430000000000007</v>
      </c>
      <c r="AG251">
        <v>0.47</v>
      </c>
      <c r="AH251">
        <v>11.19</v>
      </c>
      <c r="AI251">
        <v>35.869999999999997</v>
      </c>
      <c r="AJ251">
        <v>60</v>
      </c>
      <c r="AK251">
        <v>9</v>
      </c>
      <c r="AL251">
        <v>9</v>
      </c>
      <c r="AM251">
        <v>0.63</v>
      </c>
      <c r="AN251">
        <v>294</v>
      </c>
      <c r="AO251">
        <v>299.68</v>
      </c>
      <c r="AP251">
        <v>412900.07</v>
      </c>
      <c r="AQ251">
        <v>182390.37</v>
      </c>
      <c r="AR251" t="s">
        <v>1158</v>
      </c>
      <c r="AT251" s="6">
        <f t="shared" si="15"/>
        <v>13.156946347031964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51"/>
  <sheetViews>
    <sheetView topLeftCell="AO235" workbookViewId="0">
      <selection activeCell="AU244" sqref="AU244"/>
    </sheetView>
  </sheetViews>
  <sheetFormatPr defaultRowHeight="14.4" x14ac:dyDescent="0.55000000000000004"/>
  <cols>
    <col min="3" max="3" width="14.5234375" bestFit="1" customWidth="1"/>
    <col min="5" max="7" width="11.68359375" bestFit="1" customWidth="1"/>
    <col min="8" max="8" width="10.68359375" bestFit="1" customWidth="1"/>
    <col min="10" max="10" width="14.3125" bestFit="1" customWidth="1"/>
    <col min="11" max="11" width="11.3671875" bestFit="1" customWidth="1"/>
    <col min="12" max="12" width="11.26171875" bestFit="1" customWidth="1"/>
    <col min="13" max="13" width="14.578125" bestFit="1" customWidth="1"/>
    <col min="16" max="16" width="17" bestFit="1" customWidth="1"/>
    <col min="17" max="17" width="14.3125" bestFit="1" customWidth="1"/>
    <col min="42" max="42" width="20.41796875" bestFit="1" customWidth="1"/>
    <col min="43" max="43" width="17.89453125" bestFit="1" customWidth="1"/>
    <col min="44" max="44" width="54.3125" bestFit="1" customWidth="1"/>
    <col min="46" max="46" width="9.89453125" bestFit="1" customWidth="1"/>
    <col min="47" max="47" width="12.41796875" bestFit="1" customWidth="1"/>
  </cols>
  <sheetData>
    <row r="1" spans="1:47" x14ac:dyDescent="0.55000000000000004">
      <c r="A1" s="1" t="s">
        <v>0</v>
      </c>
      <c r="B1" s="1" t="s">
        <v>1</v>
      </c>
      <c r="C1" s="4" t="s">
        <v>2</v>
      </c>
      <c r="D1" s="1" t="s">
        <v>3</v>
      </c>
      <c r="E1" s="1" t="s">
        <v>2757</v>
      </c>
      <c r="F1" s="1" t="s">
        <v>2756</v>
      </c>
      <c r="G1" s="1" t="s">
        <v>2755</v>
      </c>
      <c r="H1" s="1" t="s">
        <v>2754</v>
      </c>
      <c r="I1" s="1" t="s">
        <v>8</v>
      </c>
      <c r="J1" s="1" t="s">
        <v>9</v>
      </c>
      <c r="K1" s="1" t="s">
        <v>2752</v>
      </c>
      <c r="L1" s="1" t="s">
        <v>2751</v>
      </c>
      <c r="M1" s="1" t="s">
        <v>2753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4" t="s">
        <v>20</v>
      </c>
      <c r="X1" s="1" t="s">
        <v>21</v>
      </c>
      <c r="Y1" s="4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2" t="s">
        <v>2741</v>
      </c>
      <c r="AT1" s="7">
        <f>SUM(AT2:AT251)</f>
        <v>2113.5061826484025</v>
      </c>
      <c r="AU1" s="2" t="s">
        <v>2743</v>
      </c>
    </row>
    <row r="2" spans="1:47" x14ac:dyDescent="0.55000000000000004">
      <c r="A2">
        <v>20.45</v>
      </c>
      <c r="B2">
        <v>28.93</v>
      </c>
      <c r="C2">
        <v>5512.81</v>
      </c>
      <c r="D2">
        <v>7.6</v>
      </c>
      <c r="E2" t="s">
        <v>1159</v>
      </c>
      <c r="F2" t="s">
        <v>1409</v>
      </c>
      <c r="G2" t="s">
        <v>564</v>
      </c>
      <c r="H2" t="s">
        <v>1769</v>
      </c>
      <c r="I2">
        <v>0</v>
      </c>
      <c r="J2">
        <v>934.11</v>
      </c>
      <c r="K2">
        <f>IF(E2=0,0,
VALUE(MID(E2,2,FIND(",",E2)-2))+
VALUE(MID(F2,2,FIND(",",F2)-2))+
VALUE(MID(G2,2,FIND(",",G2)-2))
)</f>
        <v>64.09</v>
      </c>
      <c r="L2">
        <f>IF(E2=0,0,
VALUE(MID(E2,FIND(",",E2)+1,FIND("]",E2)-FIND(",",E2)-1))+
VALUE(MID(F2,FIND(",",F2)+1,FIND("]",F2)-FIND(",",F2)-1))+
VALUE(MID(G2,FIND(",",G2)+1,FIND("]",G2)-FIND(",",G2)-1))
)</f>
        <v>69.5</v>
      </c>
      <c r="M2">
        <f>(K2-L2)</f>
        <v>-5.4099999999999966</v>
      </c>
      <c r="N2">
        <v>7.35</v>
      </c>
      <c r="O2">
        <v>89.04</v>
      </c>
      <c r="P2">
        <v>59</v>
      </c>
      <c r="Q2">
        <v>21.1</v>
      </c>
      <c r="R2">
        <v>8.49</v>
      </c>
      <c r="S2">
        <v>15.87</v>
      </c>
      <c r="T2">
        <v>4.58</v>
      </c>
      <c r="U2">
        <v>5.9</v>
      </c>
      <c r="V2">
        <v>3528.2</v>
      </c>
      <c r="W2">
        <v>1043.33</v>
      </c>
      <c r="X2">
        <v>1183.31</v>
      </c>
      <c r="Y2">
        <v>733.34</v>
      </c>
      <c r="Z2">
        <v>5.53</v>
      </c>
      <c r="AA2">
        <v>1.56</v>
      </c>
      <c r="AB2">
        <v>4.4800000000000004</v>
      </c>
      <c r="AC2">
        <v>64.94</v>
      </c>
      <c r="AD2">
        <v>680</v>
      </c>
      <c r="AE2">
        <v>5900</v>
      </c>
      <c r="AF2">
        <v>76.61</v>
      </c>
      <c r="AG2">
        <v>0.59</v>
      </c>
      <c r="AH2">
        <v>15.63</v>
      </c>
      <c r="AI2">
        <v>40.68</v>
      </c>
      <c r="AJ2">
        <v>60</v>
      </c>
      <c r="AK2">
        <v>9</v>
      </c>
      <c r="AL2">
        <v>9</v>
      </c>
      <c r="AM2">
        <v>0.77</v>
      </c>
      <c r="AN2">
        <v>408</v>
      </c>
      <c r="AO2">
        <v>414.95</v>
      </c>
      <c r="AP2">
        <v>346286.15</v>
      </c>
      <c r="AQ2">
        <v>223820.61</v>
      </c>
      <c r="AR2" t="s">
        <v>914</v>
      </c>
      <c r="AT2" s="6">
        <f>(AP2-AQ2)/(365*24*2)</f>
        <v>6.9900422374429247</v>
      </c>
      <c r="AU2" s="3">
        <f>SUM(AT2:AT251)</f>
        <v>2113.5061826484025</v>
      </c>
    </row>
    <row r="3" spans="1:47" x14ac:dyDescent="0.55000000000000004">
      <c r="A3">
        <v>19.8</v>
      </c>
      <c r="B3">
        <v>28.36</v>
      </c>
      <c r="C3">
        <v>5481.54</v>
      </c>
      <c r="D3">
        <v>7.6</v>
      </c>
      <c r="E3" t="s">
        <v>1160</v>
      </c>
      <c r="F3" t="s">
        <v>1410</v>
      </c>
      <c r="G3" t="s">
        <v>1652</v>
      </c>
      <c r="H3" t="s">
        <v>1770</v>
      </c>
      <c r="I3">
        <v>0</v>
      </c>
      <c r="J3">
        <v>963.61</v>
      </c>
      <c r="K3">
        <f t="shared" ref="K3:K66" si="0">IF(E3=0,0,
VALUE(MID(E3,2,FIND(",",E3)-2))+
VALUE(MID(F3,2,FIND(",",F3)-2))+
VALUE(MID(G3,2,FIND(",",G3)-2))
)</f>
        <v>66.62</v>
      </c>
      <c r="L3">
        <f t="shared" ref="L3:L66" si="1">IF(E3=0,0,
VALUE(MID(E3,FIND(",",E3)+1,FIND("]",E3)-FIND(",",E3)-1))+
VALUE(MID(F3,FIND(",",F3)+1,FIND("]",F3)-FIND(",",F3)-1))+
VALUE(MID(G3,FIND(",",G3)+1,FIND("]",G3)-FIND(",",G3)-1))
)</f>
        <v>65.47</v>
      </c>
      <c r="M3">
        <f t="shared" ref="M3:M66" si="2">(K3-L3)</f>
        <v>1.1500000000000057</v>
      </c>
      <c r="N3">
        <v>7.37</v>
      </c>
      <c r="O3">
        <v>88.97</v>
      </c>
      <c r="P3">
        <v>67</v>
      </c>
      <c r="Q3">
        <v>18.3</v>
      </c>
      <c r="R3">
        <v>8.56</v>
      </c>
      <c r="S3">
        <v>14.33</v>
      </c>
      <c r="T3">
        <v>5.46</v>
      </c>
      <c r="U3">
        <v>5.69</v>
      </c>
      <c r="V3">
        <v>3508.19</v>
      </c>
      <c r="W3">
        <v>1036.27</v>
      </c>
      <c r="X3">
        <v>1165.3499999999999</v>
      </c>
      <c r="Y3">
        <v>726.2</v>
      </c>
      <c r="Z3">
        <v>8.14</v>
      </c>
      <c r="AA3">
        <v>1.54</v>
      </c>
      <c r="AB3">
        <v>4.5199999999999996</v>
      </c>
      <c r="AC3">
        <v>61.06</v>
      </c>
      <c r="AD3">
        <v>680</v>
      </c>
      <c r="AE3">
        <v>5900</v>
      </c>
      <c r="AF3">
        <v>77.3</v>
      </c>
      <c r="AG3">
        <v>0.59</v>
      </c>
      <c r="AH3">
        <v>16.489999999999998</v>
      </c>
      <c r="AI3">
        <v>57.59</v>
      </c>
      <c r="AJ3">
        <v>60</v>
      </c>
      <c r="AK3">
        <v>9</v>
      </c>
      <c r="AL3">
        <v>9</v>
      </c>
      <c r="AM3">
        <v>0.55000000000000004</v>
      </c>
      <c r="AN3">
        <v>408</v>
      </c>
      <c r="AO3">
        <v>412.91</v>
      </c>
      <c r="AP3">
        <v>380823.23</v>
      </c>
      <c r="AQ3">
        <v>341717.71</v>
      </c>
      <c r="AR3" t="s">
        <v>915</v>
      </c>
      <c r="AT3" s="6">
        <f t="shared" ref="AT3:AT66" si="3">(AP3-AQ3)/(365*24*2)</f>
        <v>2.2320502283104999</v>
      </c>
    </row>
    <row r="4" spans="1:47" x14ac:dyDescent="0.55000000000000004">
      <c r="A4">
        <v>21.07</v>
      </c>
      <c r="B4">
        <v>29.56</v>
      </c>
      <c r="C4">
        <v>5502.85</v>
      </c>
      <c r="D4">
        <v>7.6</v>
      </c>
      <c r="E4" t="s">
        <v>1161</v>
      </c>
      <c r="F4" t="s">
        <v>1411</v>
      </c>
      <c r="G4" t="s">
        <v>1653</v>
      </c>
      <c r="H4" t="s">
        <v>1771</v>
      </c>
      <c r="I4">
        <v>0</v>
      </c>
      <c r="J4">
        <v>916.17</v>
      </c>
      <c r="K4">
        <f t="shared" si="0"/>
        <v>62.19</v>
      </c>
      <c r="L4">
        <f t="shared" si="1"/>
        <v>67.850000000000009</v>
      </c>
      <c r="M4">
        <f t="shared" si="2"/>
        <v>-5.6600000000000108</v>
      </c>
      <c r="N4">
        <v>7.34</v>
      </c>
      <c r="O4">
        <v>89.03</v>
      </c>
      <c r="P4">
        <v>63</v>
      </c>
      <c r="Q4">
        <v>21.3</v>
      </c>
      <c r="R4">
        <v>8.49</v>
      </c>
      <c r="S4">
        <v>16.579999999999998</v>
      </c>
      <c r="T4">
        <v>4.49</v>
      </c>
      <c r="U4">
        <v>6.01</v>
      </c>
      <c r="V4">
        <v>3521.82</v>
      </c>
      <c r="W4">
        <v>1041.77</v>
      </c>
      <c r="X4">
        <v>1185.44</v>
      </c>
      <c r="Y4">
        <v>732.98</v>
      </c>
      <c r="Z4">
        <v>5.5</v>
      </c>
      <c r="AA4">
        <v>1.58</v>
      </c>
      <c r="AB4">
        <v>4.45</v>
      </c>
      <c r="AC4">
        <v>65.41</v>
      </c>
      <c r="AD4">
        <v>680</v>
      </c>
      <c r="AE4">
        <v>5900</v>
      </c>
      <c r="AF4">
        <v>76.650000000000006</v>
      </c>
      <c r="AG4">
        <v>0.59</v>
      </c>
      <c r="AH4">
        <v>15.31</v>
      </c>
      <c r="AI4">
        <v>41.67</v>
      </c>
      <c r="AJ4">
        <v>60</v>
      </c>
      <c r="AK4">
        <v>9</v>
      </c>
      <c r="AL4">
        <v>9</v>
      </c>
      <c r="AM4">
        <v>0.75</v>
      </c>
      <c r="AN4">
        <v>408</v>
      </c>
      <c r="AO4">
        <v>414.79</v>
      </c>
      <c r="AP4">
        <v>339527.78</v>
      </c>
      <c r="AQ4">
        <v>217337.16</v>
      </c>
      <c r="AR4" t="s">
        <v>916</v>
      </c>
      <c r="AT4" s="6">
        <f t="shared" si="3"/>
        <v>6.9743504566210062</v>
      </c>
    </row>
    <row r="5" spans="1:47" x14ac:dyDescent="0.55000000000000004">
      <c r="A5">
        <v>20.53</v>
      </c>
      <c r="B5">
        <v>29.16</v>
      </c>
      <c r="C5">
        <v>5547.23</v>
      </c>
      <c r="D5">
        <v>7.61</v>
      </c>
      <c r="E5" t="s">
        <v>1162</v>
      </c>
      <c r="F5" t="s">
        <v>1412</v>
      </c>
      <c r="G5" t="s">
        <v>1654</v>
      </c>
      <c r="H5" t="s">
        <v>1772</v>
      </c>
      <c r="I5">
        <v>0</v>
      </c>
      <c r="J5">
        <v>907.68</v>
      </c>
      <c r="K5">
        <f t="shared" si="0"/>
        <v>61.379999999999995</v>
      </c>
      <c r="L5">
        <f t="shared" si="1"/>
        <v>58.649999999999991</v>
      </c>
      <c r="M5">
        <f t="shared" si="2"/>
        <v>2.730000000000004</v>
      </c>
      <c r="N5">
        <v>7.33</v>
      </c>
      <c r="O5">
        <v>89.09</v>
      </c>
      <c r="P5">
        <v>59</v>
      </c>
      <c r="Q5">
        <v>20</v>
      </c>
      <c r="R5">
        <v>8.6300000000000008</v>
      </c>
      <c r="S5">
        <v>14.88</v>
      </c>
      <c r="T5">
        <v>5.65</v>
      </c>
      <c r="U5">
        <v>6.11</v>
      </c>
      <c r="V5">
        <v>3550.23</v>
      </c>
      <c r="W5">
        <v>1050.45</v>
      </c>
      <c r="X5">
        <v>1197.93</v>
      </c>
      <c r="Y5">
        <v>739.63</v>
      </c>
      <c r="Z5">
        <v>8.9</v>
      </c>
      <c r="AA5">
        <v>1.58</v>
      </c>
      <c r="AB5">
        <v>4.45</v>
      </c>
      <c r="AC5">
        <v>60.44</v>
      </c>
      <c r="AD5">
        <v>680</v>
      </c>
      <c r="AE5">
        <v>5900</v>
      </c>
      <c r="AF5">
        <v>77.91</v>
      </c>
      <c r="AG5">
        <v>0.59</v>
      </c>
      <c r="AH5">
        <v>15.24</v>
      </c>
      <c r="AI5">
        <v>68.290000000000006</v>
      </c>
      <c r="AJ5">
        <v>60</v>
      </c>
      <c r="AK5">
        <v>9</v>
      </c>
      <c r="AL5">
        <v>9</v>
      </c>
      <c r="AM5">
        <v>0.46</v>
      </c>
      <c r="AN5">
        <v>408</v>
      </c>
      <c r="AO5">
        <v>412.14</v>
      </c>
      <c r="AP5">
        <v>379117.53</v>
      </c>
      <c r="AQ5">
        <v>314998.12</v>
      </c>
      <c r="AR5" t="s">
        <v>917</v>
      </c>
      <c r="AT5" s="6">
        <f t="shared" si="3"/>
        <v>3.6597836757990887</v>
      </c>
    </row>
    <row r="6" spans="1:47" x14ac:dyDescent="0.55000000000000004">
      <c r="A6">
        <v>20.88</v>
      </c>
      <c r="B6">
        <v>29.38</v>
      </c>
      <c r="C6">
        <v>5575.31</v>
      </c>
      <c r="D6">
        <v>7.59</v>
      </c>
      <c r="E6" t="s">
        <v>1163</v>
      </c>
      <c r="F6" t="s">
        <v>1413</v>
      </c>
      <c r="G6" t="s">
        <v>1655</v>
      </c>
      <c r="H6" t="s">
        <v>1773</v>
      </c>
      <c r="I6">
        <v>0</v>
      </c>
      <c r="J6">
        <v>959.65</v>
      </c>
      <c r="K6">
        <f t="shared" si="0"/>
        <v>66.94</v>
      </c>
      <c r="L6">
        <f t="shared" si="1"/>
        <v>67.17</v>
      </c>
      <c r="M6">
        <f t="shared" si="2"/>
        <v>-0.23000000000000398</v>
      </c>
      <c r="N6">
        <v>7.37</v>
      </c>
      <c r="O6">
        <v>88.78</v>
      </c>
      <c r="P6">
        <v>85</v>
      </c>
      <c r="Q6">
        <v>18.899999999999999</v>
      </c>
      <c r="R6">
        <v>8.51</v>
      </c>
      <c r="S6">
        <v>17.079999999999998</v>
      </c>
      <c r="T6">
        <v>3.8</v>
      </c>
      <c r="U6">
        <v>5.81</v>
      </c>
      <c r="V6">
        <v>3568.2</v>
      </c>
      <c r="W6">
        <v>1054.47</v>
      </c>
      <c r="X6">
        <v>1189.1300000000001</v>
      </c>
      <c r="Y6">
        <v>739.77</v>
      </c>
      <c r="Z6">
        <v>7.47</v>
      </c>
      <c r="AA6">
        <v>1.57</v>
      </c>
      <c r="AB6">
        <v>4.46</v>
      </c>
      <c r="AC6">
        <v>69.13</v>
      </c>
      <c r="AD6">
        <v>680</v>
      </c>
      <c r="AE6">
        <v>5900</v>
      </c>
      <c r="AF6">
        <v>76.78</v>
      </c>
      <c r="AG6">
        <v>0.59</v>
      </c>
      <c r="AH6">
        <v>15.96</v>
      </c>
      <c r="AI6">
        <v>52.62</v>
      </c>
      <c r="AJ6">
        <v>60</v>
      </c>
      <c r="AK6">
        <v>9</v>
      </c>
      <c r="AL6">
        <v>9</v>
      </c>
      <c r="AM6">
        <v>0.6</v>
      </c>
      <c r="AN6">
        <v>408</v>
      </c>
      <c r="AO6">
        <v>413.37</v>
      </c>
      <c r="AP6">
        <v>375224.71</v>
      </c>
      <c r="AQ6">
        <v>322015.99</v>
      </c>
      <c r="AR6" t="s">
        <v>918</v>
      </c>
      <c r="AT6" s="6">
        <f t="shared" si="3"/>
        <v>3.0370273972602755</v>
      </c>
    </row>
    <row r="7" spans="1:47" x14ac:dyDescent="0.55000000000000004">
      <c r="A7">
        <v>20.170000000000002</v>
      </c>
      <c r="B7">
        <v>28.68</v>
      </c>
      <c r="C7">
        <v>5527.33</v>
      </c>
      <c r="D7">
        <v>7.6</v>
      </c>
      <c r="E7" t="s">
        <v>1164</v>
      </c>
      <c r="F7" t="s">
        <v>1414</v>
      </c>
      <c r="G7" t="s">
        <v>670</v>
      </c>
      <c r="H7" t="s">
        <v>684</v>
      </c>
      <c r="I7">
        <v>0</v>
      </c>
      <c r="J7">
        <v>998.03</v>
      </c>
      <c r="K7">
        <f t="shared" si="0"/>
        <v>71.63000000000001</v>
      </c>
      <c r="L7">
        <f t="shared" si="1"/>
        <v>71.63000000000001</v>
      </c>
      <c r="M7">
        <f t="shared" si="2"/>
        <v>0</v>
      </c>
      <c r="N7">
        <v>7.4</v>
      </c>
      <c r="O7">
        <v>88.97</v>
      </c>
      <c r="P7">
        <v>64</v>
      </c>
      <c r="Q7">
        <v>19.7</v>
      </c>
      <c r="R7">
        <v>8.51</v>
      </c>
      <c r="S7">
        <v>15.25</v>
      </c>
      <c r="T7">
        <v>4.92</v>
      </c>
      <c r="U7">
        <v>5.54</v>
      </c>
      <c r="V7">
        <v>3537.49</v>
      </c>
      <c r="W7">
        <v>1044.58</v>
      </c>
      <c r="X7">
        <v>1169.32</v>
      </c>
      <c r="Y7">
        <v>731.11</v>
      </c>
      <c r="Z7">
        <v>7.16</v>
      </c>
      <c r="AA7">
        <v>1.55</v>
      </c>
      <c r="AB7">
        <v>4.5</v>
      </c>
      <c r="AC7">
        <v>63.36</v>
      </c>
      <c r="AD7">
        <v>680</v>
      </c>
      <c r="AE7">
        <v>5900</v>
      </c>
      <c r="AF7">
        <v>76.849999999999994</v>
      </c>
      <c r="AG7">
        <v>0.59</v>
      </c>
      <c r="AH7">
        <v>16.93</v>
      </c>
      <c r="AI7">
        <v>47.12</v>
      </c>
      <c r="AJ7">
        <v>60</v>
      </c>
      <c r="AK7">
        <v>9</v>
      </c>
      <c r="AL7">
        <v>9</v>
      </c>
      <c r="AM7">
        <v>0.67</v>
      </c>
      <c r="AN7">
        <v>408</v>
      </c>
      <c r="AO7">
        <v>414</v>
      </c>
      <c r="AP7">
        <v>392065.22</v>
      </c>
      <c r="AQ7">
        <v>392065.22</v>
      </c>
      <c r="AR7" t="s">
        <v>919</v>
      </c>
      <c r="AT7" s="6">
        <f t="shared" si="3"/>
        <v>0</v>
      </c>
    </row>
    <row r="8" spans="1:47" x14ac:dyDescent="0.55000000000000004">
      <c r="A8">
        <v>19.5</v>
      </c>
      <c r="B8">
        <v>28.08</v>
      </c>
      <c r="C8">
        <v>5464.1</v>
      </c>
      <c r="D8">
        <v>7.6</v>
      </c>
      <c r="E8" t="s">
        <v>1165</v>
      </c>
      <c r="F8" t="s">
        <v>1415</v>
      </c>
      <c r="G8" t="s">
        <v>1656</v>
      </c>
      <c r="H8" t="s">
        <v>1774</v>
      </c>
      <c r="I8">
        <v>0</v>
      </c>
      <c r="J8">
        <v>941.24</v>
      </c>
      <c r="K8">
        <f t="shared" si="0"/>
        <v>64.14</v>
      </c>
      <c r="L8">
        <f t="shared" si="1"/>
        <v>64.95</v>
      </c>
      <c r="M8">
        <f t="shared" si="2"/>
        <v>-0.81000000000000227</v>
      </c>
      <c r="N8">
        <v>7.35</v>
      </c>
      <c r="O8">
        <v>88.97</v>
      </c>
      <c r="P8">
        <v>66</v>
      </c>
      <c r="Q8">
        <v>18.2</v>
      </c>
      <c r="R8">
        <v>8.58</v>
      </c>
      <c r="S8">
        <v>14.12</v>
      </c>
      <c r="T8">
        <v>5.38</v>
      </c>
      <c r="U8">
        <v>5.81</v>
      </c>
      <c r="V8">
        <v>3497.03</v>
      </c>
      <c r="W8">
        <v>1033.3800000000001</v>
      </c>
      <c r="X8">
        <v>1166.81</v>
      </c>
      <c r="Y8">
        <v>725.07</v>
      </c>
      <c r="Z8">
        <v>6.91</v>
      </c>
      <c r="AA8">
        <v>1.53</v>
      </c>
      <c r="AB8">
        <v>4.54</v>
      </c>
      <c r="AC8">
        <v>61.45</v>
      </c>
      <c r="AD8">
        <v>680</v>
      </c>
      <c r="AE8">
        <v>5900</v>
      </c>
      <c r="AF8">
        <v>77.459999999999994</v>
      </c>
      <c r="AG8">
        <v>0.59</v>
      </c>
      <c r="AH8">
        <v>16.12</v>
      </c>
      <c r="AI8">
        <v>50.78</v>
      </c>
      <c r="AJ8">
        <v>60</v>
      </c>
      <c r="AK8">
        <v>9</v>
      </c>
      <c r="AL8">
        <v>9</v>
      </c>
      <c r="AM8">
        <v>0.62</v>
      </c>
      <c r="AN8">
        <v>408</v>
      </c>
      <c r="AO8">
        <v>413.57</v>
      </c>
      <c r="AP8">
        <v>370313.06</v>
      </c>
      <c r="AQ8">
        <v>283052.14</v>
      </c>
      <c r="AR8" t="s">
        <v>920</v>
      </c>
      <c r="AT8" s="6">
        <f t="shared" si="3"/>
        <v>4.9806461187214603</v>
      </c>
    </row>
    <row r="9" spans="1:47" x14ac:dyDescent="0.55000000000000004">
      <c r="A9">
        <v>20.440000000000001</v>
      </c>
      <c r="B9">
        <v>28.98</v>
      </c>
      <c r="C9">
        <v>5512.02</v>
      </c>
      <c r="D9">
        <v>7.6</v>
      </c>
      <c r="E9" t="s">
        <v>1166</v>
      </c>
      <c r="F9" t="s">
        <v>1416</v>
      </c>
      <c r="G9" t="s">
        <v>571</v>
      </c>
      <c r="H9" t="s">
        <v>1775</v>
      </c>
      <c r="I9">
        <v>0</v>
      </c>
      <c r="J9">
        <v>936.05</v>
      </c>
      <c r="K9">
        <f t="shared" si="0"/>
        <v>64.73</v>
      </c>
      <c r="L9">
        <f t="shared" si="1"/>
        <v>62.03</v>
      </c>
      <c r="M9">
        <f t="shared" si="2"/>
        <v>2.7000000000000028</v>
      </c>
      <c r="N9">
        <v>7.35</v>
      </c>
      <c r="O9">
        <v>88.92</v>
      </c>
      <c r="P9">
        <v>73</v>
      </c>
      <c r="Q9">
        <v>18.399999999999999</v>
      </c>
      <c r="R9">
        <v>8.5399999999999991</v>
      </c>
      <c r="S9">
        <v>15.15</v>
      </c>
      <c r="T9">
        <v>5.28</v>
      </c>
      <c r="U9">
        <v>5.89</v>
      </c>
      <c r="V9">
        <v>3527.69</v>
      </c>
      <c r="W9">
        <v>1042.8599999999999</v>
      </c>
      <c r="X9">
        <v>1180.6099999999999</v>
      </c>
      <c r="Y9">
        <v>732.46</v>
      </c>
      <c r="Z9">
        <v>8.8699999999999992</v>
      </c>
      <c r="AA9">
        <v>1.56</v>
      </c>
      <c r="AB9">
        <v>4.49</v>
      </c>
      <c r="AC9">
        <v>61.79</v>
      </c>
      <c r="AD9">
        <v>680</v>
      </c>
      <c r="AE9">
        <v>5900</v>
      </c>
      <c r="AF9">
        <v>77.13</v>
      </c>
      <c r="AG9">
        <v>0.59</v>
      </c>
      <c r="AH9">
        <v>15.78</v>
      </c>
      <c r="AI9">
        <v>64.569999999999993</v>
      </c>
      <c r="AJ9">
        <v>60</v>
      </c>
      <c r="AK9">
        <v>9</v>
      </c>
      <c r="AL9">
        <v>9</v>
      </c>
      <c r="AM9">
        <v>0.49</v>
      </c>
      <c r="AN9">
        <v>408</v>
      </c>
      <c r="AO9">
        <v>412.38</v>
      </c>
      <c r="AP9">
        <v>388777.16</v>
      </c>
      <c r="AQ9">
        <v>338776.81</v>
      </c>
      <c r="AR9" t="s">
        <v>921</v>
      </c>
      <c r="AT9" s="6">
        <f t="shared" si="3"/>
        <v>2.8539012557077612</v>
      </c>
    </row>
    <row r="10" spans="1:47" x14ac:dyDescent="0.55000000000000004">
      <c r="A10">
        <v>20.6</v>
      </c>
      <c r="B10">
        <v>29.12</v>
      </c>
      <c r="C10">
        <v>5515.97</v>
      </c>
      <c r="D10">
        <v>7.6</v>
      </c>
      <c r="E10" t="s">
        <v>1167</v>
      </c>
      <c r="F10" t="s">
        <v>1417</v>
      </c>
      <c r="G10" t="s">
        <v>1657</v>
      </c>
      <c r="H10" t="s">
        <v>1776</v>
      </c>
      <c r="I10">
        <v>0</v>
      </c>
      <c r="J10">
        <v>917</v>
      </c>
      <c r="K10">
        <f t="shared" si="0"/>
        <v>62.129999999999995</v>
      </c>
      <c r="L10">
        <f t="shared" si="1"/>
        <v>67.430000000000007</v>
      </c>
      <c r="M10">
        <f t="shared" si="2"/>
        <v>-5.3000000000000114</v>
      </c>
      <c r="N10">
        <v>7.34</v>
      </c>
      <c r="O10">
        <v>88.92</v>
      </c>
      <c r="P10">
        <v>58</v>
      </c>
      <c r="Q10">
        <v>21</v>
      </c>
      <c r="R10">
        <v>8.52</v>
      </c>
      <c r="S10">
        <v>15.64</v>
      </c>
      <c r="T10">
        <v>4.96</v>
      </c>
      <c r="U10">
        <v>6.02</v>
      </c>
      <c r="V10">
        <v>3530.22</v>
      </c>
      <c r="W10">
        <v>1044.1400000000001</v>
      </c>
      <c r="X10">
        <v>1187.3699999999999</v>
      </c>
      <c r="Y10">
        <v>734.46</v>
      </c>
      <c r="Z10">
        <v>5.53</v>
      </c>
      <c r="AA10">
        <v>1.57</v>
      </c>
      <c r="AB10">
        <v>4.47</v>
      </c>
      <c r="AC10">
        <v>63.23</v>
      </c>
      <c r="AD10">
        <v>680</v>
      </c>
      <c r="AE10">
        <v>5900</v>
      </c>
      <c r="AF10">
        <v>76.94</v>
      </c>
      <c r="AG10">
        <v>0.59</v>
      </c>
      <c r="AH10">
        <v>15.34</v>
      </c>
      <c r="AI10">
        <v>41.93</v>
      </c>
      <c r="AJ10">
        <v>60</v>
      </c>
      <c r="AK10">
        <v>9</v>
      </c>
      <c r="AL10">
        <v>9</v>
      </c>
      <c r="AM10">
        <v>0.75</v>
      </c>
      <c r="AN10">
        <v>408</v>
      </c>
      <c r="AO10">
        <v>414.74</v>
      </c>
      <c r="AP10">
        <v>342397.17</v>
      </c>
      <c r="AQ10">
        <v>216253.17</v>
      </c>
      <c r="AR10" t="s">
        <v>922</v>
      </c>
      <c r="AT10" s="6">
        <f t="shared" si="3"/>
        <v>7.1999999999999984</v>
      </c>
    </row>
    <row r="11" spans="1:47" x14ac:dyDescent="0.55000000000000004">
      <c r="A11">
        <v>19.940000000000001</v>
      </c>
      <c r="B11">
        <v>28.56</v>
      </c>
      <c r="C11">
        <v>5481.47</v>
      </c>
      <c r="D11">
        <v>7.6</v>
      </c>
      <c r="E11" t="s">
        <v>1168</v>
      </c>
      <c r="F11" t="s">
        <v>1418</v>
      </c>
      <c r="G11" t="s">
        <v>1658</v>
      </c>
      <c r="H11" t="s">
        <v>1777</v>
      </c>
      <c r="I11">
        <v>0</v>
      </c>
      <c r="J11">
        <v>941.83</v>
      </c>
      <c r="K11">
        <f t="shared" si="0"/>
        <v>64.649999999999991</v>
      </c>
      <c r="L11">
        <f t="shared" si="1"/>
        <v>66.02</v>
      </c>
      <c r="M11">
        <f t="shared" si="2"/>
        <v>-1.3700000000000045</v>
      </c>
      <c r="N11">
        <v>7.36</v>
      </c>
      <c r="O11">
        <v>89.01</v>
      </c>
      <c r="P11">
        <v>72</v>
      </c>
      <c r="Q11">
        <v>18.2</v>
      </c>
      <c r="R11">
        <v>8.6199999999999992</v>
      </c>
      <c r="S11">
        <v>14.84</v>
      </c>
      <c r="T11">
        <v>5.09</v>
      </c>
      <c r="U11">
        <v>5.82</v>
      </c>
      <c r="V11">
        <v>3508.14</v>
      </c>
      <c r="W11">
        <v>1036.8699999999999</v>
      </c>
      <c r="X11">
        <v>1171.95</v>
      </c>
      <c r="Y11">
        <v>727.85</v>
      </c>
      <c r="Z11">
        <v>5.88</v>
      </c>
      <c r="AA11">
        <v>1.54</v>
      </c>
      <c r="AB11">
        <v>4.51</v>
      </c>
      <c r="AC11">
        <v>62.87</v>
      </c>
      <c r="AD11">
        <v>680</v>
      </c>
      <c r="AE11">
        <v>5900</v>
      </c>
      <c r="AF11">
        <v>77.849999999999994</v>
      </c>
      <c r="AG11">
        <v>0.59</v>
      </c>
      <c r="AH11">
        <v>16.149999999999999</v>
      </c>
      <c r="AI11">
        <v>42.83</v>
      </c>
      <c r="AJ11">
        <v>60</v>
      </c>
      <c r="AK11">
        <v>9</v>
      </c>
      <c r="AL11">
        <v>9</v>
      </c>
      <c r="AM11">
        <v>0.73</v>
      </c>
      <c r="AN11">
        <v>408</v>
      </c>
      <c r="AO11">
        <v>414.6</v>
      </c>
      <c r="AP11">
        <v>382833.87</v>
      </c>
      <c r="AQ11">
        <v>211213.76</v>
      </c>
      <c r="AR11" t="s">
        <v>923</v>
      </c>
      <c r="AT11" s="6">
        <f t="shared" si="3"/>
        <v>9.7956683789954333</v>
      </c>
    </row>
    <row r="12" spans="1:47" x14ac:dyDescent="0.55000000000000004">
      <c r="A12">
        <v>20.22</v>
      </c>
      <c r="B12">
        <v>28.76</v>
      </c>
      <c r="C12">
        <v>5518.87</v>
      </c>
      <c r="D12">
        <v>7.6</v>
      </c>
      <c r="E12" t="s">
        <v>1169</v>
      </c>
      <c r="F12" t="s">
        <v>1419</v>
      </c>
      <c r="G12" t="s">
        <v>1659</v>
      </c>
      <c r="H12" t="s">
        <v>1778</v>
      </c>
      <c r="I12">
        <v>0</v>
      </c>
      <c r="J12">
        <v>880.22</v>
      </c>
      <c r="K12">
        <f t="shared" si="0"/>
        <v>58.879999999999995</v>
      </c>
      <c r="L12">
        <f t="shared" si="1"/>
        <v>59.999999999999993</v>
      </c>
      <c r="M12">
        <f t="shared" si="2"/>
        <v>-1.1199999999999974</v>
      </c>
      <c r="N12">
        <v>7.31</v>
      </c>
      <c r="O12">
        <v>89.06</v>
      </c>
      <c r="P12">
        <v>59</v>
      </c>
      <c r="Q12">
        <v>21.2</v>
      </c>
      <c r="R12">
        <v>8.5399999999999991</v>
      </c>
      <c r="S12">
        <v>15.95</v>
      </c>
      <c r="T12">
        <v>4.26</v>
      </c>
      <c r="U12">
        <v>6.27</v>
      </c>
      <c r="V12">
        <v>3532.08</v>
      </c>
      <c r="W12">
        <v>1045.69</v>
      </c>
      <c r="X12">
        <v>1199.3499999999999</v>
      </c>
      <c r="Y12">
        <v>737.61</v>
      </c>
      <c r="Z12">
        <v>7.85</v>
      </c>
      <c r="AA12">
        <v>1.56</v>
      </c>
      <c r="AB12">
        <v>4.47</v>
      </c>
      <c r="AC12">
        <v>66.72</v>
      </c>
      <c r="AD12">
        <v>680</v>
      </c>
      <c r="AE12">
        <v>5900</v>
      </c>
      <c r="AF12">
        <v>77.13</v>
      </c>
      <c r="AG12">
        <v>0.59</v>
      </c>
      <c r="AH12">
        <v>14.64</v>
      </c>
      <c r="AI12">
        <v>62.83</v>
      </c>
      <c r="AJ12">
        <v>60</v>
      </c>
      <c r="AK12">
        <v>9</v>
      </c>
      <c r="AL12">
        <v>9</v>
      </c>
      <c r="AM12">
        <v>0.5</v>
      </c>
      <c r="AN12">
        <v>408</v>
      </c>
      <c r="AO12">
        <v>412.5</v>
      </c>
      <c r="AP12">
        <v>344562.17</v>
      </c>
      <c r="AQ12">
        <v>303349.62</v>
      </c>
      <c r="AR12" t="s">
        <v>924</v>
      </c>
      <c r="AT12" s="6">
        <f t="shared" si="3"/>
        <v>2.3523144977168942</v>
      </c>
    </row>
    <row r="13" spans="1:47" x14ac:dyDescent="0.55000000000000004">
      <c r="A13">
        <v>20.62</v>
      </c>
      <c r="B13">
        <v>29.11</v>
      </c>
      <c r="C13">
        <v>5508.85</v>
      </c>
      <c r="D13">
        <v>7.6</v>
      </c>
      <c r="E13" t="s">
        <v>1170</v>
      </c>
      <c r="F13" t="s">
        <v>1420</v>
      </c>
      <c r="G13" t="s">
        <v>1660</v>
      </c>
      <c r="H13" t="s">
        <v>1779</v>
      </c>
      <c r="I13">
        <v>0</v>
      </c>
      <c r="J13">
        <v>898.01</v>
      </c>
      <c r="K13">
        <f t="shared" si="0"/>
        <v>61.11</v>
      </c>
      <c r="L13">
        <f t="shared" si="1"/>
        <v>66.44</v>
      </c>
      <c r="M13">
        <f t="shared" si="2"/>
        <v>-5.3299999999999983</v>
      </c>
      <c r="N13">
        <v>7.33</v>
      </c>
      <c r="O13">
        <v>89.08</v>
      </c>
      <c r="P13">
        <v>62</v>
      </c>
      <c r="Q13">
        <v>21.1</v>
      </c>
      <c r="R13">
        <v>8.49</v>
      </c>
      <c r="S13">
        <v>16.260000000000002</v>
      </c>
      <c r="T13">
        <v>4.3600000000000003</v>
      </c>
      <c r="U13">
        <v>6.13</v>
      </c>
      <c r="V13">
        <v>3525.66</v>
      </c>
      <c r="W13">
        <v>1043.48</v>
      </c>
      <c r="X13">
        <v>1192.92</v>
      </c>
      <c r="Y13">
        <v>735.34</v>
      </c>
      <c r="Z13">
        <v>5.52</v>
      </c>
      <c r="AA13">
        <v>1.57</v>
      </c>
      <c r="AB13">
        <v>4.47</v>
      </c>
      <c r="AC13">
        <v>66.069999999999993</v>
      </c>
      <c r="AD13">
        <v>680</v>
      </c>
      <c r="AE13">
        <v>5900</v>
      </c>
      <c r="AF13">
        <v>76.63</v>
      </c>
      <c r="AG13">
        <v>0.59</v>
      </c>
      <c r="AH13">
        <v>14.92</v>
      </c>
      <c r="AI13">
        <v>42.56</v>
      </c>
      <c r="AJ13">
        <v>60</v>
      </c>
      <c r="AK13">
        <v>9</v>
      </c>
      <c r="AL13">
        <v>9</v>
      </c>
      <c r="AM13">
        <v>0.74</v>
      </c>
      <c r="AN13">
        <v>408</v>
      </c>
      <c r="AO13">
        <v>414.64</v>
      </c>
      <c r="AP13">
        <v>341493.41</v>
      </c>
      <c r="AQ13">
        <v>209458.68</v>
      </c>
      <c r="AR13" t="s">
        <v>925</v>
      </c>
      <c r="AT13" s="6">
        <f t="shared" si="3"/>
        <v>7.5362288812785376</v>
      </c>
    </row>
    <row r="14" spans="1:47" x14ac:dyDescent="0.55000000000000004">
      <c r="A14">
        <v>20.079999999999998</v>
      </c>
      <c r="B14">
        <v>28.67</v>
      </c>
      <c r="C14">
        <v>5538.31</v>
      </c>
      <c r="D14">
        <v>7.6</v>
      </c>
      <c r="E14" t="s">
        <v>1171</v>
      </c>
      <c r="F14" t="s">
        <v>1421</v>
      </c>
      <c r="G14" t="s">
        <v>1661</v>
      </c>
      <c r="H14" t="s">
        <v>684</v>
      </c>
      <c r="I14">
        <v>0</v>
      </c>
      <c r="J14">
        <v>962.54</v>
      </c>
      <c r="K14">
        <f t="shared" si="0"/>
        <v>67.52</v>
      </c>
      <c r="L14">
        <f t="shared" si="1"/>
        <v>67.52</v>
      </c>
      <c r="M14">
        <f t="shared" si="2"/>
        <v>0</v>
      </c>
      <c r="N14">
        <v>7.37</v>
      </c>
      <c r="O14">
        <v>88.83</v>
      </c>
      <c r="P14">
        <v>55</v>
      </c>
      <c r="Q14">
        <v>20.3</v>
      </c>
      <c r="R14">
        <v>8.59</v>
      </c>
      <c r="S14">
        <v>14.63</v>
      </c>
      <c r="T14">
        <v>5.45</v>
      </c>
      <c r="U14">
        <v>5.75</v>
      </c>
      <c r="V14">
        <v>3544.52</v>
      </c>
      <c r="W14">
        <v>1047.4100000000001</v>
      </c>
      <c r="X14">
        <v>1180.55</v>
      </c>
      <c r="Y14">
        <v>734.7</v>
      </c>
      <c r="Z14">
        <v>6.75</v>
      </c>
      <c r="AA14">
        <v>1.55</v>
      </c>
      <c r="AB14">
        <v>4.49</v>
      </c>
      <c r="AC14">
        <v>61.19</v>
      </c>
      <c r="AD14">
        <v>680</v>
      </c>
      <c r="AE14">
        <v>5900</v>
      </c>
      <c r="AF14">
        <v>77.56</v>
      </c>
      <c r="AG14">
        <v>0.59</v>
      </c>
      <c r="AH14">
        <v>16.32</v>
      </c>
      <c r="AI14">
        <v>47.12</v>
      </c>
      <c r="AJ14">
        <v>60</v>
      </c>
      <c r="AK14">
        <v>9</v>
      </c>
      <c r="AL14">
        <v>9</v>
      </c>
      <c r="AM14">
        <v>0.67</v>
      </c>
      <c r="AN14">
        <v>408</v>
      </c>
      <c r="AO14">
        <v>414</v>
      </c>
      <c r="AP14">
        <v>389522.74</v>
      </c>
      <c r="AQ14">
        <v>389522.74</v>
      </c>
      <c r="AR14" t="s">
        <v>926</v>
      </c>
      <c r="AT14" s="6">
        <f t="shared" si="3"/>
        <v>0</v>
      </c>
    </row>
    <row r="15" spans="1:47" x14ac:dyDescent="0.55000000000000004">
      <c r="A15">
        <v>20.84</v>
      </c>
      <c r="B15">
        <v>29.31</v>
      </c>
      <c r="C15">
        <v>5568.5</v>
      </c>
      <c r="D15">
        <v>7.6</v>
      </c>
      <c r="E15" t="s">
        <v>1172</v>
      </c>
      <c r="F15" t="s">
        <v>1422</v>
      </c>
      <c r="G15" t="s">
        <v>1662</v>
      </c>
      <c r="H15" t="s">
        <v>1780</v>
      </c>
      <c r="I15">
        <v>0</v>
      </c>
      <c r="J15">
        <v>798.12</v>
      </c>
      <c r="K15">
        <f t="shared" si="0"/>
        <v>52.730000000000004</v>
      </c>
      <c r="L15">
        <f t="shared" si="1"/>
        <v>54.180000000000007</v>
      </c>
      <c r="M15">
        <f t="shared" si="2"/>
        <v>-1.4500000000000028</v>
      </c>
      <c r="N15">
        <v>7.26</v>
      </c>
      <c r="O15">
        <v>88.98</v>
      </c>
      <c r="P15">
        <v>87</v>
      </c>
      <c r="Q15">
        <v>17.899999999999999</v>
      </c>
      <c r="R15">
        <v>8.4700000000000006</v>
      </c>
      <c r="S15">
        <v>16.34</v>
      </c>
      <c r="T15">
        <v>4.5</v>
      </c>
      <c r="U15">
        <v>6.98</v>
      </c>
      <c r="V15">
        <v>3563.84</v>
      </c>
      <c r="W15">
        <v>1058</v>
      </c>
      <c r="X15">
        <v>1241.93</v>
      </c>
      <c r="Y15">
        <v>752.16</v>
      </c>
      <c r="Z15">
        <v>5.84</v>
      </c>
      <c r="AA15">
        <v>1.6</v>
      </c>
      <c r="AB15">
        <v>4.41</v>
      </c>
      <c r="AC15">
        <v>65.34</v>
      </c>
      <c r="AD15">
        <v>680</v>
      </c>
      <c r="AE15">
        <v>5900</v>
      </c>
      <c r="AF15">
        <v>76.5</v>
      </c>
      <c r="AG15">
        <v>0.59</v>
      </c>
      <c r="AH15">
        <v>12.8</v>
      </c>
      <c r="AI15">
        <v>52.19</v>
      </c>
      <c r="AJ15">
        <v>60</v>
      </c>
      <c r="AK15">
        <v>9</v>
      </c>
      <c r="AL15">
        <v>9</v>
      </c>
      <c r="AM15">
        <v>0.6</v>
      </c>
      <c r="AN15">
        <v>408</v>
      </c>
      <c r="AO15">
        <v>413.42</v>
      </c>
      <c r="AP15">
        <v>351078.45</v>
      </c>
      <c r="AQ15">
        <v>154498.9</v>
      </c>
      <c r="AR15" t="s">
        <v>927</v>
      </c>
      <c r="AT15" s="6">
        <f t="shared" si="3"/>
        <v>11.22029394977169</v>
      </c>
    </row>
    <row r="16" spans="1:47" x14ac:dyDescent="0.55000000000000004">
      <c r="A16">
        <v>20.100000000000001</v>
      </c>
      <c r="B16">
        <v>28.72</v>
      </c>
      <c r="C16">
        <v>5487.83</v>
      </c>
      <c r="D16">
        <v>7.6</v>
      </c>
      <c r="E16" t="s">
        <v>1173</v>
      </c>
      <c r="F16" t="s">
        <v>1423</v>
      </c>
      <c r="G16" t="s">
        <v>1663</v>
      </c>
      <c r="H16" t="s">
        <v>1781</v>
      </c>
      <c r="I16">
        <v>0</v>
      </c>
      <c r="J16">
        <v>943.97</v>
      </c>
      <c r="K16">
        <f t="shared" si="0"/>
        <v>64.89</v>
      </c>
      <c r="L16">
        <f t="shared" si="1"/>
        <v>66.02000000000001</v>
      </c>
      <c r="M16">
        <f t="shared" si="2"/>
        <v>-1.1300000000000097</v>
      </c>
      <c r="N16">
        <v>7.36</v>
      </c>
      <c r="O16">
        <v>88.99</v>
      </c>
      <c r="P16">
        <v>72</v>
      </c>
      <c r="Q16">
        <v>18.5</v>
      </c>
      <c r="R16">
        <v>8.6199999999999992</v>
      </c>
      <c r="S16">
        <v>15.12</v>
      </c>
      <c r="T16">
        <v>4.97</v>
      </c>
      <c r="U16">
        <v>5.81</v>
      </c>
      <c r="V16">
        <v>3512.21</v>
      </c>
      <c r="W16">
        <v>1038.24</v>
      </c>
      <c r="X16">
        <v>1174.3499999999999</v>
      </c>
      <c r="Y16">
        <v>729.08</v>
      </c>
      <c r="Z16">
        <v>5.9</v>
      </c>
      <c r="AA16">
        <v>1.55</v>
      </c>
      <c r="AB16">
        <v>4.5</v>
      </c>
      <c r="AC16">
        <v>63.43</v>
      </c>
      <c r="AD16">
        <v>680</v>
      </c>
      <c r="AE16">
        <v>5900</v>
      </c>
      <c r="AF16">
        <v>77.819999999999993</v>
      </c>
      <c r="AG16">
        <v>0.59</v>
      </c>
      <c r="AH16">
        <v>16.170000000000002</v>
      </c>
      <c r="AI16">
        <v>42.83</v>
      </c>
      <c r="AJ16">
        <v>60</v>
      </c>
      <c r="AK16">
        <v>9</v>
      </c>
      <c r="AL16">
        <v>9</v>
      </c>
      <c r="AM16">
        <v>0.73</v>
      </c>
      <c r="AN16">
        <v>408</v>
      </c>
      <c r="AO16">
        <v>414.6</v>
      </c>
      <c r="AP16">
        <v>384379.75</v>
      </c>
      <c r="AQ16">
        <v>209678.94</v>
      </c>
      <c r="AR16" t="s">
        <v>928</v>
      </c>
      <c r="AT16" s="6">
        <f t="shared" si="3"/>
        <v>9.9715074200913243</v>
      </c>
    </row>
    <row r="17" spans="1:46" x14ac:dyDescent="0.55000000000000004">
      <c r="A17">
        <v>20.53</v>
      </c>
      <c r="B17">
        <v>28.92</v>
      </c>
      <c r="C17">
        <v>5536.22</v>
      </c>
      <c r="D17">
        <v>7.6</v>
      </c>
      <c r="E17" t="s">
        <v>1174</v>
      </c>
      <c r="F17" t="s">
        <v>1424</v>
      </c>
      <c r="G17" t="s">
        <v>563</v>
      </c>
      <c r="H17" t="s">
        <v>1782</v>
      </c>
      <c r="I17">
        <v>0</v>
      </c>
      <c r="J17">
        <v>849.84</v>
      </c>
      <c r="K17">
        <f t="shared" si="0"/>
        <v>56.03</v>
      </c>
      <c r="L17">
        <f t="shared" si="1"/>
        <v>57.49</v>
      </c>
      <c r="M17">
        <f t="shared" si="2"/>
        <v>-1.4600000000000009</v>
      </c>
      <c r="N17">
        <v>7.29</v>
      </c>
      <c r="O17">
        <v>89.12</v>
      </c>
      <c r="P17">
        <v>74</v>
      </c>
      <c r="Q17">
        <v>19.8</v>
      </c>
      <c r="R17">
        <v>8.39</v>
      </c>
      <c r="S17">
        <v>16.59</v>
      </c>
      <c r="T17">
        <v>3.94</v>
      </c>
      <c r="U17">
        <v>6.51</v>
      </c>
      <c r="V17">
        <v>3543.18</v>
      </c>
      <c r="W17">
        <v>1049.77</v>
      </c>
      <c r="X17">
        <v>1212.6099999999999</v>
      </c>
      <c r="Y17">
        <v>742.18</v>
      </c>
      <c r="Z17">
        <v>6.82</v>
      </c>
      <c r="AA17">
        <v>1.57</v>
      </c>
      <c r="AB17">
        <v>4.45</v>
      </c>
      <c r="AC17">
        <v>68.03</v>
      </c>
      <c r="AD17">
        <v>680</v>
      </c>
      <c r="AE17">
        <v>5900</v>
      </c>
      <c r="AF17">
        <v>75.69</v>
      </c>
      <c r="AG17">
        <v>0.59</v>
      </c>
      <c r="AH17">
        <v>13.73</v>
      </c>
      <c r="AI17">
        <v>57.38</v>
      </c>
      <c r="AJ17">
        <v>60</v>
      </c>
      <c r="AK17">
        <v>9</v>
      </c>
      <c r="AL17">
        <v>9</v>
      </c>
      <c r="AM17">
        <v>0.55000000000000004</v>
      </c>
      <c r="AN17">
        <v>408</v>
      </c>
      <c r="AO17">
        <v>412.93</v>
      </c>
      <c r="AP17">
        <v>345088.61</v>
      </c>
      <c r="AQ17">
        <v>238379.13</v>
      </c>
      <c r="AR17" t="s">
        <v>929</v>
      </c>
      <c r="AT17" s="6">
        <f t="shared" si="3"/>
        <v>6.0907237442922364</v>
      </c>
    </row>
    <row r="18" spans="1:46" x14ac:dyDescent="0.55000000000000004">
      <c r="A18">
        <v>20.76</v>
      </c>
      <c r="B18">
        <v>29.32</v>
      </c>
      <c r="C18">
        <v>5501.75</v>
      </c>
      <c r="D18">
        <v>7.6</v>
      </c>
      <c r="E18" t="s">
        <v>1175</v>
      </c>
      <c r="F18" t="s">
        <v>1425</v>
      </c>
      <c r="G18" t="s">
        <v>1661</v>
      </c>
      <c r="H18" t="s">
        <v>1783</v>
      </c>
      <c r="I18">
        <v>0</v>
      </c>
      <c r="J18">
        <v>925.32</v>
      </c>
      <c r="K18">
        <f t="shared" si="0"/>
        <v>62.690000000000005</v>
      </c>
      <c r="L18">
        <f t="shared" si="1"/>
        <v>68.44</v>
      </c>
      <c r="M18">
        <f t="shared" si="2"/>
        <v>-5.7499999999999929</v>
      </c>
      <c r="N18">
        <v>7.35</v>
      </c>
      <c r="O18">
        <v>88.96</v>
      </c>
      <c r="P18">
        <v>57</v>
      </c>
      <c r="Q18">
        <v>21.3</v>
      </c>
      <c r="R18">
        <v>8.56</v>
      </c>
      <c r="S18">
        <v>15.78</v>
      </c>
      <c r="T18">
        <v>4.99</v>
      </c>
      <c r="U18">
        <v>5.95</v>
      </c>
      <c r="V18">
        <v>3521.12</v>
      </c>
      <c r="W18">
        <v>1041.49</v>
      </c>
      <c r="X18">
        <v>1183.74</v>
      </c>
      <c r="Y18">
        <v>732.57</v>
      </c>
      <c r="Z18">
        <v>5.5</v>
      </c>
      <c r="AA18">
        <v>1.57</v>
      </c>
      <c r="AB18">
        <v>4.46</v>
      </c>
      <c r="AC18">
        <v>63.2</v>
      </c>
      <c r="AD18">
        <v>680</v>
      </c>
      <c r="AE18">
        <v>5900</v>
      </c>
      <c r="AF18">
        <v>77.290000000000006</v>
      </c>
      <c r="AG18">
        <v>0.59</v>
      </c>
      <c r="AH18">
        <v>15.63</v>
      </c>
      <c r="AI18">
        <v>41.32</v>
      </c>
      <c r="AJ18">
        <v>60</v>
      </c>
      <c r="AK18">
        <v>9</v>
      </c>
      <c r="AL18">
        <v>9</v>
      </c>
      <c r="AM18">
        <v>0.76</v>
      </c>
      <c r="AN18">
        <v>408</v>
      </c>
      <c r="AO18">
        <v>414.84</v>
      </c>
      <c r="AP18">
        <v>337803.61</v>
      </c>
      <c r="AQ18">
        <v>219425.71</v>
      </c>
      <c r="AR18" t="s">
        <v>930</v>
      </c>
      <c r="AT18" s="6">
        <f t="shared" si="3"/>
        <v>6.7567294520547945</v>
      </c>
    </row>
    <row r="19" spans="1:46" x14ac:dyDescent="0.55000000000000004">
      <c r="A19">
        <v>20.170000000000002</v>
      </c>
      <c r="B19">
        <v>28.75</v>
      </c>
      <c r="C19">
        <v>5508.94</v>
      </c>
      <c r="D19">
        <v>7.61</v>
      </c>
      <c r="E19" t="s">
        <v>1176</v>
      </c>
      <c r="F19" t="s">
        <v>1426</v>
      </c>
      <c r="G19" t="s">
        <v>1664</v>
      </c>
      <c r="H19" t="s">
        <v>1784</v>
      </c>
      <c r="I19">
        <v>0</v>
      </c>
      <c r="J19">
        <v>895.54</v>
      </c>
      <c r="K19">
        <f t="shared" si="0"/>
        <v>59.82</v>
      </c>
      <c r="L19">
        <f t="shared" si="1"/>
        <v>56.47</v>
      </c>
      <c r="M19">
        <f t="shared" si="2"/>
        <v>3.3500000000000014</v>
      </c>
      <c r="N19">
        <v>7.33</v>
      </c>
      <c r="O19">
        <v>89.19</v>
      </c>
      <c r="P19">
        <v>68</v>
      </c>
      <c r="Q19">
        <v>18.899999999999999</v>
      </c>
      <c r="R19">
        <v>8.58</v>
      </c>
      <c r="S19">
        <v>15.01</v>
      </c>
      <c r="T19">
        <v>5.16</v>
      </c>
      <c r="U19">
        <v>6.15</v>
      </c>
      <c r="V19">
        <v>3525.72</v>
      </c>
      <c r="W19">
        <v>1043.8499999999999</v>
      </c>
      <c r="X19">
        <v>1195.72</v>
      </c>
      <c r="Y19">
        <v>736.18</v>
      </c>
      <c r="Z19">
        <v>9</v>
      </c>
      <c r="AA19">
        <v>1.57</v>
      </c>
      <c r="AB19">
        <v>4.47</v>
      </c>
      <c r="AC19">
        <v>62.44</v>
      </c>
      <c r="AD19">
        <v>680</v>
      </c>
      <c r="AE19">
        <v>5900</v>
      </c>
      <c r="AF19">
        <v>77.44</v>
      </c>
      <c r="AG19">
        <v>0.59</v>
      </c>
      <c r="AH19">
        <v>15.03</v>
      </c>
      <c r="AI19">
        <v>70.930000000000007</v>
      </c>
      <c r="AJ19">
        <v>60</v>
      </c>
      <c r="AK19">
        <v>9</v>
      </c>
      <c r="AL19">
        <v>9</v>
      </c>
      <c r="AM19">
        <v>0.44</v>
      </c>
      <c r="AN19">
        <v>408</v>
      </c>
      <c r="AO19">
        <v>411.99</v>
      </c>
      <c r="AP19">
        <v>378324.54</v>
      </c>
      <c r="AQ19">
        <v>298746.86</v>
      </c>
      <c r="AR19" t="s">
        <v>931</v>
      </c>
      <c r="AT19" s="6">
        <f t="shared" si="3"/>
        <v>4.5421050228310502</v>
      </c>
    </row>
    <row r="20" spans="1:46" x14ac:dyDescent="0.55000000000000004">
      <c r="A20">
        <v>20.14</v>
      </c>
      <c r="B20">
        <v>28.76</v>
      </c>
      <c r="C20">
        <v>5497.99</v>
      </c>
      <c r="D20">
        <v>7.6</v>
      </c>
      <c r="E20" t="s">
        <v>1177</v>
      </c>
      <c r="F20" t="s">
        <v>1427</v>
      </c>
      <c r="G20" t="s">
        <v>1665</v>
      </c>
      <c r="H20" t="s">
        <v>1785</v>
      </c>
      <c r="I20">
        <v>0</v>
      </c>
      <c r="J20">
        <v>945.3</v>
      </c>
      <c r="K20">
        <f t="shared" si="0"/>
        <v>65.47</v>
      </c>
      <c r="L20">
        <f t="shared" si="1"/>
        <v>66.59</v>
      </c>
      <c r="M20">
        <f t="shared" si="2"/>
        <v>-1.1200000000000045</v>
      </c>
      <c r="N20">
        <v>7.36</v>
      </c>
      <c r="O20">
        <v>89</v>
      </c>
      <c r="P20">
        <v>70</v>
      </c>
      <c r="Q20">
        <v>18.600000000000001</v>
      </c>
      <c r="R20">
        <v>8.6199999999999992</v>
      </c>
      <c r="S20">
        <v>14.98</v>
      </c>
      <c r="T20">
        <v>5.17</v>
      </c>
      <c r="U20">
        <v>5.82</v>
      </c>
      <c r="V20">
        <v>3518.71</v>
      </c>
      <c r="W20">
        <v>1040.27</v>
      </c>
      <c r="X20">
        <v>1177.18</v>
      </c>
      <c r="Y20">
        <v>730.66</v>
      </c>
      <c r="Z20">
        <v>5.9</v>
      </c>
      <c r="AA20">
        <v>1.55</v>
      </c>
      <c r="AB20">
        <v>4.5</v>
      </c>
      <c r="AC20">
        <v>62.53</v>
      </c>
      <c r="AD20">
        <v>680</v>
      </c>
      <c r="AE20">
        <v>5900</v>
      </c>
      <c r="AF20">
        <v>77.83</v>
      </c>
      <c r="AG20">
        <v>0.59</v>
      </c>
      <c r="AH20">
        <v>16.16</v>
      </c>
      <c r="AI20">
        <v>42.46</v>
      </c>
      <c r="AJ20">
        <v>60</v>
      </c>
      <c r="AK20">
        <v>9</v>
      </c>
      <c r="AL20">
        <v>9</v>
      </c>
      <c r="AM20">
        <v>0.74</v>
      </c>
      <c r="AN20">
        <v>408</v>
      </c>
      <c r="AO20">
        <v>414.66</v>
      </c>
      <c r="AP20">
        <v>386796.73</v>
      </c>
      <c r="AQ20">
        <v>210684.25</v>
      </c>
      <c r="AR20" t="s">
        <v>932</v>
      </c>
      <c r="AT20" s="6">
        <f t="shared" si="3"/>
        <v>10.052082191780821</v>
      </c>
    </row>
    <row r="21" spans="1:46" x14ac:dyDescent="0.55000000000000004">
      <c r="A21">
        <v>19.670000000000002</v>
      </c>
      <c r="B21">
        <v>28.2</v>
      </c>
      <c r="C21">
        <v>5469</v>
      </c>
      <c r="D21">
        <v>7.6</v>
      </c>
      <c r="E21" t="s">
        <v>1178</v>
      </c>
      <c r="F21" t="s">
        <v>1428</v>
      </c>
      <c r="G21" t="s">
        <v>1666</v>
      </c>
      <c r="H21" t="s">
        <v>1786</v>
      </c>
      <c r="I21">
        <v>0</v>
      </c>
      <c r="J21">
        <v>921.12</v>
      </c>
      <c r="K21">
        <f t="shared" si="0"/>
        <v>62.36</v>
      </c>
      <c r="L21">
        <f t="shared" si="1"/>
        <v>62.260000000000005</v>
      </c>
      <c r="M21">
        <f t="shared" si="2"/>
        <v>9.9999999999994316E-2</v>
      </c>
      <c r="N21">
        <v>7.34</v>
      </c>
      <c r="O21">
        <v>89.07</v>
      </c>
      <c r="P21">
        <v>67</v>
      </c>
      <c r="Q21">
        <v>18.399999999999999</v>
      </c>
      <c r="R21">
        <v>8.5299999999999994</v>
      </c>
      <c r="S21">
        <v>14.43</v>
      </c>
      <c r="T21">
        <v>5.24</v>
      </c>
      <c r="U21">
        <v>5.94</v>
      </c>
      <c r="V21">
        <v>3500.16</v>
      </c>
      <c r="W21">
        <v>1035.03</v>
      </c>
      <c r="X21">
        <v>1175.23</v>
      </c>
      <c r="Y21">
        <v>727.64</v>
      </c>
      <c r="Z21">
        <v>7.01</v>
      </c>
      <c r="AA21">
        <v>1.54</v>
      </c>
      <c r="AB21">
        <v>4.5199999999999996</v>
      </c>
      <c r="AC21">
        <v>61.94</v>
      </c>
      <c r="AD21">
        <v>680</v>
      </c>
      <c r="AE21">
        <v>5900</v>
      </c>
      <c r="AF21">
        <v>77</v>
      </c>
      <c r="AG21">
        <v>0.59</v>
      </c>
      <c r="AH21">
        <v>15.6</v>
      </c>
      <c r="AI21">
        <v>52.98</v>
      </c>
      <c r="AJ21">
        <v>60</v>
      </c>
      <c r="AK21">
        <v>9</v>
      </c>
      <c r="AL21">
        <v>9</v>
      </c>
      <c r="AM21">
        <v>0.59</v>
      </c>
      <c r="AN21">
        <v>408</v>
      </c>
      <c r="AO21">
        <v>413.34</v>
      </c>
      <c r="AP21">
        <v>373763.15</v>
      </c>
      <c r="AQ21">
        <v>265933.65000000002</v>
      </c>
      <c r="AR21" t="s">
        <v>933</v>
      </c>
      <c r="AT21" s="6">
        <f t="shared" si="3"/>
        <v>6.1546518264840184</v>
      </c>
    </row>
    <row r="22" spans="1:46" x14ac:dyDescent="0.55000000000000004">
      <c r="A22">
        <v>19.16</v>
      </c>
      <c r="B22">
        <v>27.74</v>
      </c>
      <c r="C22">
        <v>5457.42</v>
      </c>
      <c r="D22">
        <v>7.6</v>
      </c>
      <c r="E22" t="s">
        <v>1179</v>
      </c>
      <c r="F22" t="s">
        <v>1429</v>
      </c>
      <c r="G22" t="s">
        <v>1667</v>
      </c>
      <c r="H22" t="s">
        <v>1787</v>
      </c>
      <c r="I22">
        <v>0</v>
      </c>
      <c r="J22">
        <v>906.31</v>
      </c>
      <c r="K22">
        <f t="shared" si="0"/>
        <v>59.9</v>
      </c>
      <c r="L22">
        <f t="shared" si="1"/>
        <v>64.790000000000006</v>
      </c>
      <c r="M22">
        <f t="shared" si="2"/>
        <v>-4.8900000000000077</v>
      </c>
      <c r="N22">
        <v>7.33</v>
      </c>
      <c r="O22">
        <v>89.06</v>
      </c>
      <c r="P22">
        <v>64</v>
      </c>
      <c r="Q22">
        <v>18</v>
      </c>
      <c r="R22">
        <v>8.58</v>
      </c>
      <c r="S22">
        <v>13.7</v>
      </c>
      <c r="T22">
        <v>5.46</v>
      </c>
      <c r="U22">
        <v>6.02</v>
      </c>
      <c r="V22">
        <v>3492.75</v>
      </c>
      <c r="W22">
        <v>1032.79</v>
      </c>
      <c r="X22">
        <v>1173.99</v>
      </c>
      <c r="Y22">
        <v>726.17</v>
      </c>
      <c r="Z22">
        <v>5.55</v>
      </c>
      <c r="AA22">
        <v>1.53</v>
      </c>
      <c r="AB22">
        <v>4.55</v>
      </c>
      <c r="AC22">
        <v>61.1</v>
      </c>
      <c r="AD22">
        <v>680</v>
      </c>
      <c r="AE22">
        <v>5900</v>
      </c>
      <c r="AF22">
        <v>77.47</v>
      </c>
      <c r="AG22">
        <v>0.59</v>
      </c>
      <c r="AH22">
        <v>15.43</v>
      </c>
      <c r="AI22">
        <v>43.64</v>
      </c>
      <c r="AJ22">
        <v>60</v>
      </c>
      <c r="AK22">
        <v>9</v>
      </c>
      <c r="AL22">
        <v>9</v>
      </c>
      <c r="AM22">
        <v>0.72</v>
      </c>
      <c r="AN22">
        <v>408</v>
      </c>
      <c r="AO22">
        <v>414.48</v>
      </c>
      <c r="AP22">
        <v>338374</v>
      </c>
      <c r="AQ22">
        <v>209394.4</v>
      </c>
      <c r="AR22" t="s">
        <v>934</v>
      </c>
      <c r="AT22" s="6">
        <f t="shared" si="3"/>
        <v>7.3618493150684934</v>
      </c>
    </row>
    <row r="23" spans="1:46" x14ac:dyDescent="0.55000000000000004">
      <c r="A23">
        <v>18.57</v>
      </c>
      <c r="B23">
        <v>27.22</v>
      </c>
      <c r="C23">
        <v>5532.9</v>
      </c>
      <c r="D23">
        <v>7.6</v>
      </c>
      <c r="E23" t="s">
        <v>1180</v>
      </c>
      <c r="F23" t="s">
        <v>1430</v>
      </c>
      <c r="G23" t="s">
        <v>1668</v>
      </c>
      <c r="H23" t="s">
        <v>1788</v>
      </c>
      <c r="I23">
        <v>0</v>
      </c>
      <c r="J23">
        <v>886.36</v>
      </c>
      <c r="K23">
        <f t="shared" si="0"/>
        <v>58.34</v>
      </c>
      <c r="L23">
        <f t="shared" si="1"/>
        <v>62.81</v>
      </c>
      <c r="M23">
        <f t="shared" si="2"/>
        <v>-4.4699999999999989</v>
      </c>
      <c r="N23">
        <v>7.31</v>
      </c>
      <c r="O23">
        <v>88.97</v>
      </c>
      <c r="P23">
        <v>72</v>
      </c>
      <c r="Q23">
        <v>16.600000000000001</v>
      </c>
      <c r="R23">
        <v>8.65</v>
      </c>
      <c r="S23">
        <v>13.34</v>
      </c>
      <c r="T23">
        <v>5.23</v>
      </c>
      <c r="U23">
        <v>6.24</v>
      </c>
      <c r="V23">
        <v>3541.06</v>
      </c>
      <c r="W23">
        <v>1047.5899999999999</v>
      </c>
      <c r="X23">
        <v>1196.22</v>
      </c>
      <c r="Y23">
        <v>737.65</v>
      </c>
      <c r="Z23">
        <v>5.57</v>
      </c>
      <c r="AA23">
        <v>1.53</v>
      </c>
      <c r="AB23">
        <v>4.54</v>
      </c>
      <c r="AC23">
        <v>62.33</v>
      </c>
      <c r="AD23">
        <v>680</v>
      </c>
      <c r="AE23">
        <v>5900</v>
      </c>
      <c r="AF23">
        <v>78.069999999999993</v>
      </c>
      <c r="AG23">
        <v>0.59</v>
      </c>
      <c r="AH23">
        <v>14.89</v>
      </c>
      <c r="AI23">
        <v>45.02</v>
      </c>
      <c r="AJ23">
        <v>60</v>
      </c>
      <c r="AK23">
        <v>9</v>
      </c>
      <c r="AL23">
        <v>9</v>
      </c>
      <c r="AM23">
        <v>0.7</v>
      </c>
      <c r="AN23">
        <v>408</v>
      </c>
      <c r="AO23">
        <v>414.28</v>
      </c>
      <c r="AP23">
        <v>338922.58</v>
      </c>
      <c r="AQ23">
        <v>200095.93</v>
      </c>
      <c r="AR23" t="s">
        <v>935</v>
      </c>
      <c r="AT23" s="6">
        <f t="shared" si="3"/>
        <v>7.9238955479452065</v>
      </c>
    </row>
    <row r="24" spans="1:46" x14ac:dyDescent="0.55000000000000004">
      <c r="A24">
        <v>18.399999999999999</v>
      </c>
      <c r="B24">
        <v>27.07</v>
      </c>
      <c r="C24">
        <v>5534.75</v>
      </c>
      <c r="D24">
        <v>7.6</v>
      </c>
      <c r="E24" t="s">
        <v>1181</v>
      </c>
      <c r="F24" t="s">
        <v>1431</v>
      </c>
      <c r="G24" t="s">
        <v>1669</v>
      </c>
      <c r="H24" t="s">
        <v>1789</v>
      </c>
      <c r="I24">
        <v>0</v>
      </c>
      <c r="J24">
        <v>853.15</v>
      </c>
      <c r="K24">
        <f t="shared" si="0"/>
        <v>55.58</v>
      </c>
      <c r="L24">
        <f t="shared" si="1"/>
        <v>60.699999999999996</v>
      </c>
      <c r="M24">
        <f t="shared" si="2"/>
        <v>-5.1199999999999974</v>
      </c>
      <c r="N24">
        <v>7.28</v>
      </c>
      <c r="O24">
        <v>89.04</v>
      </c>
      <c r="P24">
        <v>72</v>
      </c>
      <c r="Q24">
        <v>16.100000000000001</v>
      </c>
      <c r="R24">
        <v>8.67</v>
      </c>
      <c r="S24">
        <v>12.87</v>
      </c>
      <c r="T24">
        <v>5.52</v>
      </c>
      <c r="U24">
        <v>6.49</v>
      </c>
      <c r="V24">
        <v>3542.24</v>
      </c>
      <c r="W24">
        <v>1048.58</v>
      </c>
      <c r="X24">
        <v>1205.23</v>
      </c>
      <c r="Y24">
        <v>739.81</v>
      </c>
      <c r="Z24">
        <v>5.49</v>
      </c>
      <c r="AA24">
        <v>1.53</v>
      </c>
      <c r="AB24">
        <v>4.54</v>
      </c>
      <c r="AC24">
        <v>61.09</v>
      </c>
      <c r="AD24">
        <v>680</v>
      </c>
      <c r="AE24">
        <v>5900</v>
      </c>
      <c r="AF24">
        <v>78.3</v>
      </c>
      <c r="AG24">
        <v>0.59</v>
      </c>
      <c r="AH24">
        <v>14.27</v>
      </c>
      <c r="AI24">
        <v>46.58</v>
      </c>
      <c r="AJ24">
        <v>60</v>
      </c>
      <c r="AK24">
        <v>9</v>
      </c>
      <c r="AL24">
        <v>9</v>
      </c>
      <c r="AM24">
        <v>0.67</v>
      </c>
      <c r="AN24">
        <v>408</v>
      </c>
      <c r="AO24">
        <v>414.07</v>
      </c>
      <c r="AP24">
        <v>327326.27</v>
      </c>
      <c r="AQ24">
        <v>191883.46</v>
      </c>
      <c r="AR24" t="s">
        <v>936</v>
      </c>
      <c r="AT24" s="6">
        <f t="shared" si="3"/>
        <v>7.7307539954337914</v>
      </c>
    </row>
    <row r="25" spans="1:46" x14ac:dyDescent="0.55000000000000004">
      <c r="A25">
        <v>19.28</v>
      </c>
      <c r="B25">
        <v>27.85</v>
      </c>
      <c r="C25">
        <v>5459.76</v>
      </c>
      <c r="D25">
        <v>7.6</v>
      </c>
      <c r="E25" t="s">
        <v>1182</v>
      </c>
      <c r="F25" t="s">
        <v>1432</v>
      </c>
      <c r="G25" t="s">
        <v>1670</v>
      </c>
      <c r="H25" t="s">
        <v>1790</v>
      </c>
      <c r="I25">
        <v>0</v>
      </c>
      <c r="J25">
        <v>937.68</v>
      </c>
      <c r="K25">
        <f t="shared" si="0"/>
        <v>63.769999999999996</v>
      </c>
      <c r="L25">
        <f t="shared" si="1"/>
        <v>63.300000000000004</v>
      </c>
      <c r="M25">
        <f t="shared" si="2"/>
        <v>0.46999999999999176</v>
      </c>
      <c r="N25">
        <v>7.35</v>
      </c>
      <c r="O25">
        <v>89.01</v>
      </c>
      <c r="P25">
        <v>64</v>
      </c>
      <c r="Q25">
        <v>18.2</v>
      </c>
      <c r="R25">
        <v>8.57</v>
      </c>
      <c r="S25">
        <v>13.88</v>
      </c>
      <c r="T25">
        <v>5.4</v>
      </c>
      <c r="U25">
        <v>5.82</v>
      </c>
      <c r="V25">
        <v>3494.25</v>
      </c>
      <c r="W25">
        <v>1032.58</v>
      </c>
      <c r="X25">
        <v>1166.43</v>
      </c>
      <c r="Y25">
        <v>724.6</v>
      </c>
      <c r="Z25">
        <v>8.56</v>
      </c>
      <c r="AA25">
        <v>1.53</v>
      </c>
      <c r="AB25">
        <v>4.54</v>
      </c>
      <c r="AC25">
        <v>61.33</v>
      </c>
      <c r="AD25">
        <v>680</v>
      </c>
      <c r="AE25">
        <v>5900</v>
      </c>
      <c r="AF25">
        <v>77.37</v>
      </c>
      <c r="AG25">
        <v>0.59</v>
      </c>
      <c r="AH25">
        <v>16.04</v>
      </c>
      <c r="AI25">
        <v>63.27</v>
      </c>
      <c r="AJ25">
        <v>60</v>
      </c>
      <c r="AK25">
        <v>9</v>
      </c>
      <c r="AL25">
        <v>9</v>
      </c>
      <c r="AM25">
        <v>0.5</v>
      </c>
      <c r="AN25">
        <v>408</v>
      </c>
      <c r="AO25">
        <v>412.47</v>
      </c>
      <c r="AP25">
        <v>364493.27</v>
      </c>
      <c r="AQ25">
        <v>351154.76</v>
      </c>
      <c r="AR25" t="s">
        <v>937</v>
      </c>
      <c r="AT25" s="6">
        <f t="shared" si="3"/>
        <v>0.76133047945205534</v>
      </c>
    </row>
    <row r="26" spans="1:46" x14ac:dyDescent="0.55000000000000004">
      <c r="A26">
        <v>18.739999999999998</v>
      </c>
      <c r="B26">
        <v>27.4</v>
      </c>
      <c r="C26">
        <v>5529.95</v>
      </c>
      <c r="D26">
        <v>7.6</v>
      </c>
      <c r="E26" t="s">
        <v>1183</v>
      </c>
      <c r="F26" t="s">
        <v>1433</v>
      </c>
      <c r="G26" t="s">
        <v>1656</v>
      </c>
      <c r="H26" t="s">
        <v>1791</v>
      </c>
      <c r="I26">
        <v>0</v>
      </c>
      <c r="J26">
        <v>894.3</v>
      </c>
      <c r="K26">
        <f t="shared" si="0"/>
        <v>59.580000000000005</v>
      </c>
      <c r="L26">
        <f t="shared" si="1"/>
        <v>60.650000000000006</v>
      </c>
      <c r="M26">
        <f t="shared" si="2"/>
        <v>-1.0700000000000003</v>
      </c>
      <c r="N26">
        <v>7.32</v>
      </c>
      <c r="O26">
        <v>88.97</v>
      </c>
      <c r="P26">
        <v>70</v>
      </c>
      <c r="Q26">
        <v>17.2</v>
      </c>
      <c r="R26">
        <v>8.66</v>
      </c>
      <c r="S26">
        <v>13.67</v>
      </c>
      <c r="T26">
        <v>5.07</v>
      </c>
      <c r="U26">
        <v>6.18</v>
      </c>
      <c r="V26">
        <v>3539.17</v>
      </c>
      <c r="W26">
        <v>1046.8800000000001</v>
      </c>
      <c r="X26">
        <v>1193.56</v>
      </c>
      <c r="Y26">
        <v>736.8</v>
      </c>
      <c r="Z26">
        <v>7.86</v>
      </c>
      <c r="AA26">
        <v>1.53</v>
      </c>
      <c r="AB26">
        <v>4.53</v>
      </c>
      <c r="AC26">
        <v>63.07</v>
      </c>
      <c r="AD26">
        <v>680</v>
      </c>
      <c r="AE26">
        <v>5900</v>
      </c>
      <c r="AF26">
        <v>78.19</v>
      </c>
      <c r="AG26">
        <v>0.59</v>
      </c>
      <c r="AH26">
        <v>15.08</v>
      </c>
      <c r="AI26">
        <v>62.16</v>
      </c>
      <c r="AJ26">
        <v>60</v>
      </c>
      <c r="AK26">
        <v>9</v>
      </c>
      <c r="AL26">
        <v>9</v>
      </c>
      <c r="AM26">
        <v>0.51</v>
      </c>
      <c r="AN26">
        <v>408</v>
      </c>
      <c r="AO26">
        <v>412.55</v>
      </c>
      <c r="AP26">
        <v>346913.15</v>
      </c>
      <c r="AQ26">
        <v>311446.93</v>
      </c>
      <c r="AR26" t="s">
        <v>938</v>
      </c>
      <c r="AT26" s="6">
        <f t="shared" si="3"/>
        <v>2.0243276255707778</v>
      </c>
    </row>
    <row r="27" spans="1:46" x14ac:dyDescent="0.55000000000000004">
      <c r="A27">
        <v>18.96</v>
      </c>
      <c r="B27">
        <v>27.59</v>
      </c>
      <c r="C27">
        <v>5481.88</v>
      </c>
      <c r="D27">
        <v>7.6</v>
      </c>
      <c r="E27" t="s">
        <v>1184</v>
      </c>
      <c r="F27" t="s">
        <v>1434</v>
      </c>
      <c r="G27" t="s">
        <v>1671</v>
      </c>
      <c r="H27" t="s">
        <v>1792</v>
      </c>
      <c r="I27">
        <v>0</v>
      </c>
      <c r="J27">
        <v>915.12</v>
      </c>
      <c r="K27">
        <f t="shared" si="0"/>
        <v>61.6</v>
      </c>
      <c r="L27">
        <f t="shared" si="1"/>
        <v>68.649999999999991</v>
      </c>
      <c r="M27">
        <f t="shared" si="2"/>
        <v>-7.0499999999999901</v>
      </c>
      <c r="N27">
        <v>7.33</v>
      </c>
      <c r="O27">
        <v>88.93</v>
      </c>
      <c r="P27">
        <v>63</v>
      </c>
      <c r="Q27">
        <v>17.7</v>
      </c>
      <c r="R27">
        <v>8.6300000000000008</v>
      </c>
      <c r="S27">
        <v>13.3</v>
      </c>
      <c r="T27">
        <v>5.66</v>
      </c>
      <c r="U27">
        <v>5.99</v>
      </c>
      <c r="V27">
        <v>3508.4</v>
      </c>
      <c r="W27">
        <v>1037.3599999999999</v>
      </c>
      <c r="X27">
        <v>1177.8399999999999</v>
      </c>
      <c r="Y27">
        <v>729.17</v>
      </c>
      <c r="Z27">
        <v>5.38</v>
      </c>
      <c r="AA27">
        <v>1.53</v>
      </c>
      <c r="AB27">
        <v>4.55</v>
      </c>
      <c r="AC27">
        <v>60.38</v>
      </c>
      <c r="AD27">
        <v>680</v>
      </c>
      <c r="AE27">
        <v>5900</v>
      </c>
      <c r="AF27">
        <v>77.86</v>
      </c>
      <c r="AG27">
        <v>0.59</v>
      </c>
      <c r="AH27">
        <v>15.6</v>
      </c>
      <c r="AI27">
        <v>41.19</v>
      </c>
      <c r="AJ27">
        <v>60</v>
      </c>
      <c r="AK27">
        <v>9</v>
      </c>
      <c r="AL27">
        <v>9</v>
      </c>
      <c r="AM27">
        <v>0.76</v>
      </c>
      <c r="AN27">
        <v>408</v>
      </c>
      <c r="AO27">
        <v>414.86</v>
      </c>
      <c r="AP27">
        <v>327008.19</v>
      </c>
      <c r="AQ27">
        <v>224397.83</v>
      </c>
      <c r="AR27" t="s">
        <v>939</v>
      </c>
      <c r="AT27" s="6">
        <f t="shared" si="3"/>
        <v>5.8567557077625576</v>
      </c>
    </row>
    <row r="28" spans="1:46" x14ac:dyDescent="0.55000000000000004">
      <c r="A28">
        <v>19.059999999999999</v>
      </c>
      <c r="B28">
        <v>27.63</v>
      </c>
      <c r="C28">
        <v>5454.37</v>
      </c>
      <c r="D28">
        <v>7.6</v>
      </c>
      <c r="E28" t="s">
        <v>1185</v>
      </c>
      <c r="F28" t="s">
        <v>1435</v>
      </c>
      <c r="G28" t="s">
        <v>1672</v>
      </c>
      <c r="H28" t="s">
        <v>1793</v>
      </c>
      <c r="I28">
        <v>0</v>
      </c>
      <c r="J28">
        <v>930.65</v>
      </c>
      <c r="K28">
        <f t="shared" si="0"/>
        <v>63.01</v>
      </c>
      <c r="L28">
        <f t="shared" si="1"/>
        <v>67.739999999999995</v>
      </c>
      <c r="M28">
        <f t="shared" si="2"/>
        <v>-4.7299999999999969</v>
      </c>
      <c r="N28">
        <v>7.35</v>
      </c>
      <c r="O28">
        <v>89.02</v>
      </c>
      <c r="P28">
        <v>59</v>
      </c>
      <c r="Q28">
        <v>18.399999999999999</v>
      </c>
      <c r="R28">
        <v>8.57</v>
      </c>
      <c r="S28">
        <v>13.45</v>
      </c>
      <c r="T28">
        <v>5.61</v>
      </c>
      <c r="U28">
        <v>5.86</v>
      </c>
      <c r="V28">
        <v>3490.8</v>
      </c>
      <c r="W28">
        <v>1031.81</v>
      </c>
      <c r="X28">
        <v>1167.79</v>
      </c>
      <c r="Y28">
        <v>724.53</v>
      </c>
      <c r="Z28">
        <v>5.58</v>
      </c>
      <c r="AA28">
        <v>1.52</v>
      </c>
      <c r="AB28">
        <v>4.5599999999999996</v>
      </c>
      <c r="AC28">
        <v>60.45</v>
      </c>
      <c r="AD28">
        <v>680</v>
      </c>
      <c r="AE28">
        <v>5900</v>
      </c>
      <c r="AF28">
        <v>77.38</v>
      </c>
      <c r="AG28">
        <v>0.59</v>
      </c>
      <c r="AH28">
        <v>15.92</v>
      </c>
      <c r="AI28">
        <v>41.73</v>
      </c>
      <c r="AJ28">
        <v>60</v>
      </c>
      <c r="AK28">
        <v>9</v>
      </c>
      <c r="AL28">
        <v>9</v>
      </c>
      <c r="AM28">
        <v>0.75</v>
      </c>
      <c r="AN28">
        <v>408</v>
      </c>
      <c r="AO28">
        <v>414.77</v>
      </c>
      <c r="AP28">
        <v>349600.42</v>
      </c>
      <c r="AQ28">
        <v>220601.32</v>
      </c>
      <c r="AR28" t="s">
        <v>940</v>
      </c>
      <c r="AT28" s="6">
        <f t="shared" si="3"/>
        <v>7.3629623287671215</v>
      </c>
    </row>
    <row r="29" spans="1:46" x14ac:dyDescent="0.55000000000000004">
      <c r="A29">
        <v>18.98</v>
      </c>
      <c r="B29">
        <v>27.59</v>
      </c>
      <c r="C29">
        <v>5519.13</v>
      </c>
      <c r="D29">
        <v>7.6</v>
      </c>
      <c r="E29" t="s">
        <v>1186</v>
      </c>
      <c r="F29" t="s">
        <v>1436</v>
      </c>
      <c r="G29" t="s">
        <v>1670</v>
      </c>
      <c r="H29" t="s">
        <v>1794</v>
      </c>
      <c r="I29">
        <v>0</v>
      </c>
      <c r="J29">
        <v>938.56</v>
      </c>
      <c r="K29">
        <f t="shared" si="0"/>
        <v>63.74</v>
      </c>
      <c r="L29">
        <f t="shared" si="1"/>
        <v>67.8</v>
      </c>
      <c r="M29">
        <f t="shared" si="2"/>
        <v>-4.0599999999999952</v>
      </c>
      <c r="N29">
        <v>7.35</v>
      </c>
      <c r="O29">
        <v>88.92</v>
      </c>
      <c r="P29">
        <v>65</v>
      </c>
      <c r="Q29">
        <v>17.8</v>
      </c>
      <c r="R29">
        <v>8.61</v>
      </c>
      <c r="S29">
        <v>13.63</v>
      </c>
      <c r="T29">
        <v>5.35</v>
      </c>
      <c r="U29">
        <v>5.88</v>
      </c>
      <c r="V29">
        <v>3532.24</v>
      </c>
      <c r="W29">
        <v>1043.8</v>
      </c>
      <c r="X29">
        <v>1178.94</v>
      </c>
      <c r="Y29">
        <v>732.44</v>
      </c>
      <c r="Z29">
        <v>5.64</v>
      </c>
      <c r="AA29">
        <v>1.53</v>
      </c>
      <c r="AB29">
        <v>4.54</v>
      </c>
      <c r="AC29">
        <v>61.69</v>
      </c>
      <c r="AD29">
        <v>680</v>
      </c>
      <c r="AE29">
        <v>5900</v>
      </c>
      <c r="AF29">
        <v>77.73</v>
      </c>
      <c r="AG29">
        <v>0.59</v>
      </c>
      <c r="AH29">
        <v>15.93</v>
      </c>
      <c r="AI29">
        <v>41.71</v>
      </c>
      <c r="AJ29">
        <v>60</v>
      </c>
      <c r="AK29">
        <v>9</v>
      </c>
      <c r="AL29">
        <v>9</v>
      </c>
      <c r="AM29">
        <v>0.75</v>
      </c>
      <c r="AN29">
        <v>408</v>
      </c>
      <c r="AO29">
        <v>414.78</v>
      </c>
      <c r="AP29">
        <v>357220.08</v>
      </c>
      <c r="AQ29">
        <v>221483.53</v>
      </c>
      <c r="AR29" t="s">
        <v>941</v>
      </c>
      <c r="AT29" s="6">
        <f t="shared" si="3"/>
        <v>7.7475199771689507</v>
      </c>
    </row>
    <row r="30" spans="1:46" x14ac:dyDescent="0.55000000000000004">
      <c r="A30">
        <v>19.170000000000002</v>
      </c>
      <c r="B30">
        <v>27.76</v>
      </c>
      <c r="C30">
        <v>5480.91</v>
      </c>
      <c r="D30">
        <v>7.6</v>
      </c>
      <c r="E30" t="s">
        <v>1187</v>
      </c>
      <c r="F30" t="s">
        <v>1437</v>
      </c>
      <c r="G30" t="s">
        <v>1673</v>
      </c>
      <c r="H30" t="s">
        <v>1795</v>
      </c>
      <c r="I30">
        <v>0</v>
      </c>
      <c r="J30">
        <v>862.36</v>
      </c>
      <c r="K30">
        <f t="shared" si="0"/>
        <v>56.779999999999994</v>
      </c>
      <c r="L30">
        <f t="shared" si="1"/>
        <v>62.51</v>
      </c>
      <c r="M30">
        <f t="shared" si="2"/>
        <v>-5.730000000000004</v>
      </c>
      <c r="N30">
        <v>7.3</v>
      </c>
      <c r="O30">
        <v>88.99</v>
      </c>
      <c r="P30">
        <v>64</v>
      </c>
      <c r="Q30">
        <v>17.600000000000001</v>
      </c>
      <c r="R30">
        <v>8.59</v>
      </c>
      <c r="S30">
        <v>13.33</v>
      </c>
      <c r="T30">
        <v>5.83</v>
      </c>
      <c r="U30">
        <v>6.36</v>
      </c>
      <c r="V30">
        <v>3507.78</v>
      </c>
      <c r="W30">
        <v>1038.6500000000001</v>
      </c>
      <c r="X30">
        <v>1194.3800000000001</v>
      </c>
      <c r="Y30">
        <v>733.13</v>
      </c>
      <c r="Z30">
        <v>5.45</v>
      </c>
      <c r="AA30">
        <v>1.53</v>
      </c>
      <c r="AB30">
        <v>4.53</v>
      </c>
      <c r="AC30">
        <v>59.56</v>
      </c>
      <c r="AD30">
        <v>680</v>
      </c>
      <c r="AE30">
        <v>5900</v>
      </c>
      <c r="AF30">
        <v>77.58</v>
      </c>
      <c r="AG30">
        <v>0.59</v>
      </c>
      <c r="AH30">
        <v>14.48</v>
      </c>
      <c r="AI30">
        <v>45.24</v>
      </c>
      <c r="AJ30">
        <v>60</v>
      </c>
      <c r="AK30">
        <v>9</v>
      </c>
      <c r="AL30">
        <v>9</v>
      </c>
      <c r="AM30">
        <v>0.69</v>
      </c>
      <c r="AN30">
        <v>408</v>
      </c>
      <c r="AO30">
        <v>414.25</v>
      </c>
      <c r="AP30">
        <v>324837.45</v>
      </c>
      <c r="AQ30">
        <v>196442.27</v>
      </c>
      <c r="AR30" t="s">
        <v>942</v>
      </c>
      <c r="AT30" s="6">
        <f t="shared" si="3"/>
        <v>7.3284920091324217</v>
      </c>
    </row>
    <row r="31" spans="1:46" x14ac:dyDescent="0.55000000000000004">
      <c r="A31">
        <v>19.04</v>
      </c>
      <c r="B31">
        <v>27.67</v>
      </c>
      <c r="C31">
        <v>5495.07</v>
      </c>
      <c r="D31">
        <v>7.6</v>
      </c>
      <c r="E31" t="s">
        <v>1188</v>
      </c>
      <c r="F31" t="s">
        <v>1414</v>
      </c>
      <c r="G31" t="s">
        <v>1674</v>
      </c>
      <c r="H31" t="s">
        <v>1796</v>
      </c>
      <c r="I31">
        <v>0</v>
      </c>
      <c r="J31">
        <v>839.38</v>
      </c>
      <c r="K31">
        <f t="shared" si="0"/>
        <v>55.06</v>
      </c>
      <c r="L31">
        <f t="shared" si="1"/>
        <v>55.06</v>
      </c>
      <c r="M31">
        <f t="shared" si="2"/>
        <v>0</v>
      </c>
      <c r="N31">
        <v>7.28</v>
      </c>
      <c r="O31">
        <v>89.03</v>
      </c>
      <c r="P31">
        <v>71</v>
      </c>
      <c r="Q31">
        <v>16.399999999999999</v>
      </c>
      <c r="R31">
        <v>8.6300000000000008</v>
      </c>
      <c r="S31">
        <v>13.04</v>
      </c>
      <c r="T31">
        <v>6</v>
      </c>
      <c r="U31">
        <v>6.55</v>
      </c>
      <c r="V31">
        <v>3516.85</v>
      </c>
      <c r="W31">
        <v>1042.03</v>
      </c>
      <c r="X31">
        <v>1205.3699999999999</v>
      </c>
      <c r="Y31">
        <v>736.95</v>
      </c>
      <c r="Z31">
        <v>13.77</v>
      </c>
      <c r="AA31">
        <v>1.55</v>
      </c>
      <c r="AB31">
        <v>4.51</v>
      </c>
      <c r="AC31">
        <v>58.98</v>
      </c>
      <c r="AD31">
        <v>680</v>
      </c>
      <c r="AE31">
        <v>5900</v>
      </c>
      <c r="AF31">
        <v>77.89</v>
      </c>
      <c r="AG31">
        <v>0.59</v>
      </c>
      <c r="AH31">
        <v>14.04</v>
      </c>
      <c r="AI31">
        <v>117.84</v>
      </c>
      <c r="AJ31">
        <v>60</v>
      </c>
      <c r="AK31">
        <v>9</v>
      </c>
      <c r="AL31">
        <v>9</v>
      </c>
      <c r="AM31">
        <v>0.27</v>
      </c>
      <c r="AN31">
        <v>408</v>
      </c>
      <c r="AO31">
        <v>410.4</v>
      </c>
      <c r="AP31">
        <v>316611</v>
      </c>
      <c r="AQ31">
        <v>316611</v>
      </c>
      <c r="AR31" t="s">
        <v>943</v>
      </c>
      <c r="AT31" s="6">
        <f t="shared" si="3"/>
        <v>0</v>
      </c>
    </row>
    <row r="32" spans="1:46" x14ac:dyDescent="0.55000000000000004">
      <c r="A32">
        <v>18.78</v>
      </c>
      <c r="B32">
        <v>27.45</v>
      </c>
      <c r="C32">
        <v>5523.14</v>
      </c>
      <c r="D32">
        <v>7.61</v>
      </c>
      <c r="E32" t="s">
        <v>1189</v>
      </c>
      <c r="F32" t="s">
        <v>1438</v>
      </c>
      <c r="G32" t="s">
        <v>1675</v>
      </c>
      <c r="H32" t="s">
        <v>1797</v>
      </c>
      <c r="I32">
        <v>0</v>
      </c>
      <c r="J32">
        <v>904.81</v>
      </c>
      <c r="K32">
        <f t="shared" si="0"/>
        <v>59.75</v>
      </c>
      <c r="L32">
        <f t="shared" si="1"/>
        <v>63.440000000000005</v>
      </c>
      <c r="M32">
        <f t="shared" si="2"/>
        <v>-3.6900000000000048</v>
      </c>
      <c r="N32">
        <v>7.32</v>
      </c>
      <c r="O32">
        <v>88.98</v>
      </c>
      <c r="P32">
        <v>67</v>
      </c>
      <c r="Q32">
        <v>17.600000000000001</v>
      </c>
      <c r="R32">
        <v>8.67</v>
      </c>
      <c r="S32">
        <v>13.69</v>
      </c>
      <c r="T32">
        <v>5.09</v>
      </c>
      <c r="U32">
        <v>6.1</v>
      </c>
      <c r="V32">
        <v>3534.81</v>
      </c>
      <c r="W32">
        <v>1044.97</v>
      </c>
      <c r="X32">
        <v>1186.3800000000001</v>
      </c>
      <c r="Y32">
        <v>734.32</v>
      </c>
      <c r="Z32">
        <v>5.65</v>
      </c>
      <c r="AA32">
        <v>1.54</v>
      </c>
      <c r="AB32">
        <v>4.53</v>
      </c>
      <c r="AC32">
        <v>63.01</v>
      </c>
      <c r="AD32">
        <v>680</v>
      </c>
      <c r="AE32">
        <v>5900</v>
      </c>
      <c r="AF32">
        <v>78.28</v>
      </c>
      <c r="AG32">
        <v>0.59</v>
      </c>
      <c r="AH32">
        <v>15.34</v>
      </c>
      <c r="AI32">
        <v>44.57</v>
      </c>
      <c r="AJ32">
        <v>60</v>
      </c>
      <c r="AK32">
        <v>9</v>
      </c>
      <c r="AL32">
        <v>9</v>
      </c>
      <c r="AM32">
        <v>0.7</v>
      </c>
      <c r="AN32">
        <v>408</v>
      </c>
      <c r="AO32">
        <v>414.34</v>
      </c>
      <c r="AP32">
        <v>349550.2</v>
      </c>
      <c r="AQ32">
        <v>205254.8</v>
      </c>
      <c r="AR32" t="s">
        <v>944</v>
      </c>
      <c r="AT32" s="6">
        <f t="shared" si="3"/>
        <v>8.2360388127853899</v>
      </c>
    </row>
    <row r="33" spans="1:46" x14ac:dyDescent="0.55000000000000004">
      <c r="A33">
        <v>19.170000000000002</v>
      </c>
      <c r="B33">
        <v>27.72</v>
      </c>
      <c r="C33">
        <v>5459.89</v>
      </c>
      <c r="D33">
        <v>7.61</v>
      </c>
      <c r="E33" t="s">
        <v>1190</v>
      </c>
      <c r="F33" t="s">
        <v>1439</v>
      </c>
      <c r="G33" t="s">
        <v>1670</v>
      </c>
      <c r="H33" t="s">
        <v>1798</v>
      </c>
      <c r="I33">
        <v>0</v>
      </c>
      <c r="J33">
        <v>904.19</v>
      </c>
      <c r="K33">
        <f t="shared" si="0"/>
        <v>60.59</v>
      </c>
      <c r="L33">
        <f t="shared" si="1"/>
        <v>66.37</v>
      </c>
      <c r="M33">
        <f t="shared" si="2"/>
        <v>-5.7800000000000011</v>
      </c>
      <c r="N33">
        <v>7.32</v>
      </c>
      <c r="O33">
        <v>89</v>
      </c>
      <c r="P33">
        <v>65</v>
      </c>
      <c r="Q33">
        <v>17.8</v>
      </c>
      <c r="R33">
        <v>8.5500000000000007</v>
      </c>
      <c r="S33">
        <v>13.63</v>
      </c>
      <c r="T33">
        <v>5.53</v>
      </c>
      <c r="U33">
        <v>6.04</v>
      </c>
      <c r="V33">
        <v>3494.33</v>
      </c>
      <c r="W33">
        <v>1033.31</v>
      </c>
      <c r="X33">
        <v>1175.1199999999999</v>
      </c>
      <c r="Y33">
        <v>726.64</v>
      </c>
      <c r="Z33">
        <v>5.48</v>
      </c>
      <c r="AA33">
        <v>1.54</v>
      </c>
      <c r="AB33">
        <v>4.54</v>
      </c>
      <c r="AC33">
        <v>60.72</v>
      </c>
      <c r="AD33">
        <v>680</v>
      </c>
      <c r="AE33">
        <v>5900</v>
      </c>
      <c r="AF33">
        <v>77.22</v>
      </c>
      <c r="AG33">
        <v>0.59</v>
      </c>
      <c r="AH33">
        <v>15.33</v>
      </c>
      <c r="AI33">
        <v>42.6</v>
      </c>
      <c r="AJ33">
        <v>60</v>
      </c>
      <c r="AK33">
        <v>9</v>
      </c>
      <c r="AL33">
        <v>9</v>
      </c>
      <c r="AM33">
        <v>0.74</v>
      </c>
      <c r="AN33">
        <v>408</v>
      </c>
      <c r="AO33">
        <v>414.64</v>
      </c>
      <c r="AP33">
        <v>335806.11</v>
      </c>
      <c r="AQ33">
        <v>215235.37</v>
      </c>
      <c r="AR33" t="s">
        <v>945</v>
      </c>
      <c r="AT33" s="6">
        <f t="shared" si="3"/>
        <v>6.8818915525114148</v>
      </c>
    </row>
    <row r="34" spans="1:46" x14ac:dyDescent="0.55000000000000004">
      <c r="A34">
        <v>19.04</v>
      </c>
      <c r="B34">
        <v>27.58</v>
      </c>
      <c r="C34">
        <v>5485.87</v>
      </c>
      <c r="D34">
        <v>7.6</v>
      </c>
      <c r="E34" t="s">
        <v>1191</v>
      </c>
      <c r="F34" t="s">
        <v>1440</v>
      </c>
      <c r="G34" t="s">
        <v>1676</v>
      </c>
      <c r="H34" t="s">
        <v>1799</v>
      </c>
      <c r="I34">
        <v>0</v>
      </c>
      <c r="J34">
        <v>879.77</v>
      </c>
      <c r="K34">
        <f t="shared" si="0"/>
        <v>58.11</v>
      </c>
      <c r="L34">
        <f t="shared" si="1"/>
        <v>64.75</v>
      </c>
      <c r="M34">
        <f t="shared" si="2"/>
        <v>-6.6400000000000006</v>
      </c>
      <c r="N34">
        <v>7.31</v>
      </c>
      <c r="O34">
        <v>89.08</v>
      </c>
      <c r="P34">
        <v>67</v>
      </c>
      <c r="Q34">
        <v>17.399999999999999</v>
      </c>
      <c r="R34">
        <v>8.5399999999999991</v>
      </c>
      <c r="S34">
        <v>13.5</v>
      </c>
      <c r="T34">
        <v>5.54</v>
      </c>
      <c r="U34">
        <v>6.24</v>
      </c>
      <c r="V34">
        <v>3510.96</v>
      </c>
      <c r="W34">
        <v>1038.99</v>
      </c>
      <c r="X34">
        <v>1189.03</v>
      </c>
      <c r="Y34">
        <v>732.17</v>
      </c>
      <c r="Z34">
        <v>5.38</v>
      </c>
      <c r="AA34">
        <v>1.53</v>
      </c>
      <c r="AB34">
        <v>4.53</v>
      </c>
      <c r="AC34">
        <v>60.67</v>
      </c>
      <c r="AD34">
        <v>680</v>
      </c>
      <c r="AE34">
        <v>5900</v>
      </c>
      <c r="AF34">
        <v>77.11</v>
      </c>
      <c r="AG34">
        <v>0.59</v>
      </c>
      <c r="AH34">
        <v>14.73</v>
      </c>
      <c r="AI34">
        <v>43.67</v>
      </c>
      <c r="AJ34">
        <v>60</v>
      </c>
      <c r="AK34">
        <v>9</v>
      </c>
      <c r="AL34">
        <v>9</v>
      </c>
      <c r="AM34">
        <v>0.72</v>
      </c>
      <c r="AN34">
        <v>408</v>
      </c>
      <c r="AO34">
        <v>414.48</v>
      </c>
      <c r="AP34">
        <v>320507.18</v>
      </c>
      <c r="AQ34">
        <v>207390.44</v>
      </c>
      <c r="AR34" t="s">
        <v>946</v>
      </c>
      <c r="AT34" s="6">
        <f t="shared" si="3"/>
        <v>6.4564349315068492</v>
      </c>
    </row>
    <row r="35" spans="1:46" x14ac:dyDescent="0.55000000000000004">
      <c r="A35">
        <v>18.53</v>
      </c>
      <c r="B35">
        <v>27.12</v>
      </c>
      <c r="C35">
        <v>5530.63</v>
      </c>
      <c r="D35">
        <v>7.6</v>
      </c>
      <c r="E35" t="s">
        <v>1192</v>
      </c>
      <c r="F35" t="s">
        <v>1441</v>
      </c>
      <c r="G35" t="s">
        <v>1676</v>
      </c>
      <c r="H35" t="s">
        <v>1800</v>
      </c>
      <c r="I35">
        <v>0</v>
      </c>
      <c r="J35">
        <v>866.34</v>
      </c>
      <c r="K35">
        <f t="shared" si="0"/>
        <v>57</v>
      </c>
      <c r="L35">
        <f t="shared" si="1"/>
        <v>63.010000000000005</v>
      </c>
      <c r="M35">
        <f t="shared" si="2"/>
        <v>-6.0100000000000051</v>
      </c>
      <c r="N35">
        <v>7.3</v>
      </c>
      <c r="O35">
        <v>88.92</v>
      </c>
      <c r="P35">
        <v>75</v>
      </c>
      <c r="Q35">
        <v>15.9</v>
      </c>
      <c r="R35">
        <v>8.59</v>
      </c>
      <c r="S35">
        <v>13.03</v>
      </c>
      <c r="T35">
        <v>5.51</v>
      </c>
      <c r="U35">
        <v>6.38</v>
      </c>
      <c r="V35">
        <v>3539.6</v>
      </c>
      <c r="W35">
        <v>1047.82</v>
      </c>
      <c r="X35">
        <v>1202.8699999999999</v>
      </c>
      <c r="Y35">
        <v>739.14</v>
      </c>
      <c r="Z35">
        <v>5.43</v>
      </c>
      <c r="AA35">
        <v>1.53</v>
      </c>
      <c r="AB35">
        <v>4.53</v>
      </c>
      <c r="AC35">
        <v>60.93</v>
      </c>
      <c r="AD35">
        <v>680</v>
      </c>
      <c r="AE35">
        <v>5900</v>
      </c>
      <c r="AF35">
        <v>77.52</v>
      </c>
      <c r="AG35">
        <v>0.59</v>
      </c>
      <c r="AH35">
        <v>14.4</v>
      </c>
      <c r="AI35">
        <v>44.87</v>
      </c>
      <c r="AJ35">
        <v>60</v>
      </c>
      <c r="AK35">
        <v>9</v>
      </c>
      <c r="AL35">
        <v>9</v>
      </c>
      <c r="AM35">
        <v>0.7</v>
      </c>
      <c r="AN35">
        <v>408</v>
      </c>
      <c r="AO35">
        <v>414.3</v>
      </c>
      <c r="AP35">
        <v>323185.23</v>
      </c>
      <c r="AQ35">
        <v>199664.34</v>
      </c>
      <c r="AR35" t="s">
        <v>947</v>
      </c>
      <c r="AT35" s="6">
        <f t="shared" si="3"/>
        <v>7.0502791095890398</v>
      </c>
    </row>
    <row r="36" spans="1:46" x14ac:dyDescent="0.55000000000000004">
      <c r="A36">
        <v>19.23</v>
      </c>
      <c r="B36">
        <v>27.81</v>
      </c>
      <c r="C36">
        <v>5489.04</v>
      </c>
      <c r="D36">
        <v>7.6</v>
      </c>
      <c r="E36" t="s">
        <v>1193</v>
      </c>
      <c r="F36" t="s">
        <v>1442</v>
      </c>
      <c r="G36" t="s">
        <v>1672</v>
      </c>
      <c r="H36" t="s">
        <v>1801</v>
      </c>
      <c r="I36">
        <v>0</v>
      </c>
      <c r="J36">
        <v>885.51</v>
      </c>
      <c r="K36">
        <f t="shared" si="0"/>
        <v>58.64</v>
      </c>
      <c r="L36">
        <f t="shared" si="1"/>
        <v>64.460000000000008</v>
      </c>
      <c r="M36">
        <f t="shared" si="2"/>
        <v>-5.8200000000000074</v>
      </c>
      <c r="N36">
        <v>7.31</v>
      </c>
      <c r="O36">
        <v>89.06</v>
      </c>
      <c r="P36">
        <v>68</v>
      </c>
      <c r="Q36">
        <v>17.399999999999999</v>
      </c>
      <c r="R36">
        <v>8.57</v>
      </c>
      <c r="S36">
        <v>13.62</v>
      </c>
      <c r="T36">
        <v>5.61</v>
      </c>
      <c r="U36">
        <v>6.2</v>
      </c>
      <c r="V36">
        <v>3512.99</v>
      </c>
      <c r="W36">
        <v>1039.43</v>
      </c>
      <c r="X36">
        <v>1187.8499999999999</v>
      </c>
      <c r="Y36">
        <v>732.14</v>
      </c>
      <c r="Z36">
        <v>5.46</v>
      </c>
      <c r="AA36">
        <v>1.53</v>
      </c>
      <c r="AB36">
        <v>4.53</v>
      </c>
      <c r="AC36">
        <v>60.44</v>
      </c>
      <c r="AD36">
        <v>680</v>
      </c>
      <c r="AE36">
        <v>5900</v>
      </c>
      <c r="AF36">
        <v>77.38</v>
      </c>
      <c r="AG36">
        <v>0.59</v>
      </c>
      <c r="AH36">
        <v>14.88</v>
      </c>
      <c r="AI36">
        <v>43.86</v>
      </c>
      <c r="AJ36">
        <v>60</v>
      </c>
      <c r="AK36">
        <v>9</v>
      </c>
      <c r="AL36">
        <v>9</v>
      </c>
      <c r="AM36">
        <v>0.72</v>
      </c>
      <c r="AN36">
        <v>408</v>
      </c>
      <c r="AO36">
        <v>414.45</v>
      </c>
      <c r="AP36">
        <v>329033.63</v>
      </c>
      <c r="AQ36">
        <v>206201.55</v>
      </c>
      <c r="AR36" t="s">
        <v>948</v>
      </c>
      <c r="AT36" s="6">
        <f t="shared" si="3"/>
        <v>7.010963470319636</v>
      </c>
    </row>
    <row r="37" spans="1:46" x14ac:dyDescent="0.55000000000000004">
      <c r="A37">
        <v>19.100000000000001</v>
      </c>
      <c r="B37">
        <v>27.68</v>
      </c>
      <c r="C37">
        <v>5453.65</v>
      </c>
      <c r="D37">
        <v>7.6</v>
      </c>
      <c r="E37" t="s">
        <v>1194</v>
      </c>
      <c r="F37" t="s">
        <v>1443</v>
      </c>
      <c r="G37" t="s">
        <v>1677</v>
      </c>
      <c r="H37" t="s">
        <v>1802</v>
      </c>
      <c r="I37">
        <v>0</v>
      </c>
      <c r="J37">
        <v>932.29</v>
      </c>
      <c r="K37">
        <f t="shared" si="0"/>
        <v>63.17</v>
      </c>
      <c r="L37">
        <f t="shared" si="1"/>
        <v>67.099999999999994</v>
      </c>
      <c r="M37">
        <f t="shared" si="2"/>
        <v>-3.9299999999999926</v>
      </c>
      <c r="N37">
        <v>7.35</v>
      </c>
      <c r="O37">
        <v>89</v>
      </c>
      <c r="P37">
        <v>61</v>
      </c>
      <c r="Q37">
        <v>18.2</v>
      </c>
      <c r="R37">
        <v>8.58</v>
      </c>
      <c r="S37">
        <v>13.51</v>
      </c>
      <c r="T37">
        <v>5.59</v>
      </c>
      <c r="U37">
        <v>5.85</v>
      </c>
      <c r="V37">
        <v>3490.34</v>
      </c>
      <c r="W37">
        <v>1031.57</v>
      </c>
      <c r="X37">
        <v>1166.72</v>
      </c>
      <c r="Y37">
        <v>724.18</v>
      </c>
      <c r="Z37">
        <v>5.65</v>
      </c>
      <c r="AA37">
        <v>1.52</v>
      </c>
      <c r="AB37">
        <v>4.55</v>
      </c>
      <c r="AC37">
        <v>60.56</v>
      </c>
      <c r="AD37">
        <v>680</v>
      </c>
      <c r="AE37">
        <v>5900</v>
      </c>
      <c r="AF37">
        <v>77.42</v>
      </c>
      <c r="AG37">
        <v>0.59</v>
      </c>
      <c r="AH37">
        <v>15.96</v>
      </c>
      <c r="AI37">
        <v>42.14</v>
      </c>
      <c r="AJ37">
        <v>60</v>
      </c>
      <c r="AK37">
        <v>9</v>
      </c>
      <c r="AL37">
        <v>9</v>
      </c>
      <c r="AM37">
        <v>0.75</v>
      </c>
      <c r="AN37">
        <v>408</v>
      </c>
      <c r="AO37">
        <v>414.71</v>
      </c>
      <c r="AP37">
        <v>357135.87</v>
      </c>
      <c r="AQ37">
        <v>218170.28</v>
      </c>
      <c r="AR37" t="s">
        <v>949</v>
      </c>
      <c r="AT37" s="6">
        <f t="shared" si="3"/>
        <v>7.931825913242009</v>
      </c>
    </row>
    <row r="38" spans="1:46" x14ac:dyDescent="0.55000000000000004">
      <c r="A38">
        <v>18.5</v>
      </c>
      <c r="B38">
        <v>27.09</v>
      </c>
      <c r="C38">
        <v>5533.86</v>
      </c>
      <c r="D38">
        <v>7.6</v>
      </c>
      <c r="E38" t="s">
        <v>1195</v>
      </c>
      <c r="F38" t="s">
        <v>1444</v>
      </c>
      <c r="G38" t="s">
        <v>1678</v>
      </c>
      <c r="H38" t="s">
        <v>1803</v>
      </c>
      <c r="I38">
        <v>0</v>
      </c>
      <c r="J38">
        <v>864.1</v>
      </c>
      <c r="K38">
        <f t="shared" si="0"/>
        <v>57.28</v>
      </c>
      <c r="L38">
        <f t="shared" si="1"/>
        <v>62.099999999999994</v>
      </c>
      <c r="M38">
        <f t="shared" si="2"/>
        <v>-4.8199999999999932</v>
      </c>
      <c r="N38">
        <v>7.3</v>
      </c>
      <c r="O38">
        <v>88.98</v>
      </c>
      <c r="P38">
        <v>70</v>
      </c>
      <c r="Q38">
        <v>16.5</v>
      </c>
      <c r="R38">
        <v>8.58</v>
      </c>
      <c r="S38">
        <v>13.02</v>
      </c>
      <c r="T38">
        <v>5.48</v>
      </c>
      <c r="U38">
        <v>6.4</v>
      </c>
      <c r="V38">
        <v>3541.67</v>
      </c>
      <c r="W38">
        <v>1048.76</v>
      </c>
      <c r="X38">
        <v>1206.25</v>
      </c>
      <c r="Y38">
        <v>740.37</v>
      </c>
      <c r="Z38">
        <v>5.53</v>
      </c>
      <c r="AA38">
        <v>1.53</v>
      </c>
      <c r="AB38">
        <v>4.54</v>
      </c>
      <c r="AC38">
        <v>61.01</v>
      </c>
      <c r="AD38">
        <v>680</v>
      </c>
      <c r="AE38">
        <v>5900</v>
      </c>
      <c r="AF38">
        <v>77.459999999999994</v>
      </c>
      <c r="AG38">
        <v>0.59</v>
      </c>
      <c r="AH38">
        <v>14.33</v>
      </c>
      <c r="AI38">
        <v>45.53</v>
      </c>
      <c r="AJ38">
        <v>60</v>
      </c>
      <c r="AK38">
        <v>9</v>
      </c>
      <c r="AL38">
        <v>9</v>
      </c>
      <c r="AM38">
        <v>0.69</v>
      </c>
      <c r="AN38">
        <v>408</v>
      </c>
      <c r="AO38">
        <v>414.21</v>
      </c>
      <c r="AP38">
        <v>334641.45</v>
      </c>
      <c r="AQ38">
        <v>193523.35</v>
      </c>
      <c r="AR38" t="s">
        <v>950</v>
      </c>
      <c r="AT38" s="6">
        <f t="shared" si="3"/>
        <v>8.0546860730593615</v>
      </c>
    </row>
    <row r="39" spans="1:46" x14ac:dyDescent="0.55000000000000004">
      <c r="A39">
        <v>19.07</v>
      </c>
      <c r="B39">
        <v>27.74</v>
      </c>
      <c r="C39">
        <v>5507.38</v>
      </c>
      <c r="D39">
        <v>7.61</v>
      </c>
      <c r="E39" t="s">
        <v>1196</v>
      </c>
      <c r="F39" t="s">
        <v>1445</v>
      </c>
      <c r="G39" t="s">
        <v>565</v>
      </c>
      <c r="H39" t="s">
        <v>1804</v>
      </c>
      <c r="I39">
        <v>0</v>
      </c>
      <c r="J39">
        <v>911.28</v>
      </c>
      <c r="K39">
        <f t="shared" si="0"/>
        <v>60.970000000000006</v>
      </c>
      <c r="L39">
        <f t="shared" si="1"/>
        <v>61.83</v>
      </c>
      <c r="M39">
        <f t="shared" si="2"/>
        <v>-0.85999999999999233</v>
      </c>
      <c r="N39">
        <v>7.33</v>
      </c>
      <c r="O39">
        <v>89.08</v>
      </c>
      <c r="P39">
        <v>65</v>
      </c>
      <c r="Q39">
        <v>17.600000000000001</v>
      </c>
      <c r="R39">
        <v>8.67</v>
      </c>
      <c r="S39">
        <v>13.45</v>
      </c>
      <c r="T39">
        <v>5.62</v>
      </c>
      <c r="U39">
        <v>6.04</v>
      </c>
      <c r="V39">
        <v>3524.72</v>
      </c>
      <c r="W39">
        <v>1042.1400000000001</v>
      </c>
      <c r="X39">
        <v>1183.3699999999999</v>
      </c>
      <c r="Y39">
        <v>732.49</v>
      </c>
      <c r="Z39">
        <v>7.4</v>
      </c>
      <c r="AA39">
        <v>1.54</v>
      </c>
      <c r="AB39">
        <v>4.53</v>
      </c>
      <c r="AC39">
        <v>60.69</v>
      </c>
      <c r="AD39">
        <v>680</v>
      </c>
      <c r="AE39">
        <v>5900</v>
      </c>
      <c r="AF39">
        <v>78.260000000000005</v>
      </c>
      <c r="AG39">
        <v>0.59</v>
      </c>
      <c r="AH39">
        <v>15.52</v>
      </c>
      <c r="AI39">
        <v>57.16</v>
      </c>
      <c r="AJ39">
        <v>60</v>
      </c>
      <c r="AK39">
        <v>9</v>
      </c>
      <c r="AL39">
        <v>9</v>
      </c>
      <c r="AM39">
        <v>0.55000000000000004</v>
      </c>
      <c r="AN39">
        <v>408</v>
      </c>
      <c r="AO39">
        <v>412.95</v>
      </c>
      <c r="AP39">
        <v>356472.37</v>
      </c>
      <c r="AQ39">
        <v>294928.74</v>
      </c>
      <c r="AR39" t="s">
        <v>951</v>
      </c>
      <c r="AT39" s="6">
        <f t="shared" si="3"/>
        <v>3.512764269406393</v>
      </c>
    </row>
    <row r="40" spans="1:46" x14ac:dyDescent="0.55000000000000004">
      <c r="A40">
        <v>18.559999999999999</v>
      </c>
      <c r="B40">
        <v>27.25</v>
      </c>
      <c r="C40">
        <v>5518.87</v>
      </c>
      <c r="D40">
        <v>7.59</v>
      </c>
      <c r="E40" t="s">
        <v>1197</v>
      </c>
      <c r="F40" t="s">
        <v>1446</v>
      </c>
      <c r="G40" t="s">
        <v>568</v>
      </c>
      <c r="H40" t="s">
        <v>1805</v>
      </c>
      <c r="I40">
        <v>0</v>
      </c>
      <c r="J40">
        <v>832.83</v>
      </c>
      <c r="K40">
        <f t="shared" si="0"/>
        <v>54.18</v>
      </c>
      <c r="L40">
        <f t="shared" si="1"/>
        <v>54.18</v>
      </c>
      <c r="M40">
        <f t="shared" si="2"/>
        <v>0</v>
      </c>
      <c r="N40">
        <v>7.27</v>
      </c>
      <c r="O40">
        <v>89.04</v>
      </c>
      <c r="P40">
        <v>75</v>
      </c>
      <c r="Q40">
        <v>15.9</v>
      </c>
      <c r="R40">
        <v>8.69</v>
      </c>
      <c r="S40">
        <v>13.03</v>
      </c>
      <c r="T40">
        <v>5.53</v>
      </c>
      <c r="U40">
        <v>6.63</v>
      </c>
      <c r="V40">
        <v>3532.08</v>
      </c>
      <c r="W40">
        <v>1046.32</v>
      </c>
      <c r="X40">
        <v>1209.78</v>
      </c>
      <c r="Y40">
        <v>739.7</v>
      </c>
      <c r="Z40">
        <v>13.16</v>
      </c>
      <c r="AA40">
        <v>1.53</v>
      </c>
      <c r="AB40">
        <v>4.54</v>
      </c>
      <c r="AC40">
        <v>61.11</v>
      </c>
      <c r="AD40">
        <v>680</v>
      </c>
      <c r="AE40">
        <v>5900</v>
      </c>
      <c r="AF40">
        <v>78.47</v>
      </c>
      <c r="AG40">
        <v>0.59</v>
      </c>
      <c r="AH40">
        <v>13.95</v>
      </c>
      <c r="AI40">
        <v>114.45</v>
      </c>
      <c r="AJ40">
        <v>60</v>
      </c>
      <c r="AK40">
        <v>9</v>
      </c>
      <c r="AL40">
        <v>9</v>
      </c>
      <c r="AM40">
        <v>0.27</v>
      </c>
      <c r="AN40">
        <v>408</v>
      </c>
      <c r="AO40">
        <v>410.47</v>
      </c>
      <c r="AP40">
        <v>317214.07</v>
      </c>
      <c r="AQ40">
        <v>317214.07</v>
      </c>
      <c r="AR40" t="s">
        <v>952</v>
      </c>
      <c r="AT40" s="6">
        <f t="shared" si="3"/>
        <v>0</v>
      </c>
    </row>
    <row r="41" spans="1:46" x14ac:dyDescent="0.55000000000000004">
      <c r="A41">
        <v>19.03</v>
      </c>
      <c r="B41">
        <v>27.71</v>
      </c>
      <c r="C41">
        <v>5516.75</v>
      </c>
      <c r="D41">
        <v>7.6</v>
      </c>
      <c r="E41" t="s">
        <v>1198</v>
      </c>
      <c r="F41" t="s">
        <v>1447</v>
      </c>
      <c r="G41" t="s">
        <v>1679</v>
      </c>
      <c r="H41" t="s">
        <v>1806</v>
      </c>
      <c r="I41">
        <v>0</v>
      </c>
      <c r="J41">
        <v>910.4</v>
      </c>
      <c r="K41">
        <f t="shared" si="0"/>
        <v>60.97</v>
      </c>
      <c r="L41">
        <f t="shared" si="1"/>
        <v>64.09</v>
      </c>
      <c r="M41">
        <f t="shared" si="2"/>
        <v>-3.1200000000000045</v>
      </c>
      <c r="N41">
        <v>7.33</v>
      </c>
      <c r="O41">
        <v>88.97</v>
      </c>
      <c r="P41">
        <v>65</v>
      </c>
      <c r="Q41">
        <v>17.899999999999999</v>
      </c>
      <c r="R41">
        <v>8.68</v>
      </c>
      <c r="S41">
        <v>13.73</v>
      </c>
      <c r="T41">
        <v>5.31</v>
      </c>
      <c r="U41">
        <v>6.06</v>
      </c>
      <c r="V41">
        <v>3530.72</v>
      </c>
      <c r="W41">
        <v>1044.1400000000001</v>
      </c>
      <c r="X41">
        <v>1187.17</v>
      </c>
      <c r="Y41">
        <v>734.29</v>
      </c>
      <c r="Z41">
        <v>5.71</v>
      </c>
      <c r="AA41">
        <v>1.53</v>
      </c>
      <c r="AB41">
        <v>4.53</v>
      </c>
      <c r="AC41">
        <v>62.06</v>
      </c>
      <c r="AD41">
        <v>680</v>
      </c>
      <c r="AE41">
        <v>5900</v>
      </c>
      <c r="AF41">
        <v>78.36</v>
      </c>
      <c r="AG41">
        <v>0.59</v>
      </c>
      <c r="AH41">
        <v>15.49</v>
      </c>
      <c r="AI41">
        <v>44.12</v>
      </c>
      <c r="AJ41">
        <v>60</v>
      </c>
      <c r="AK41">
        <v>9</v>
      </c>
      <c r="AL41">
        <v>9</v>
      </c>
      <c r="AM41">
        <v>0.71</v>
      </c>
      <c r="AN41">
        <v>408</v>
      </c>
      <c r="AO41">
        <v>414.41</v>
      </c>
      <c r="AP41">
        <v>357619.08</v>
      </c>
      <c r="AQ41">
        <v>204120.05</v>
      </c>
      <c r="AR41" t="s">
        <v>953</v>
      </c>
      <c r="AT41" s="6">
        <f t="shared" si="3"/>
        <v>8.7613601598173538</v>
      </c>
    </row>
    <row r="42" spans="1:46" x14ac:dyDescent="0.55000000000000004">
      <c r="A42">
        <v>19.12</v>
      </c>
      <c r="B42">
        <v>27.85</v>
      </c>
      <c r="C42">
        <v>5490.52</v>
      </c>
      <c r="D42">
        <v>7.61</v>
      </c>
      <c r="E42" t="s">
        <v>1199</v>
      </c>
      <c r="F42" t="s">
        <v>1448</v>
      </c>
      <c r="G42" t="s">
        <v>1679</v>
      </c>
      <c r="H42" t="s">
        <v>1807</v>
      </c>
      <c r="I42">
        <v>0</v>
      </c>
      <c r="J42">
        <v>899.75</v>
      </c>
      <c r="K42">
        <f t="shared" si="0"/>
        <v>60.31</v>
      </c>
      <c r="L42">
        <f t="shared" si="1"/>
        <v>63.7</v>
      </c>
      <c r="M42">
        <f t="shared" si="2"/>
        <v>-3.3900000000000006</v>
      </c>
      <c r="N42">
        <v>7.32</v>
      </c>
      <c r="O42">
        <v>89.12</v>
      </c>
      <c r="P42">
        <v>61</v>
      </c>
      <c r="Q42">
        <v>18.100000000000001</v>
      </c>
      <c r="R42">
        <v>8.7200000000000006</v>
      </c>
      <c r="S42">
        <v>13.42</v>
      </c>
      <c r="T42">
        <v>5.7</v>
      </c>
      <c r="U42">
        <v>6.1</v>
      </c>
      <c r="V42">
        <v>3513.93</v>
      </c>
      <c r="W42">
        <v>1039.3599999999999</v>
      </c>
      <c r="X42">
        <v>1184.05</v>
      </c>
      <c r="Y42">
        <v>731.36</v>
      </c>
      <c r="Z42">
        <v>5.68</v>
      </c>
      <c r="AA42">
        <v>1.54</v>
      </c>
      <c r="AB42">
        <v>4.53</v>
      </c>
      <c r="AC42">
        <v>60.48</v>
      </c>
      <c r="AD42">
        <v>680</v>
      </c>
      <c r="AE42">
        <v>5900</v>
      </c>
      <c r="AF42">
        <v>78.760000000000005</v>
      </c>
      <c r="AG42">
        <v>0.59</v>
      </c>
      <c r="AH42">
        <v>15.44</v>
      </c>
      <c r="AI42">
        <v>44.39</v>
      </c>
      <c r="AJ42">
        <v>60</v>
      </c>
      <c r="AK42">
        <v>9</v>
      </c>
      <c r="AL42">
        <v>9</v>
      </c>
      <c r="AM42">
        <v>0.71</v>
      </c>
      <c r="AN42">
        <v>408</v>
      </c>
      <c r="AO42">
        <v>414.37</v>
      </c>
      <c r="AP42">
        <v>355300.19</v>
      </c>
      <c r="AQ42">
        <v>202377.74</v>
      </c>
      <c r="AR42" t="s">
        <v>954</v>
      </c>
      <c r="AT42" s="6">
        <f t="shared" si="3"/>
        <v>8.728450342465754</v>
      </c>
    </row>
    <row r="43" spans="1:46" x14ac:dyDescent="0.55000000000000004">
      <c r="A43">
        <v>18.77</v>
      </c>
      <c r="B43">
        <v>27.49</v>
      </c>
      <c r="C43">
        <v>5505.78</v>
      </c>
      <c r="D43">
        <v>7.6</v>
      </c>
      <c r="E43" t="s">
        <v>1200</v>
      </c>
      <c r="F43" t="s">
        <v>1449</v>
      </c>
      <c r="G43" t="s">
        <v>1680</v>
      </c>
      <c r="H43" t="s">
        <v>1808</v>
      </c>
      <c r="I43">
        <v>0</v>
      </c>
      <c r="J43">
        <v>959.61</v>
      </c>
      <c r="K43">
        <f t="shared" si="0"/>
        <v>65.739999999999995</v>
      </c>
      <c r="L43">
        <f t="shared" si="1"/>
        <v>70.3</v>
      </c>
      <c r="M43">
        <f t="shared" si="2"/>
        <v>-4.5600000000000023</v>
      </c>
      <c r="N43">
        <v>7.36</v>
      </c>
      <c r="O43">
        <v>88.8</v>
      </c>
      <c r="P43">
        <v>61</v>
      </c>
      <c r="Q43">
        <v>17.7</v>
      </c>
      <c r="R43">
        <v>8.7200000000000006</v>
      </c>
      <c r="S43">
        <v>13.06</v>
      </c>
      <c r="T43">
        <v>5.71</v>
      </c>
      <c r="U43">
        <v>5.74</v>
      </c>
      <c r="V43">
        <v>3523.7</v>
      </c>
      <c r="W43">
        <v>1040.69</v>
      </c>
      <c r="X43">
        <v>1169.77</v>
      </c>
      <c r="Y43">
        <v>729.09</v>
      </c>
      <c r="Z43">
        <v>5.61</v>
      </c>
      <c r="AA43">
        <v>1.52</v>
      </c>
      <c r="AB43">
        <v>4.5599999999999996</v>
      </c>
      <c r="AC43">
        <v>60.43</v>
      </c>
      <c r="AD43">
        <v>680</v>
      </c>
      <c r="AE43">
        <v>5900</v>
      </c>
      <c r="AF43">
        <v>78.709999999999994</v>
      </c>
      <c r="AG43">
        <v>0.59</v>
      </c>
      <c r="AH43">
        <v>16.61</v>
      </c>
      <c r="AI43">
        <v>40.22</v>
      </c>
      <c r="AJ43">
        <v>60</v>
      </c>
      <c r="AK43">
        <v>9</v>
      </c>
      <c r="AL43">
        <v>9</v>
      </c>
      <c r="AM43">
        <v>0.78</v>
      </c>
      <c r="AN43">
        <v>408</v>
      </c>
      <c r="AO43">
        <v>415.03</v>
      </c>
      <c r="AP43">
        <v>357709.5</v>
      </c>
      <c r="AQ43">
        <v>233774.34</v>
      </c>
      <c r="AR43" t="s">
        <v>955</v>
      </c>
      <c r="AT43" s="6">
        <f t="shared" si="3"/>
        <v>7.0739246575342465</v>
      </c>
    </row>
    <row r="44" spans="1:46" x14ac:dyDescent="0.55000000000000004">
      <c r="A44">
        <v>19.03</v>
      </c>
      <c r="B44">
        <v>27.72</v>
      </c>
      <c r="C44">
        <v>5493.71</v>
      </c>
      <c r="D44">
        <v>7.6</v>
      </c>
      <c r="E44" t="s">
        <v>1201</v>
      </c>
      <c r="F44" t="s">
        <v>1450</v>
      </c>
      <c r="G44" t="s">
        <v>1681</v>
      </c>
      <c r="H44" t="s">
        <v>1809</v>
      </c>
      <c r="I44">
        <v>0</v>
      </c>
      <c r="J44">
        <v>935.97</v>
      </c>
      <c r="K44">
        <f t="shared" si="0"/>
        <v>63.900000000000006</v>
      </c>
      <c r="L44">
        <f t="shared" si="1"/>
        <v>67.489999999999995</v>
      </c>
      <c r="M44">
        <f t="shared" si="2"/>
        <v>-3.5899999999999892</v>
      </c>
      <c r="N44">
        <v>7.35</v>
      </c>
      <c r="O44">
        <v>88.99</v>
      </c>
      <c r="P44">
        <v>55</v>
      </c>
      <c r="Q44">
        <v>18.8</v>
      </c>
      <c r="R44">
        <v>8.69</v>
      </c>
      <c r="S44">
        <v>13.31</v>
      </c>
      <c r="T44">
        <v>5.72</v>
      </c>
      <c r="U44">
        <v>5.87</v>
      </c>
      <c r="V44">
        <v>3515.97</v>
      </c>
      <c r="W44">
        <v>1039.21</v>
      </c>
      <c r="X44">
        <v>1175.3900000000001</v>
      </c>
      <c r="Y44">
        <v>729.61</v>
      </c>
      <c r="Z44">
        <v>5.68</v>
      </c>
      <c r="AA44">
        <v>1.53</v>
      </c>
      <c r="AB44">
        <v>4.54</v>
      </c>
      <c r="AC44">
        <v>60.32</v>
      </c>
      <c r="AD44">
        <v>680</v>
      </c>
      <c r="AE44">
        <v>5900</v>
      </c>
      <c r="AF44">
        <v>78.489999999999995</v>
      </c>
      <c r="AG44">
        <v>0.59</v>
      </c>
      <c r="AH44">
        <v>16.12</v>
      </c>
      <c r="AI44">
        <v>41.9</v>
      </c>
      <c r="AJ44">
        <v>60</v>
      </c>
      <c r="AK44">
        <v>9</v>
      </c>
      <c r="AL44">
        <v>9</v>
      </c>
      <c r="AM44">
        <v>0.75</v>
      </c>
      <c r="AN44">
        <v>408</v>
      </c>
      <c r="AO44">
        <v>414.75</v>
      </c>
      <c r="AP44">
        <v>362360.12</v>
      </c>
      <c r="AQ44">
        <v>218470.9</v>
      </c>
      <c r="AR44" t="s">
        <v>956</v>
      </c>
      <c r="AT44" s="6">
        <f t="shared" si="3"/>
        <v>8.2128550228310502</v>
      </c>
    </row>
    <row r="45" spans="1:46" x14ac:dyDescent="0.55000000000000004">
      <c r="A45">
        <v>19.18</v>
      </c>
      <c r="B45">
        <v>27.89</v>
      </c>
      <c r="C45">
        <v>5487.73</v>
      </c>
      <c r="D45">
        <v>7.6</v>
      </c>
      <c r="E45" t="s">
        <v>1202</v>
      </c>
      <c r="F45" t="s">
        <v>1451</v>
      </c>
      <c r="G45" t="s">
        <v>1670</v>
      </c>
      <c r="H45" t="s">
        <v>1810</v>
      </c>
      <c r="I45">
        <v>0</v>
      </c>
      <c r="J45">
        <v>963.07</v>
      </c>
      <c r="K45">
        <f t="shared" si="0"/>
        <v>66.03</v>
      </c>
      <c r="L45">
        <f t="shared" si="1"/>
        <v>70.399999999999991</v>
      </c>
      <c r="M45">
        <f t="shared" si="2"/>
        <v>-4.3699999999999903</v>
      </c>
      <c r="N45">
        <v>7.37</v>
      </c>
      <c r="O45">
        <v>89.04</v>
      </c>
      <c r="P45">
        <v>63</v>
      </c>
      <c r="Q45">
        <v>18</v>
      </c>
      <c r="R45">
        <v>8.7100000000000009</v>
      </c>
      <c r="S45">
        <v>13.58</v>
      </c>
      <c r="T45">
        <v>5.6</v>
      </c>
      <c r="U45">
        <v>5.7</v>
      </c>
      <c r="V45">
        <v>3512.14</v>
      </c>
      <c r="W45">
        <v>1037.4100000000001</v>
      </c>
      <c r="X45">
        <v>1166.5</v>
      </c>
      <c r="Y45">
        <v>726.95</v>
      </c>
      <c r="Z45">
        <v>5.63</v>
      </c>
      <c r="AA45">
        <v>1.53</v>
      </c>
      <c r="AB45">
        <v>4.55</v>
      </c>
      <c r="AC45">
        <v>60.87</v>
      </c>
      <c r="AD45">
        <v>680</v>
      </c>
      <c r="AE45">
        <v>5900</v>
      </c>
      <c r="AF45">
        <v>78.650000000000006</v>
      </c>
      <c r="AG45">
        <v>0.59</v>
      </c>
      <c r="AH45">
        <v>16.739999999999998</v>
      </c>
      <c r="AI45">
        <v>40.159999999999997</v>
      </c>
      <c r="AJ45">
        <v>60</v>
      </c>
      <c r="AK45">
        <v>9</v>
      </c>
      <c r="AL45">
        <v>9</v>
      </c>
      <c r="AM45">
        <v>0.78</v>
      </c>
      <c r="AN45">
        <v>408</v>
      </c>
      <c r="AO45">
        <v>415.04</v>
      </c>
      <c r="AP45">
        <v>358589.33</v>
      </c>
      <c r="AQ45">
        <v>232927.68</v>
      </c>
      <c r="AR45" t="s">
        <v>957</v>
      </c>
      <c r="AT45" s="6">
        <f t="shared" si="3"/>
        <v>7.1724686073059374</v>
      </c>
    </row>
    <row r="46" spans="1:46" x14ac:dyDescent="0.55000000000000004">
      <c r="A46">
        <v>18.399999999999999</v>
      </c>
      <c r="B46">
        <v>26.64</v>
      </c>
      <c r="C46">
        <v>5512.77</v>
      </c>
      <c r="D46">
        <v>7.6</v>
      </c>
      <c r="E46" t="s">
        <v>1203</v>
      </c>
      <c r="F46" t="s">
        <v>1452</v>
      </c>
      <c r="G46" t="s">
        <v>1681</v>
      </c>
      <c r="H46" t="s">
        <v>1811</v>
      </c>
      <c r="I46">
        <v>0</v>
      </c>
      <c r="J46">
        <v>901</v>
      </c>
      <c r="K46">
        <f t="shared" si="0"/>
        <v>60.239999999999995</v>
      </c>
      <c r="L46">
        <f t="shared" si="1"/>
        <v>62.08</v>
      </c>
      <c r="M46">
        <f t="shared" si="2"/>
        <v>-1.8400000000000034</v>
      </c>
      <c r="N46">
        <v>7.32</v>
      </c>
      <c r="O46">
        <v>89.02</v>
      </c>
      <c r="P46">
        <v>74</v>
      </c>
      <c r="Q46">
        <v>15.3</v>
      </c>
      <c r="R46">
        <v>8.25</v>
      </c>
      <c r="S46">
        <v>12.35</v>
      </c>
      <c r="T46">
        <v>6.05</v>
      </c>
      <c r="U46">
        <v>6.12</v>
      </c>
      <c r="V46">
        <v>3528.18</v>
      </c>
      <c r="W46">
        <v>1043.67</v>
      </c>
      <c r="X46">
        <v>1189.4100000000001</v>
      </c>
      <c r="Y46">
        <v>734.53</v>
      </c>
      <c r="Z46">
        <v>5.82</v>
      </c>
      <c r="AA46">
        <v>1.52</v>
      </c>
      <c r="AB46">
        <v>4.5599999999999996</v>
      </c>
      <c r="AC46">
        <v>57.69</v>
      </c>
      <c r="AD46">
        <v>680</v>
      </c>
      <c r="AE46">
        <v>5900</v>
      </c>
      <c r="AF46">
        <v>74.45</v>
      </c>
      <c r="AG46">
        <v>0.59</v>
      </c>
      <c r="AH46">
        <v>14.55</v>
      </c>
      <c r="AI46">
        <v>45.55</v>
      </c>
      <c r="AJ46">
        <v>60</v>
      </c>
      <c r="AK46">
        <v>9</v>
      </c>
      <c r="AL46">
        <v>9</v>
      </c>
      <c r="AM46">
        <v>0.69</v>
      </c>
      <c r="AN46">
        <v>408</v>
      </c>
      <c r="AO46">
        <v>414.21</v>
      </c>
      <c r="AP46">
        <v>366925.44</v>
      </c>
      <c r="AQ46">
        <v>194699.86</v>
      </c>
      <c r="AR46" t="s">
        <v>958</v>
      </c>
      <c r="AT46" s="6">
        <f t="shared" si="3"/>
        <v>9.8302271689497722</v>
      </c>
    </row>
    <row r="47" spans="1:46" x14ac:dyDescent="0.55000000000000004">
      <c r="A47">
        <v>18.489999999999998</v>
      </c>
      <c r="B47">
        <v>26.74</v>
      </c>
      <c r="C47">
        <v>5518.09</v>
      </c>
      <c r="D47">
        <v>7.6</v>
      </c>
      <c r="E47" t="s">
        <v>1204</v>
      </c>
      <c r="F47" t="s">
        <v>1453</v>
      </c>
      <c r="G47" t="s">
        <v>1668</v>
      </c>
      <c r="H47" t="s">
        <v>1812</v>
      </c>
      <c r="I47">
        <v>0</v>
      </c>
      <c r="J47">
        <v>904.62</v>
      </c>
      <c r="K47">
        <f t="shared" si="0"/>
        <v>60.230000000000004</v>
      </c>
      <c r="L47">
        <f t="shared" si="1"/>
        <v>62.56</v>
      </c>
      <c r="M47">
        <f t="shared" si="2"/>
        <v>-2.3299999999999983</v>
      </c>
      <c r="N47">
        <v>7.32</v>
      </c>
      <c r="O47">
        <v>89.01</v>
      </c>
      <c r="P47">
        <v>70</v>
      </c>
      <c r="Q47">
        <v>16.100000000000001</v>
      </c>
      <c r="R47">
        <v>8.25</v>
      </c>
      <c r="S47">
        <v>12.65</v>
      </c>
      <c r="T47">
        <v>5.84</v>
      </c>
      <c r="U47">
        <v>6.1</v>
      </c>
      <c r="V47">
        <v>3531.58</v>
      </c>
      <c r="W47">
        <v>1044.32</v>
      </c>
      <c r="X47">
        <v>1187.53</v>
      </c>
      <c r="Y47">
        <v>734.36</v>
      </c>
      <c r="Z47">
        <v>5.78</v>
      </c>
      <c r="AA47">
        <v>1.52</v>
      </c>
      <c r="AB47">
        <v>4.55</v>
      </c>
      <c r="AC47">
        <v>58.52</v>
      </c>
      <c r="AD47">
        <v>680</v>
      </c>
      <c r="AE47">
        <v>5900</v>
      </c>
      <c r="AF47">
        <v>74.44</v>
      </c>
      <c r="AG47">
        <v>0.59</v>
      </c>
      <c r="AH47">
        <v>14.6</v>
      </c>
      <c r="AI47">
        <v>45.19</v>
      </c>
      <c r="AJ47">
        <v>60</v>
      </c>
      <c r="AK47">
        <v>9</v>
      </c>
      <c r="AL47">
        <v>9</v>
      </c>
      <c r="AM47">
        <v>0.7</v>
      </c>
      <c r="AN47">
        <v>408</v>
      </c>
      <c r="AO47">
        <v>414.26</v>
      </c>
      <c r="AP47">
        <v>362748.93</v>
      </c>
      <c r="AQ47">
        <v>198976.92</v>
      </c>
      <c r="AR47" t="s">
        <v>959</v>
      </c>
      <c r="AT47" s="6">
        <f t="shared" si="3"/>
        <v>9.3477174657534228</v>
      </c>
    </row>
    <row r="48" spans="1:46" x14ac:dyDescent="0.55000000000000004">
      <c r="A48">
        <v>19.14</v>
      </c>
      <c r="B48">
        <v>27.83</v>
      </c>
      <c r="C48">
        <v>5490.09</v>
      </c>
      <c r="D48">
        <v>7.6</v>
      </c>
      <c r="E48" t="s">
        <v>1205</v>
      </c>
      <c r="F48" t="s">
        <v>1454</v>
      </c>
      <c r="G48" t="s">
        <v>1656</v>
      </c>
      <c r="H48" t="s">
        <v>1813</v>
      </c>
      <c r="I48">
        <v>0</v>
      </c>
      <c r="J48">
        <v>970.42</v>
      </c>
      <c r="K48">
        <f t="shared" si="0"/>
        <v>67.38000000000001</v>
      </c>
      <c r="L48">
        <f t="shared" si="1"/>
        <v>71.83</v>
      </c>
      <c r="M48">
        <f t="shared" si="2"/>
        <v>-4.4499999999999886</v>
      </c>
      <c r="N48">
        <v>7.37</v>
      </c>
      <c r="O48">
        <v>88.93</v>
      </c>
      <c r="P48">
        <v>58</v>
      </c>
      <c r="Q48">
        <v>18.600000000000001</v>
      </c>
      <c r="R48">
        <v>8.69</v>
      </c>
      <c r="S48">
        <v>13.5</v>
      </c>
      <c r="T48">
        <v>5.64</v>
      </c>
      <c r="U48">
        <v>5.66</v>
      </c>
      <c r="V48">
        <v>3513.66</v>
      </c>
      <c r="W48">
        <v>1037.67</v>
      </c>
      <c r="X48">
        <v>1164.97</v>
      </c>
      <c r="Y48">
        <v>726.77</v>
      </c>
      <c r="Z48">
        <v>5.63</v>
      </c>
      <c r="AA48">
        <v>1.53</v>
      </c>
      <c r="AB48">
        <v>4.55</v>
      </c>
      <c r="AC48">
        <v>60.66</v>
      </c>
      <c r="AD48">
        <v>680</v>
      </c>
      <c r="AE48">
        <v>5900</v>
      </c>
      <c r="AF48">
        <v>78.44</v>
      </c>
      <c r="AG48">
        <v>0.59</v>
      </c>
      <c r="AH48">
        <v>16.84</v>
      </c>
      <c r="AI48">
        <v>39.36</v>
      </c>
      <c r="AJ48">
        <v>60</v>
      </c>
      <c r="AK48">
        <v>9</v>
      </c>
      <c r="AL48">
        <v>9</v>
      </c>
      <c r="AM48">
        <v>0.8</v>
      </c>
      <c r="AN48">
        <v>408</v>
      </c>
      <c r="AO48">
        <v>415.18</v>
      </c>
      <c r="AP48">
        <v>363290.21</v>
      </c>
      <c r="AQ48">
        <v>238854.08</v>
      </c>
      <c r="AR48" t="s">
        <v>960</v>
      </c>
      <c r="AT48" s="6">
        <f t="shared" si="3"/>
        <v>7.1025188356164399</v>
      </c>
    </row>
    <row r="49" spans="1:46" x14ac:dyDescent="0.55000000000000004">
      <c r="A49">
        <v>19.04</v>
      </c>
      <c r="B49">
        <v>27.28</v>
      </c>
      <c r="C49">
        <v>5491.06</v>
      </c>
      <c r="D49">
        <v>7.6</v>
      </c>
      <c r="E49" t="s">
        <v>1206</v>
      </c>
      <c r="F49" t="s">
        <v>1455</v>
      </c>
      <c r="G49" t="s">
        <v>1670</v>
      </c>
      <c r="H49" t="s">
        <v>1814</v>
      </c>
      <c r="I49">
        <v>0</v>
      </c>
      <c r="J49">
        <v>855.03</v>
      </c>
      <c r="K49">
        <f t="shared" si="0"/>
        <v>56.08</v>
      </c>
      <c r="L49">
        <f t="shared" si="1"/>
        <v>58.91</v>
      </c>
      <c r="M49">
        <f t="shared" si="2"/>
        <v>-2.8299999999999983</v>
      </c>
      <c r="N49">
        <v>7.29</v>
      </c>
      <c r="O49">
        <v>89.16</v>
      </c>
      <c r="P49">
        <v>66</v>
      </c>
      <c r="Q49">
        <v>17</v>
      </c>
      <c r="R49">
        <v>8.24</v>
      </c>
      <c r="S49">
        <v>13.02</v>
      </c>
      <c r="T49">
        <v>6.02</v>
      </c>
      <c r="U49">
        <v>6.42</v>
      </c>
      <c r="V49">
        <v>3514.28</v>
      </c>
      <c r="W49">
        <v>1040.48</v>
      </c>
      <c r="X49">
        <v>1196.76</v>
      </c>
      <c r="Y49">
        <v>734.36</v>
      </c>
      <c r="Z49">
        <v>5.71</v>
      </c>
      <c r="AA49">
        <v>1.54</v>
      </c>
      <c r="AB49">
        <v>4.53</v>
      </c>
      <c r="AC49">
        <v>57.77</v>
      </c>
      <c r="AD49">
        <v>680</v>
      </c>
      <c r="AE49">
        <v>5900</v>
      </c>
      <c r="AF49">
        <v>74.36</v>
      </c>
      <c r="AG49">
        <v>0.59</v>
      </c>
      <c r="AH49">
        <v>13.72</v>
      </c>
      <c r="AI49">
        <v>48</v>
      </c>
      <c r="AJ49">
        <v>60</v>
      </c>
      <c r="AK49">
        <v>9</v>
      </c>
      <c r="AL49">
        <v>9</v>
      </c>
      <c r="AM49">
        <v>0.65</v>
      </c>
      <c r="AN49">
        <v>408</v>
      </c>
      <c r="AO49">
        <v>413.89</v>
      </c>
      <c r="AP49">
        <v>348509.91</v>
      </c>
      <c r="AQ49">
        <v>182334.89</v>
      </c>
      <c r="AR49" t="s">
        <v>961</v>
      </c>
      <c r="AT49" s="6">
        <f t="shared" si="3"/>
        <v>9.4848755707762535</v>
      </c>
    </row>
    <row r="50" spans="1:46" x14ac:dyDescent="0.55000000000000004">
      <c r="A50">
        <v>19.02</v>
      </c>
      <c r="B50">
        <v>27.23</v>
      </c>
      <c r="C50">
        <v>5490.79</v>
      </c>
      <c r="D50">
        <v>7.6</v>
      </c>
      <c r="E50" t="s">
        <v>1207</v>
      </c>
      <c r="F50" t="s">
        <v>1456</v>
      </c>
      <c r="G50" t="s">
        <v>1682</v>
      </c>
      <c r="H50" t="s">
        <v>1815</v>
      </c>
      <c r="I50">
        <v>0</v>
      </c>
      <c r="J50">
        <v>962.12</v>
      </c>
      <c r="K50">
        <f t="shared" si="0"/>
        <v>66.86</v>
      </c>
      <c r="L50">
        <f t="shared" si="1"/>
        <v>71.59</v>
      </c>
      <c r="M50">
        <f t="shared" si="2"/>
        <v>-4.730000000000004</v>
      </c>
      <c r="N50">
        <v>7.37</v>
      </c>
      <c r="O50">
        <v>89.1</v>
      </c>
      <c r="P50">
        <v>65</v>
      </c>
      <c r="Q50">
        <v>17.399999999999999</v>
      </c>
      <c r="R50">
        <v>8.1999999999999993</v>
      </c>
      <c r="S50">
        <v>13.27</v>
      </c>
      <c r="T50">
        <v>5.75</v>
      </c>
      <c r="U50">
        <v>5.71</v>
      </c>
      <c r="V50">
        <v>3514.11</v>
      </c>
      <c r="W50">
        <v>1038.29</v>
      </c>
      <c r="X50">
        <v>1169.48</v>
      </c>
      <c r="Y50">
        <v>728.09</v>
      </c>
      <c r="Z50">
        <v>5.6</v>
      </c>
      <c r="AA50">
        <v>1.53</v>
      </c>
      <c r="AB50">
        <v>4.54</v>
      </c>
      <c r="AC50">
        <v>58.78</v>
      </c>
      <c r="AD50">
        <v>680</v>
      </c>
      <c r="AE50">
        <v>5900</v>
      </c>
      <c r="AF50">
        <v>74.06</v>
      </c>
      <c r="AG50">
        <v>0.59</v>
      </c>
      <c r="AH50">
        <v>15.73</v>
      </c>
      <c r="AI50">
        <v>39.49</v>
      </c>
      <c r="AJ50">
        <v>60</v>
      </c>
      <c r="AK50">
        <v>9</v>
      </c>
      <c r="AL50">
        <v>9</v>
      </c>
      <c r="AM50">
        <v>0.8</v>
      </c>
      <c r="AN50">
        <v>408</v>
      </c>
      <c r="AO50">
        <v>415.16</v>
      </c>
      <c r="AP50">
        <v>359253.18</v>
      </c>
      <c r="AQ50">
        <v>235000.46</v>
      </c>
      <c r="AR50" t="s">
        <v>962</v>
      </c>
      <c r="AT50" s="6">
        <f t="shared" si="3"/>
        <v>7.0920502283105025</v>
      </c>
    </row>
    <row r="51" spans="1:46" x14ac:dyDescent="0.55000000000000004">
      <c r="A51">
        <v>19.059999999999999</v>
      </c>
      <c r="B51">
        <v>27.72</v>
      </c>
      <c r="C51">
        <v>5507.1</v>
      </c>
      <c r="D51">
        <v>7.6</v>
      </c>
      <c r="E51" t="s">
        <v>1208</v>
      </c>
      <c r="F51" t="s">
        <v>1457</v>
      </c>
      <c r="G51" t="s">
        <v>1667</v>
      </c>
      <c r="H51" t="s">
        <v>1816</v>
      </c>
      <c r="I51">
        <v>0</v>
      </c>
      <c r="J51">
        <v>940.38</v>
      </c>
      <c r="K51">
        <f t="shared" si="0"/>
        <v>63.77</v>
      </c>
      <c r="L51">
        <f t="shared" si="1"/>
        <v>65.38000000000001</v>
      </c>
      <c r="M51">
        <f t="shared" si="2"/>
        <v>-1.6100000000000065</v>
      </c>
      <c r="N51">
        <v>7.35</v>
      </c>
      <c r="O51">
        <v>88.95</v>
      </c>
      <c r="P51">
        <v>64</v>
      </c>
      <c r="Q51">
        <v>17.8</v>
      </c>
      <c r="R51">
        <v>8.67</v>
      </c>
      <c r="S51">
        <v>13.51</v>
      </c>
      <c r="T51">
        <v>5.54</v>
      </c>
      <c r="U51">
        <v>5.86</v>
      </c>
      <c r="V51">
        <v>3524.55</v>
      </c>
      <c r="W51">
        <v>1041.3399999999999</v>
      </c>
      <c r="X51">
        <v>1174.8399999999999</v>
      </c>
      <c r="Y51">
        <v>730.39</v>
      </c>
      <c r="Z51">
        <v>6.83</v>
      </c>
      <c r="AA51">
        <v>1.53</v>
      </c>
      <c r="AB51">
        <v>4.54</v>
      </c>
      <c r="AC51">
        <v>61</v>
      </c>
      <c r="AD51">
        <v>680</v>
      </c>
      <c r="AE51">
        <v>5900</v>
      </c>
      <c r="AF51">
        <v>78.25</v>
      </c>
      <c r="AG51">
        <v>0.59</v>
      </c>
      <c r="AH51">
        <v>16.11</v>
      </c>
      <c r="AI51">
        <v>50.46</v>
      </c>
      <c r="AJ51">
        <v>60</v>
      </c>
      <c r="AK51">
        <v>9</v>
      </c>
      <c r="AL51">
        <v>9</v>
      </c>
      <c r="AM51">
        <v>0.62</v>
      </c>
      <c r="AN51">
        <v>408</v>
      </c>
      <c r="AO51">
        <v>413.6</v>
      </c>
      <c r="AP51">
        <v>362560.49</v>
      </c>
      <c r="AQ51">
        <v>286973.78999999998</v>
      </c>
      <c r="AR51" t="s">
        <v>963</v>
      </c>
      <c r="AT51" s="6">
        <f t="shared" si="3"/>
        <v>4.3143093607305945</v>
      </c>
    </row>
    <row r="52" spans="1:46" x14ac:dyDescent="0.55000000000000004">
      <c r="A52">
        <v>18.93</v>
      </c>
      <c r="B52">
        <v>27.65</v>
      </c>
      <c r="C52">
        <v>5492.14</v>
      </c>
      <c r="D52">
        <v>7.6</v>
      </c>
      <c r="E52" t="s">
        <v>1209</v>
      </c>
      <c r="F52" t="s">
        <v>1458</v>
      </c>
      <c r="G52" t="s">
        <v>1683</v>
      </c>
      <c r="H52" t="s">
        <v>1817</v>
      </c>
      <c r="I52">
        <v>0</v>
      </c>
      <c r="J52">
        <v>940.4</v>
      </c>
      <c r="K52">
        <f t="shared" si="0"/>
        <v>63.56</v>
      </c>
      <c r="L52">
        <f t="shared" si="1"/>
        <v>65.099999999999994</v>
      </c>
      <c r="M52">
        <f t="shared" si="2"/>
        <v>-1.539999999999992</v>
      </c>
      <c r="N52">
        <v>7.35</v>
      </c>
      <c r="O52">
        <v>88.98</v>
      </c>
      <c r="P52">
        <v>56</v>
      </c>
      <c r="Q52">
        <v>18.600000000000001</v>
      </c>
      <c r="R52">
        <v>8.7200000000000006</v>
      </c>
      <c r="S52">
        <v>13.25</v>
      </c>
      <c r="T52">
        <v>5.67</v>
      </c>
      <c r="U52">
        <v>5.84</v>
      </c>
      <c r="V52">
        <v>3514.97</v>
      </c>
      <c r="W52">
        <v>1038.43</v>
      </c>
      <c r="X52">
        <v>1171.08</v>
      </c>
      <c r="Y52">
        <v>728.23</v>
      </c>
      <c r="Z52">
        <v>6.83</v>
      </c>
      <c r="AA52">
        <v>1.52</v>
      </c>
      <c r="AB52">
        <v>4.55</v>
      </c>
      <c r="AC52">
        <v>60.59</v>
      </c>
      <c r="AD52">
        <v>680</v>
      </c>
      <c r="AE52">
        <v>5900</v>
      </c>
      <c r="AF52">
        <v>78.72</v>
      </c>
      <c r="AG52">
        <v>0.59</v>
      </c>
      <c r="AH52">
        <v>16.260000000000002</v>
      </c>
      <c r="AI52">
        <v>50.67</v>
      </c>
      <c r="AJ52">
        <v>60</v>
      </c>
      <c r="AK52">
        <v>9</v>
      </c>
      <c r="AL52">
        <v>9</v>
      </c>
      <c r="AM52">
        <v>0.62</v>
      </c>
      <c r="AN52">
        <v>408</v>
      </c>
      <c r="AO52">
        <v>413.58</v>
      </c>
      <c r="AP52">
        <v>362213.38</v>
      </c>
      <c r="AQ52">
        <v>286248.53000000003</v>
      </c>
      <c r="AR52" t="s">
        <v>964</v>
      </c>
      <c r="AT52" s="6">
        <f t="shared" si="3"/>
        <v>4.3358932648401813</v>
      </c>
    </row>
    <row r="53" spans="1:46" x14ac:dyDescent="0.55000000000000004">
      <c r="A53">
        <v>18.48</v>
      </c>
      <c r="B53">
        <v>26.72</v>
      </c>
      <c r="C53">
        <v>5518.16</v>
      </c>
      <c r="D53">
        <v>7.6</v>
      </c>
      <c r="E53" t="s">
        <v>1210</v>
      </c>
      <c r="F53" t="s">
        <v>1459</v>
      </c>
      <c r="G53" t="s">
        <v>568</v>
      </c>
      <c r="H53" t="s">
        <v>1818</v>
      </c>
      <c r="I53">
        <v>0</v>
      </c>
      <c r="J53">
        <v>902.77</v>
      </c>
      <c r="K53">
        <f t="shared" si="0"/>
        <v>60.089999999999996</v>
      </c>
      <c r="L53">
        <f t="shared" si="1"/>
        <v>62.71</v>
      </c>
      <c r="M53">
        <f t="shared" si="2"/>
        <v>-2.6200000000000045</v>
      </c>
      <c r="N53">
        <v>7.32</v>
      </c>
      <c r="O53">
        <v>89</v>
      </c>
      <c r="P53">
        <v>70</v>
      </c>
      <c r="Q53">
        <v>16.2</v>
      </c>
      <c r="R53">
        <v>8.24</v>
      </c>
      <c r="S53">
        <v>12.74</v>
      </c>
      <c r="T53">
        <v>5.74</v>
      </c>
      <c r="U53">
        <v>6.11</v>
      </c>
      <c r="V53">
        <v>3531.62</v>
      </c>
      <c r="W53">
        <v>1044.4000000000001</v>
      </c>
      <c r="X53">
        <v>1188.26</v>
      </c>
      <c r="Y53">
        <v>734.55</v>
      </c>
      <c r="Z53">
        <v>5.75</v>
      </c>
      <c r="AA53">
        <v>1.53</v>
      </c>
      <c r="AB53">
        <v>4.55</v>
      </c>
      <c r="AC53">
        <v>58.96</v>
      </c>
      <c r="AD53">
        <v>680</v>
      </c>
      <c r="AE53">
        <v>5900</v>
      </c>
      <c r="AF53">
        <v>74.42</v>
      </c>
      <c r="AG53">
        <v>0.59</v>
      </c>
      <c r="AH53">
        <v>14.56</v>
      </c>
      <c r="AI53">
        <v>45.09</v>
      </c>
      <c r="AJ53">
        <v>60</v>
      </c>
      <c r="AK53">
        <v>9</v>
      </c>
      <c r="AL53">
        <v>9</v>
      </c>
      <c r="AM53">
        <v>0.7</v>
      </c>
      <c r="AN53">
        <v>408</v>
      </c>
      <c r="AO53">
        <v>414.27</v>
      </c>
      <c r="AP53">
        <v>359956.63</v>
      </c>
      <c r="AQ53">
        <v>199408.78</v>
      </c>
      <c r="AR53" t="s">
        <v>965</v>
      </c>
      <c r="AT53" s="6">
        <f t="shared" si="3"/>
        <v>9.1636900684931515</v>
      </c>
    </row>
    <row r="54" spans="1:46" x14ac:dyDescent="0.55000000000000004">
      <c r="A54">
        <v>18.059999999999999</v>
      </c>
      <c r="B54">
        <v>26.32</v>
      </c>
      <c r="C54">
        <v>5502.45</v>
      </c>
      <c r="D54">
        <v>7.6</v>
      </c>
      <c r="E54" t="s">
        <v>1211</v>
      </c>
      <c r="F54" t="s">
        <v>1460</v>
      </c>
      <c r="G54" t="s">
        <v>1671</v>
      </c>
      <c r="H54" t="s">
        <v>1819</v>
      </c>
      <c r="I54">
        <v>0</v>
      </c>
      <c r="J54">
        <v>908.18</v>
      </c>
      <c r="K54">
        <f t="shared" si="0"/>
        <v>60.82</v>
      </c>
      <c r="L54">
        <f t="shared" si="1"/>
        <v>62.5</v>
      </c>
      <c r="M54">
        <f t="shared" si="2"/>
        <v>-1.6799999999999997</v>
      </c>
      <c r="N54">
        <v>7.33</v>
      </c>
      <c r="O54">
        <v>89.01</v>
      </c>
      <c r="P54">
        <v>79</v>
      </c>
      <c r="Q54">
        <v>14.1</v>
      </c>
      <c r="R54">
        <v>8.26</v>
      </c>
      <c r="S54">
        <v>11.76</v>
      </c>
      <c r="T54">
        <v>6.3</v>
      </c>
      <c r="U54">
        <v>6.06</v>
      </c>
      <c r="V54">
        <v>3521.57</v>
      </c>
      <c r="W54">
        <v>1041.45</v>
      </c>
      <c r="X54">
        <v>1184.44</v>
      </c>
      <c r="Y54">
        <v>732.45</v>
      </c>
      <c r="Z54">
        <v>5.84</v>
      </c>
      <c r="AA54">
        <v>1.51</v>
      </c>
      <c r="AB54">
        <v>4.57</v>
      </c>
      <c r="AC54">
        <v>56.7</v>
      </c>
      <c r="AD54">
        <v>680</v>
      </c>
      <c r="AE54">
        <v>5900</v>
      </c>
      <c r="AF54">
        <v>74.53</v>
      </c>
      <c r="AG54">
        <v>0.59</v>
      </c>
      <c r="AH54">
        <v>14.73</v>
      </c>
      <c r="AI54">
        <v>45.24</v>
      </c>
      <c r="AJ54">
        <v>60</v>
      </c>
      <c r="AK54">
        <v>9</v>
      </c>
      <c r="AL54">
        <v>9</v>
      </c>
      <c r="AM54">
        <v>0.69</v>
      </c>
      <c r="AN54">
        <v>408</v>
      </c>
      <c r="AO54">
        <v>414.25</v>
      </c>
      <c r="AP54">
        <v>369860.5</v>
      </c>
      <c r="AQ54">
        <v>197301.19</v>
      </c>
      <c r="AR54" t="s">
        <v>966</v>
      </c>
      <c r="AT54" s="6">
        <f t="shared" si="3"/>
        <v>9.8492756849315075</v>
      </c>
    </row>
    <row r="55" spans="1:46" x14ac:dyDescent="0.55000000000000004">
      <c r="A55">
        <v>18.43</v>
      </c>
      <c r="B55">
        <v>26.68</v>
      </c>
      <c r="C55">
        <v>5512.22</v>
      </c>
      <c r="D55">
        <v>7.6</v>
      </c>
      <c r="E55" t="s">
        <v>1212</v>
      </c>
      <c r="F55" t="s">
        <v>1461</v>
      </c>
      <c r="G55" t="s">
        <v>1677</v>
      </c>
      <c r="H55" t="s">
        <v>1820</v>
      </c>
      <c r="I55">
        <v>0</v>
      </c>
      <c r="J55">
        <v>907.46</v>
      </c>
      <c r="K55">
        <f t="shared" si="0"/>
        <v>60.650000000000006</v>
      </c>
      <c r="L55">
        <f t="shared" si="1"/>
        <v>62.78</v>
      </c>
      <c r="M55">
        <f t="shared" si="2"/>
        <v>-2.1299999999999955</v>
      </c>
      <c r="N55">
        <v>7.33</v>
      </c>
      <c r="O55">
        <v>88.98</v>
      </c>
      <c r="P55">
        <v>72</v>
      </c>
      <c r="Q55">
        <v>15.8</v>
      </c>
      <c r="R55">
        <v>8.24</v>
      </c>
      <c r="S55">
        <v>12.59</v>
      </c>
      <c r="T55">
        <v>5.84</v>
      </c>
      <c r="U55">
        <v>6.07</v>
      </c>
      <c r="V55">
        <v>3527.82</v>
      </c>
      <c r="W55">
        <v>1043.24</v>
      </c>
      <c r="X55">
        <v>1186.18</v>
      </c>
      <c r="Y55">
        <v>733.61</v>
      </c>
      <c r="Z55">
        <v>5.8</v>
      </c>
      <c r="AA55">
        <v>1.52</v>
      </c>
      <c r="AB55">
        <v>4.55</v>
      </c>
      <c r="AC55">
        <v>58.52</v>
      </c>
      <c r="AD55">
        <v>680</v>
      </c>
      <c r="AE55">
        <v>5900</v>
      </c>
      <c r="AF55">
        <v>74.400000000000006</v>
      </c>
      <c r="AG55">
        <v>0.59</v>
      </c>
      <c r="AH55">
        <v>14.66</v>
      </c>
      <c r="AI55">
        <v>45.04</v>
      </c>
      <c r="AJ55">
        <v>60</v>
      </c>
      <c r="AK55">
        <v>9</v>
      </c>
      <c r="AL55">
        <v>9</v>
      </c>
      <c r="AM55">
        <v>0.7</v>
      </c>
      <c r="AN55">
        <v>408</v>
      </c>
      <c r="AO55">
        <v>414.28</v>
      </c>
      <c r="AP55">
        <v>365636.68</v>
      </c>
      <c r="AQ55">
        <v>199139.73</v>
      </c>
      <c r="AR55" t="s">
        <v>967</v>
      </c>
      <c r="AT55" s="6">
        <f t="shared" si="3"/>
        <v>9.5032505707762542</v>
      </c>
    </row>
    <row r="56" spans="1:46" x14ac:dyDescent="0.55000000000000004">
      <c r="A56">
        <v>19</v>
      </c>
      <c r="B56">
        <v>27.72</v>
      </c>
      <c r="C56">
        <v>5501.44</v>
      </c>
      <c r="D56">
        <v>7.6</v>
      </c>
      <c r="E56" t="s">
        <v>1213</v>
      </c>
      <c r="F56" t="s">
        <v>1462</v>
      </c>
      <c r="G56" t="s">
        <v>1671</v>
      </c>
      <c r="H56" t="s">
        <v>1821</v>
      </c>
      <c r="I56">
        <v>0</v>
      </c>
      <c r="J56">
        <v>928.54</v>
      </c>
      <c r="K56">
        <f t="shared" si="0"/>
        <v>62.780000000000008</v>
      </c>
      <c r="L56">
        <f t="shared" si="1"/>
        <v>64.099999999999994</v>
      </c>
      <c r="M56">
        <f t="shared" si="2"/>
        <v>-1.3199999999999861</v>
      </c>
      <c r="N56">
        <v>7.34</v>
      </c>
      <c r="O56">
        <v>89.03</v>
      </c>
      <c r="P56">
        <v>60</v>
      </c>
      <c r="Q56">
        <v>18.100000000000001</v>
      </c>
      <c r="R56">
        <v>8.7200000000000006</v>
      </c>
      <c r="S56">
        <v>13.3</v>
      </c>
      <c r="T56">
        <v>5.7</v>
      </c>
      <c r="U56">
        <v>5.92</v>
      </c>
      <c r="V56">
        <v>3520.92</v>
      </c>
      <c r="W56">
        <v>1040.79</v>
      </c>
      <c r="X56">
        <v>1178.6600000000001</v>
      </c>
      <c r="Y56">
        <v>731</v>
      </c>
      <c r="Z56">
        <v>6.86</v>
      </c>
      <c r="AA56">
        <v>1.53</v>
      </c>
      <c r="AB56">
        <v>4.54</v>
      </c>
      <c r="AC56">
        <v>60.49</v>
      </c>
      <c r="AD56">
        <v>680</v>
      </c>
      <c r="AE56">
        <v>5900</v>
      </c>
      <c r="AF56">
        <v>78.75</v>
      </c>
      <c r="AG56">
        <v>0.59</v>
      </c>
      <c r="AH56">
        <v>15.99</v>
      </c>
      <c r="AI56">
        <v>51.46</v>
      </c>
      <c r="AJ56">
        <v>60</v>
      </c>
      <c r="AK56">
        <v>9</v>
      </c>
      <c r="AL56">
        <v>9</v>
      </c>
      <c r="AM56">
        <v>0.61</v>
      </c>
      <c r="AN56">
        <v>408</v>
      </c>
      <c r="AO56">
        <v>413.49</v>
      </c>
      <c r="AP56">
        <v>362083.05</v>
      </c>
      <c r="AQ56">
        <v>277929.81</v>
      </c>
      <c r="AR56" t="s">
        <v>968</v>
      </c>
      <c r="AT56" s="6">
        <f t="shared" si="3"/>
        <v>4.8032671232876707</v>
      </c>
    </row>
    <row r="57" spans="1:46" x14ac:dyDescent="0.55000000000000004">
      <c r="A57">
        <v>18.68</v>
      </c>
      <c r="B57">
        <v>26.93</v>
      </c>
      <c r="C57">
        <v>5516.82</v>
      </c>
      <c r="D57">
        <v>7.6</v>
      </c>
      <c r="E57" t="s">
        <v>1214</v>
      </c>
      <c r="F57" t="s">
        <v>1463</v>
      </c>
      <c r="G57" t="s">
        <v>1676</v>
      </c>
      <c r="H57" t="s">
        <v>1822</v>
      </c>
      <c r="I57">
        <v>0</v>
      </c>
      <c r="J57">
        <v>910.27</v>
      </c>
      <c r="K57">
        <f t="shared" si="0"/>
        <v>61.010000000000005</v>
      </c>
      <c r="L57">
        <f t="shared" si="1"/>
        <v>64.459999999999994</v>
      </c>
      <c r="M57">
        <f t="shared" si="2"/>
        <v>-3.4499999999999886</v>
      </c>
      <c r="N57">
        <v>7.33</v>
      </c>
      <c r="O57">
        <v>89</v>
      </c>
      <c r="P57">
        <v>69</v>
      </c>
      <c r="Q57">
        <v>16.3</v>
      </c>
      <c r="R57">
        <v>8.24</v>
      </c>
      <c r="S57">
        <v>12.72</v>
      </c>
      <c r="T57">
        <v>5.96</v>
      </c>
      <c r="U57">
        <v>6.06</v>
      </c>
      <c r="V57">
        <v>3530.77</v>
      </c>
      <c r="W57">
        <v>1044.0999999999999</v>
      </c>
      <c r="X57">
        <v>1186.81</v>
      </c>
      <c r="Y57">
        <v>734.18</v>
      </c>
      <c r="Z57">
        <v>5.68</v>
      </c>
      <c r="AA57">
        <v>1.53</v>
      </c>
      <c r="AB57">
        <v>4.54</v>
      </c>
      <c r="AC57">
        <v>58.03</v>
      </c>
      <c r="AD57">
        <v>680</v>
      </c>
      <c r="AE57">
        <v>5900</v>
      </c>
      <c r="AF57">
        <v>74.42</v>
      </c>
      <c r="AG57">
        <v>0.59</v>
      </c>
      <c r="AH57">
        <v>14.71</v>
      </c>
      <c r="AI57">
        <v>43.86</v>
      </c>
      <c r="AJ57">
        <v>60</v>
      </c>
      <c r="AK57">
        <v>9</v>
      </c>
      <c r="AL57">
        <v>9</v>
      </c>
      <c r="AM57">
        <v>0.72</v>
      </c>
      <c r="AN57">
        <v>408</v>
      </c>
      <c r="AO57">
        <v>414.45</v>
      </c>
      <c r="AP57">
        <v>355422.92</v>
      </c>
      <c r="AQ57">
        <v>206053.2</v>
      </c>
      <c r="AR57" t="s">
        <v>969</v>
      </c>
      <c r="AT57" s="6">
        <f t="shared" si="3"/>
        <v>8.5256689497716884</v>
      </c>
    </row>
    <row r="58" spans="1:46" x14ac:dyDescent="0.55000000000000004">
      <c r="A58">
        <v>18.77</v>
      </c>
      <c r="B58">
        <v>27.02</v>
      </c>
      <c r="C58">
        <v>5512.91</v>
      </c>
      <c r="D58">
        <v>7.59</v>
      </c>
      <c r="E58" t="s">
        <v>1215</v>
      </c>
      <c r="F58" t="s">
        <v>1423</v>
      </c>
      <c r="G58" t="s">
        <v>1684</v>
      </c>
      <c r="H58" t="s">
        <v>1823</v>
      </c>
      <c r="I58">
        <v>0</v>
      </c>
      <c r="J58">
        <v>904.38</v>
      </c>
      <c r="K58">
        <f t="shared" si="0"/>
        <v>60.15</v>
      </c>
      <c r="L58">
        <f t="shared" si="1"/>
        <v>63.76</v>
      </c>
      <c r="M58">
        <f t="shared" si="2"/>
        <v>-3.6099999999999994</v>
      </c>
      <c r="N58">
        <v>7.32</v>
      </c>
      <c r="O58">
        <v>88.91</v>
      </c>
      <c r="P58">
        <v>68</v>
      </c>
      <c r="Q58">
        <v>16.5</v>
      </c>
      <c r="R58">
        <v>8.25</v>
      </c>
      <c r="S58">
        <v>12.79</v>
      </c>
      <c r="T58">
        <v>5.98</v>
      </c>
      <c r="U58">
        <v>6.1</v>
      </c>
      <c r="V58">
        <v>3528.26</v>
      </c>
      <c r="W58">
        <v>1043.4100000000001</v>
      </c>
      <c r="X58">
        <v>1186.96</v>
      </c>
      <c r="Y58">
        <v>733.84</v>
      </c>
      <c r="Z58">
        <v>5.66</v>
      </c>
      <c r="AA58">
        <v>1.52</v>
      </c>
      <c r="AB58">
        <v>4.55</v>
      </c>
      <c r="AC58">
        <v>57.97</v>
      </c>
      <c r="AD58">
        <v>680</v>
      </c>
      <c r="AE58">
        <v>5900</v>
      </c>
      <c r="AF58">
        <v>74.48</v>
      </c>
      <c r="AG58">
        <v>0.59</v>
      </c>
      <c r="AH58">
        <v>14.62</v>
      </c>
      <c r="AI58">
        <v>44.35</v>
      </c>
      <c r="AJ58">
        <v>60</v>
      </c>
      <c r="AK58">
        <v>9</v>
      </c>
      <c r="AL58">
        <v>9</v>
      </c>
      <c r="AM58">
        <v>0.71</v>
      </c>
      <c r="AN58">
        <v>408</v>
      </c>
      <c r="AO58">
        <v>414.38</v>
      </c>
      <c r="AP58">
        <v>351289.93</v>
      </c>
      <c r="AQ58">
        <v>203879.87</v>
      </c>
      <c r="AR58" t="s">
        <v>970</v>
      </c>
      <c r="AT58" s="6">
        <f t="shared" si="3"/>
        <v>8.4138162100456615</v>
      </c>
    </row>
    <row r="59" spans="1:46" x14ac:dyDescent="0.55000000000000004">
      <c r="A59">
        <v>18.28</v>
      </c>
      <c r="B59">
        <v>26.49</v>
      </c>
      <c r="C59">
        <v>5507.15</v>
      </c>
      <c r="D59">
        <v>7.6</v>
      </c>
      <c r="E59" t="s">
        <v>1216</v>
      </c>
      <c r="F59" t="s">
        <v>1464</v>
      </c>
      <c r="G59" t="s">
        <v>1685</v>
      </c>
      <c r="H59" t="s">
        <v>1824</v>
      </c>
      <c r="I59">
        <v>0</v>
      </c>
      <c r="J59">
        <v>907.9</v>
      </c>
      <c r="K59">
        <f t="shared" si="0"/>
        <v>60.35</v>
      </c>
      <c r="L59">
        <f t="shared" si="1"/>
        <v>62.01</v>
      </c>
      <c r="M59">
        <f t="shared" si="2"/>
        <v>-1.6599999999999966</v>
      </c>
      <c r="N59">
        <v>7.32</v>
      </c>
      <c r="O59">
        <v>88.98</v>
      </c>
      <c r="P59">
        <v>76</v>
      </c>
      <c r="Q59">
        <v>14.7</v>
      </c>
      <c r="R59">
        <v>8.2100000000000009</v>
      </c>
      <c r="S59">
        <v>12</v>
      </c>
      <c r="T59">
        <v>6.28</v>
      </c>
      <c r="U59">
        <v>6.07</v>
      </c>
      <c r="V59">
        <v>3524.57</v>
      </c>
      <c r="W59">
        <v>1042.02</v>
      </c>
      <c r="X59">
        <v>1183.1500000000001</v>
      </c>
      <c r="Y59">
        <v>732.33</v>
      </c>
      <c r="Z59">
        <v>5.84</v>
      </c>
      <c r="AA59">
        <v>1.52</v>
      </c>
      <c r="AB59">
        <v>4.5599999999999996</v>
      </c>
      <c r="AC59">
        <v>56.68</v>
      </c>
      <c r="AD59">
        <v>680</v>
      </c>
      <c r="AE59">
        <v>5900</v>
      </c>
      <c r="AF59">
        <v>74.13</v>
      </c>
      <c r="AG59">
        <v>0.59</v>
      </c>
      <c r="AH59">
        <v>14.63</v>
      </c>
      <c r="AI59">
        <v>45.59</v>
      </c>
      <c r="AJ59">
        <v>60</v>
      </c>
      <c r="AK59">
        <v>9</v>
      </c>
      <c r="AL59">
        <v>9</v>
      </c>
      <c r="AM59">
        <v>0.69</v>
      </c>
      <c r="AN59">
        <v>408</v>
      </c>
      <c r="AO59">
        <v>414.2</v>
      </c>
      <c r="AP59">
        <v>368709.95</v>
      </c>
      <c r="AQ59">
        <v>197729.01</v>
      </c>
      <c r="AR59" t="s">
        <v>971</v>
      </c>
      <c r="AT59" s="6">
        <f t="shared" si="3"/>
        <v>9.7591860730593609</v>
      </c>
    </row>
    <row r="60" spans="1:46" x14ac:dyDescent="0.55000000000000004">
      <c r="A60">
        <v>17.89</v>
      </c>
      <c r="B60">
        <v>26.14</v>
      </c>
      <c r="C60">
        <v>5497.58</v>
      </c>
      <c r="D60">
        <v>7.6</v>
      </c>
      <c r="E60" t="s">
        <v>1217</v>
      </c>
      <c r="F60" t="s">
        <v>1465</v>
      </c>
      <c r="G60" t="s">
        <v>565</v>
      </c>
      <c r="H60" t="s">
        <v>1825</v>
      </c>
      <c r="I60">
        <v>0</v>
      </c>
      <c r="J60">
        <v>895.6</v>
      </c>
      <c r="K60">
        <f t="shared" si="0"/>
        <v>59.449999999999996</v>
      </c>
      <c r="L60">
        <f t="shared" si="1"/>
        <v>60.86</v>
      </c>
      <c r="M60">
        <f t="shared" si="2"/>
        <v>-1.4100000000000037</v>
      </c>
      <c r="N60">
        <v>7.32</v>
      </c>
      <c r="O60">
        <v>89.02</v>
      </c>
      <c r="P60">
        <v>81</v>
      </c>
      <c r="Q60">
        <v>13.6</v>
      </c>
      <c r="R60">
        <v>8.26</v>
      </c>
      <c r="S60">
        <v>11.49</v>
      </c>
      <c r="T60">
        <v>6.4</v>
      </c>
      <c r="U60">
        <v>6.14</v>
      </c>
      <c r="V60">
        <v>3518.45</v>
      </c>
      <c r="W60">
        <v>1040.6500000000001</v>
      </c>
      <c r="X60">
        <v>1185.68</v>
      </c>
      <c r="Y60">
        <v>732.24</v>
      </c>
      <c r="Z60">
        <v>5.86</v>
      </c>
      <c r="AA60">
        <v>1.51</v>
      </c>
      <c r="AB60">
        <v>4.58</v>
      </c>
      <c r="AC60">
        <v>56.35</v>
      </c>
      <c r="AD60">
        <v>680</v>
      </c>
      <c r="AE60">
        <v>5900</v>
      </c>
      <c r="AF60">
        <v>74.540000000000006</v>
      </c>
      <c r="AG60">
        <v>0.59</v>
      </c>
      <c r="AH60">
        <v>14.51</v>
      </c>
      <c r="AI60">
        <v>46.46</v>
      </c>
      <c r="AJ60">
        <v>60</v>
      </c>
      <c r="AK60">
        <v>9</v>
      </c>
      <c r="AL60">
        <v>9</v>
      </c>
      <c r="AM60">
        <v>0.68</v>
      </c>
      <c r="AN60">
        <v>408</v>
      </c>
      <c r="AO60">
        <v>414.09</v>
      </c>
      <c r="AP60">
        <v>368730.36</v>
      </c>
      <c r="AQ60">
        <v>191393.81</v>
      </c>
      <c r="AR60" t="s">
        <v>972</v>
      </c>
      <c r="AT60" s="6">
        <f t="shared" si="3"/>
        <v>10.121949200913241</v>
      </c>
    </row>
    <row r="61" spans="1:46" x14ac:dyDescent="0.55000000000000004">
      <c r="A61">
        <v>18.510000000000002</v>
      </c>
      <c r="B61">
        <v>26.76</v>
      </c>
      <c r="C61">
        <v>5518.92</v>
      </c>
      <c r="D61">
        <v>7.6</v>
      </c>
      <c r="E61" t="s">
        <v>1218</v>
      </c>
      <c r="F61" t="s">
        <v>1466</v>
      </c>
      <c r="G61" t="s">
        <v>1684</v>
      </c>
      <c r="H61" t="s">
        <v>1826</v>
      </c>
      <c r="I61">
        <v>0</v>
      </c>
      <c r="J61">
        <v>902.6</v>
      </c>
      <c r="K61">
        <f t="shared" si="0"/>
        <v>60.13</v>
      </c>
      <c r="L61">
        <f t="shared" si="1"/>
        <v>61.359999999999992</v>
      </c>
      <c r="M61">
        <f t="shared" si="2"/>
        <v>-1.2299999999999898</v>
      </c>
      <c r="N61">
        <v>7.32</v>
      </c>
      <c r="O61">
        <v>89.01</v>
      </c>
      <c r="P61">
        <v>70</v>
      </c>
      <c r="Q61">
        <v>16.2</v>
      </c>
      <c r="R61">
        <v>8.25</v>
      </c>
      <c r="S61">
        <v>12.74</v>
      </c>
      <c r="T61">
        <v>5.77</v>
      </c>
      <c r="U61">
        <v>6.11</v>
      </c>
      <c r="V61">
        <v>3532.11</v>
      </c>
      <c r="W61">
        <v>1044.55</v>
      </c>
      <c r="X61">
        <v>1188.51</v>
      </c>
      <c r="Y61">
        <v>734.68</v>
      </c>
      <c r="Z61">
        <v>6.86</v>
      </c>
      <c r="AA61">
        <v>1.52</v>
      </c>
      <c r="AB61">
        <v>4.55</v>
      </c>
      <c r="AC61">
        <v>58.85</v>
      </c>
      <c r="AD61">
        <v>680</v>
      </c>
      <c r="AE61">
        <v>5900</v>
      </c>
      <c r="AF61">
        <v>74.47</v>
      </c>
      <c r="AG61">
        <v>0.59</v>
      </c>
      <c r="AH61">
        <v>14.56</v>
      </c>
      <c r="AI61">
        <v>53.76</v>
      </c>
      <c r="AJ61">
        <v>60</v>
      </c>
      <c r="AK61">
        <v>9</v>
      </c>
      <c r="AL61">
        <v>9</v>
      </c>
      <c r="AM61">
        <v>0.57999999999999996</v>
      </c>
      <c r="AN61">
        <v>408</v>
      </c>
      <c r="AO61">
        <v>413.26</v>
      </c>
      <c r="AP61">
        <v>357265.9</v>
      </c>
      <c r="AQ61">
        <v>263749.71000000002</v>
      </c>
      <c r="AR61" t="s">
        <v>973</v>
      </c>
      <c r="AT61" s="6">
        <f t="shared" si="3"/>
        <v>5.3376820776255709</v>
      </c>
    </row>
    <row r="62" spans="1:46" x14ac:dyDescent="0.55000000000000004">
      <c r="A62">
        <v>17.309999999999999</v>
      </c>
      <c r="B62">
        <v>26.35</v>
      </c>
      <c r="C62">
        <v>5449.91</v>
      </c>
      <c r="D62">
        <v>7.6</v>
      </c>
      <c r="E62" t="s">
        <v>1219</v>
      </c>
      <c r="F62" t="s">
        <v>1467</v>
      </c>
      <c r="G62" t="s">
        <v>1686</v>
      </c>
      <c r="H62" t="s">
        <v>1827</v>
      </c>
      <c r="I62">
        <v>0</v>
      </c>
      <c r="J62">
        <v>690.92</v>
      </c>
      <c r="K62">
        <f t="shared" si="0"/>
        <v>54.13</v>
      </c>
      <c r="L62">
        <f t="shared" si="1"/>
        <v>57.43</v>
      </c>
      <c r="M62">
        <f t="shared" si="2"/>
        <v>-3.2999999999999972</v>
      </c>
      <c r="N62">
        <v>7.29</v>
      </c>
      <c r="O62">
        <v>89.03</v>
      </c>
      <c r="P62">
        <v>88</v>
      </c>
      <c r="Q62">
        <v>11.4</v>
      </c>
      <c r="R62">
        <v>9.0399999999999991</v>
      </c>
      <c r="S62">
        <v>10.09</v>
      </c>
      <c r="T62">
        <v>7.22</v>
      </c>
      <c r="U62">
        <v>7.89</v>
      </c>
      <c r="V62">
        <v>3487.94</v>
      </c>
      <c r="W62">
        <v>1051.1600000000001</v>
      </c>
      <c r="X62">
        <v>1346.95</v>
      </c>
      <c r="Y62">
        <v>774.58</v>
      </c>
      <c r="Z62">
        <v>6.13</v>
      </c>
      <c r="AA62">
        <v>1.56</v>
      </c>
      <c r="AB62">
        <v>4.4800000000000004</v>
      </c>
      <c r="AC62">
        <v>55.58</v>
      </c>
      <c r="AD62">
        <v>680</v>
      </c>
      <c r="AE62">
        <v>5900</v>
      </c>
      <c r="AF62">
        <v>81.56</v>
      </c>
      <c r="AG62">
        <v>0.59</v>
      </c>
      <c r="AH62">
        <v>11.84</v>
      </c>
      <c r="AI62">
        <v>53.34</v>
      </c>
      <c r="AJ62">
        <v>60</v>
      </c>
      <c r="AK62">
        <v>9</v>
      </c>
      <c r="AL62">
        <v>9</v>
      </c>
      <c r="AM62">
        <v>0.59</v>
      </c>
      <c r="AN62">
        <v>408</v>
      </c>
      <c r="AO62">
        <v>413.3</v>
      </c>
      <c r="AP62">
        <v>331850.78999999998</v>
      </c>
      <c r="AQ62">
        <v>140708.21</v>
      </c>
      <c r="AR62" t="s">
        <v>974</v>
      </c>
      <c r="AT62" s="6">
        <f t="shared" si="3"/>
        <v>10.909964611872145</v>
      </c>
    </row>
    <row r="63" spans="1:46" x14ac:dyDescent="0.55000000000000004">
      <c r="A63">
        <v>17.07</v>
      </c>
      <c r="B63">
        <v>26.11</v>
      </c>
      <c r="C63">
        <v>5455.51</v>
      </c>
      <c r="D63">
        <v>7.6</v>
      </c>
      <c r="E63" t="s">
        <v>1220</v>
      </c>
      <c r="F63" t="s">
        <v>1468</v>
      </c>
      <c r="G63" t="s">
        <v>1687</v>
      </c>
      <c r="H63" t="s">
        <v>1828</v>
      </c>
      <c r="I63">
        <v>0</v>
      </c>
      <c r="J63">
        <v>674.8</v>
      </c>
      <c r="K63">
        <f t="shared" si="0"/>
        <v>53.42</v>
      </c>
      <c r="L63">
        <f t="shared" si="1"/>
        <v>59.16</v>
      </c>
      <c r="M63">
        <f t="shared" si="2"/>
        <v>-5.7399999999999949</v>
      </c>
      <c r="N63">
        <v>7.29</v>
      </c>
      <c r="O63">
        <v>88.99</v>
      </c>
      <c r="P63">
        <v>89</v>
      </c>
      <c r="Q63">
        <v>10.9</v>
      </c>
      <c r="R63">
        <v>9.0399999999999991</v>
      </c>
      <c r="S63">
        <v>9.6999999999999993</v>
      </c>
      <c r="T63">
        <v>7.37</v>
      </c>
      <c r="U63">
        <v>8.08</v>
      </c>
      <c r="V63">
        <v>3491.53</v>
      </c>
      <c r="W63">
        <v>1053.8699999999999</v>
      </c>
      <c r="X63">
        <v>1363.28</v>
      </c>
      <c r="Y63">
        <v>779.51</v>
      </c>
      <c r="Z63">
        <v>5.87</v>
      </c>
      <c r="AA63">
        <v>1.56</v>
      </c>
      <c r="AB63">
        <v>4.4800000000000004</v>
      </c>
      <c r="AC63">
        <v>55.1</v>
      </c>
      <c r="AD63">
        <v>680</v>
      </c>
      <c r="AE63">
        <v>5900</v>
      </c>
      <c r="AF63">
        <v>81.61</v>
      </c>
      <c r="AG63">
        <v>0.59</v>
      </c>
      <c r="AH63">
        <v>11.52</v>
      </c>
      <c r="AI63">
        <v>51.77</v>
      </c>
      <c r="AJ63">
        <v>60</v>
      </c>
      <c r="AK63">
        <v>9</v>
      </c>
      <c r="AL63">
        <v>9</v>
      </c>
      <c r="AM63">
        <v>0.61</v>
      </c>
      <c r="AN63">
        <v>408</v>
      </c>
      <c r="AO63">
        <v>413.46</v>
      </c>
      <c r="AP63">
        <v>309158.31</v>
      </c>
      <c r="AQ63">
        <v>146964.89000000001</v>
      </c>
      <c r="AR63" t="s">
        <v>975</v>
      </c>
      <c r="AT63" s="6">
        <f t="shared" si="3"/>
        <v>9.2576152968036514</v>
      </c>
    </row>
    <row r="64" spans="1:46" x14ac:dyDescent="0.55000000000000004">
      <c r="A64">
        <v>17.670000000000002</v>
      </c>
      <c r="B64">
        <v>26.68</v>
      </c>
      <c r="C64">
        <v>5469.53</v>
      </c>
      <c r="D64">
        <v>7.59</v>
      </c>
      <c r="E64" t="s">
        <v>1221</v>
      </c>
      <c r="F64" t="s">
        <v>1469</v>
      </c>
      <c r="G64" t="s">
        <v>1688</v>
      </c>
      <c r="H64" t="s">
        <v>1829</v>
      </c>
      <c r="I64">
        <v>0</v>
      </c>
      <c r="J64">
        <v>759.22</v>
      </c>
      <c r="K64">
        <f t="shared" si="0"/>
        <v>57.42</v>
      </c>
      <c r="L64">
        <f t="shared" si="1"/>
        <v>58.319999999999993</v>
      </c>
      <c r="M64">
        <f t="shared" si="2"/>
        <v>-0.89999999999999147</v>
      </c>
      <c r="N64">
        <v>7.32</v>
      </c>
      <c r="O64">
        <v>89.05</v>
      </c>
      <c r="P64">
        <v>86</v>
      </c>
      <c r="Q64">
        <v>12.3</v>
      </c>
      <c r="R64">
        <v>9.01</v>
      </c>
      <c r="S64">
        <v>10.76</v>
      </c>
      <c r="T64">
        <v>6.91</v>
      </c>
      <c r="U64">
        <v>7.2</v>
      </c>
      <c r="V64">
        <v>3500.5</v>
      </c>
      <c r="W64">
        <v>1049.3699999999999</v>
      </c>
      <c r="X64">
        <v>1299.58</v>
      </c>
      <c r="Y64">
        <v>763.12</v>
      </c>
      <c r="Z64">
        <v>6.4</v>
      </c>
      <c r="AA64">
        <v>1.54</v>
      </c>
      <c r="AB64">
        <v>4.5</v>
      </c>
      <c r="AC64">
        <v>56.6</v>
      </c>
      <c r="AD64">
        <v>680</v>
      </c>
      <c r="AE64">
        <v>5900</v>
      </c>
      <c r="AF64">
        <v>81.34</v>
      </c>
      <c r="AG64">
        <v>0.59</v>
      </c>
      <c r="AH64">
        <v>13.11</v>
      </c>
      <c r="AI64">
        <v>52.52</v>
      </c>
      <c r="AJ64">
        <v>60</v>
      </c>
      <c r="AK64">
        <v>9</v>
      </c>
      <c r="AL64">
        <v>9</v>
      </c>
      <c r="AM64">
        <v>0.6</v>
      </c>
      <c r="AN64">
        <v>408</v>
      </c>
      <c r="AO64">
        <v>413.38</v>
      </c>
      <c r="AP64">
        <v>358576.63</v>
      </c>
      <c r="AQ64">
        <v>153325.01999999999</v>
      </c>
      <c r="AR64" t="s">
        <v>976</v>
      </c>
      <c r="AT64" s="6">
        <f t="shared" si="3"/>
        <v>11.715274543378996</v>
      </c>
    </row>
    <row r="65" spans="1:46" x14ac:dyDescent="0.55000000000000004">
      <c r="A65">
        <v>17.3</v>
      </c>
      <c r="B65">
        <v>26.27</v>
      </c>
      <c r="C65">
        <v>5453.22</v>
      </c>
      <c r="D65">
        <v>7.6</v>
      </c>
      <c r="E65" t="s">
        <v>1222</v>
      </c>
      <c r="F65" t="s">
        <v>1470</v>
      </c>
      <c r="G65" t="s">
        <v>1689</v>
      </c>
      <c r="H65" t="s">
        <v>1830</v>
      </c>
      <c r="I65">
        <v>0</v>
      </c>
      <c r="J65">
        <v>713.95</v>
      </c>
      <c r="K65">
        <f t="shared" si="0"/>
        <v>54.75</v>
      </c>
      <c r="L65">
        <f t="shared" si="1"/>
        <v>57.29</v>
      </c>
      <c r="M65">
        <f t="shared" si="2"/>
        <v>-2.5399999999999991</v>
      </c>
      <c r="N65">
        <v>7.3</v>
      </c>
      <c r="O65">
        <v>89.01</v>
      </c>
      <c r="P65">
        <v>87</v>
      </c>
      <c r="Q65">
        <v>11.6</v>
      </c>
      <c r="R65">
        <v>8.9700000000000006</v>
      </c>
      <c r="S65">
        <v>10.18</v>
      </c>
      <c r="T65">
        <v>7.12</v>
      </c>
      <c r="U65">
        <v>7.64</v>
      </c>
      <c r="V65">
        <v>3490.06</v>
      </c>
      <c r="W65">
        <v>1049.43</v>
      </c>
      <c r="X65">
        <v>1326.39</v>
      </c>
      <c r="Y65">
        <v>769.09</v>
      </c>
      <c r="Z65">
        <v>6.21</v>
      </c>
      <c r="AA65">
        <v>1.55</v>
      </c>
      <c r="AB65">
        <v>4.5</v>
      </c>
      <c r="AC65">
        <v>55.75</v>
      </c>
      <c r="AD65">
        <v>680</v>
      </c>
      <c r="AE65">
        <v>5900</v>
      </c>
      <c r="AF65">
        <v>80.97</v>
      </c>
      <c r="AG65">
        <v>0.59</v>
      </c>
      <c r="AH65">
        <v>12.2</v>
      </c>
      <c r="AI65">
        <v>53.46</v>
      </c>
      <c r="AJ65">
        <v>60</v>
      </c>
      <c r="AK65">
        <v>9</v>
      </c>
      <c r="AL65">
        <v>9</v>
      </c>
      <c r="AM65">
        <v>0.59</v>
      </c>
      <c r="AN65">
        <v>408</v>
      </c>
      <c r="AO65">
        <v>413.29</v>
      </c>
      <c r="AP65">
        <v>338725.28</v>
      </c>
      <c r="AQ65">
        <v>145492.07999999999</v>
      </c>
      <c r="AR65" t="s">
        <v>977</v>
      </c>
      <c r="AT65" s="6">
        <f t="shared" si="3"/>
        <v>11.029292237442924</v>
      </c>
    </row>
    <row r="66" spans="1:46" x14ac:dyDescent="0.55000000000000004">
      <c r="A66">
        <v>16.579999999999998</v>
      </c>
      <c r="B66">
        <v>25.63</v>
      </c>
      <c r="C66">
        <v>5476.87</v>
      </c>
      <c r="D66">
        <v>7.6</v>
      </c>
      <c r="E66" t="s">
        <v>1223</v>
      </c>
      <c r="F66" t="s">
        <v>1471</v>
      </c>
      <c r="G66" t="s">
        <v>1690</v>
      </c>
      <c r="H66" t="s">
        <v>1831</v>
      </c>
      <c r="I66">
        <v>0</v>
      </c>
      <c r="J66">
        <v>601.63</v>
      </c>
      <c r="K66">
        <f t="shared" si="0"/>
        <v>49.08</v>
      </c>
      <c r="L66">
        <f t="shared" si="1"/>
        <v>54.930000000000007</v>
      </c>
      <c r="M66">
        <f t="shared" si="2"/>
        <v>-5.8500000000000085</v>
      </c>
      <c r="N66">
        <v>7.24</v>
      </c>
      <c r="O66">
        <v>89.05</v>
      </c>
      <c r="P66">
        <v>87</v>
      </c>
      <c r="Q66">
        <v>10.5</v>
      </c>
      <c r="R66">
        <v>9.0500000000000007</v>
      </c>
      <c r="S66">
        <v>9.11</v>
      </c>
      <c r="T66">
        <v>7.48</v>
      </c>
      <c r="U66">
        <v>9.1</v>
      </c>
      <c r="V66">
        <v>3505.2</v>
      </c>
      <c r="W66">
        <v>1064.1600000000001</v>
      </c>
      <c r="X66">
        <v>1429.54</v>
      </c>
      <c r="Y66">
        <v>798.64</v>
      </c>
      <c r="Z66">
        <v>6.26</v>
      </c>
      <c r="AA66">
        <v>1.58</v>
      </c>
      <c r="AB66">
        <v>4.45</v>
      </c>
      <c r="AC66">
        <v>54.76</v>
      </c>
      <c r="AD66">
        <v>680</v>
      </c>
      <c r="AE66">
        <v>5900</v>
      </c>
      <c r="AF66">
        <v>81.67</v>
      </c>
      <c r="AG66">
        <v>0.59</v>
      </c>
      <c r="AH66">
        <v>10.08</v>
      </c>
      <c r="AI66">
        <v>60.05</v>
      </c>
      <c r="AJ66">
        <v>60</v>
      </c>
      <c r="AK66">
        <v>9</v>
      </c>
      <c r="AL66">
        <v>9</v>
      </c>
      <c r="AM66">
        <v>0.52</v>
      </c>
      <c r="AN66">
        <v>408</v>
      </c>
      <c r="AO66">
        <v>412.71</v>
      </c>
      <c r="AP66">
        <v>291660.15000000002</v>
      </c>
      <c r="AQ66">
        <v>156608.01</v>
      </c>
      <c r="AR66" t="s">
        <v>978</v>
      </c>
      <c r="AT66" s="6">
        <f t="shared" si="3"/>
        <v>7.7084554794520557</v>
      </c>
    </row>
    <row r="67" spans="1:46" x14ac:dyDescent="0.55000000000000004">
      <c r="A67">
        <v>17.27</v>
      </c>
      <c r="B67">
        <v>26.31</v>
      </c>
      <c r="C67">
        <v>5450.4</v>
      </c>
      <c r="D67">
        <v>7.6</v>
      </c>
      <c r="E67" t="s">
        <v>1224</v>
      </c>
      <c r="F67" t="s">
        <v>1472</v>
      </c>
      <c r="G67" t="s">
        <v>1691</v>
      </c>
      <c r="H67" t="s">
        <v>1832</v>
      </c>
      <c r="I67">
        <v>0</v>
      </c>
      <c r="J67">
        <v>682.44</v>
      </c>
      <c r="K67">
        <f t="shared" ref="K67:K130" si="4">IF(E67=0,0,
VALUE(MID(E67,2,FIND(",",E67)-2))+
VALUE(MID(F67,2,FIND(",",F67)-2))+
VALUE(MID(G67,2,FIND(",",G67)-2))
)</f>
        <v>54.02</v>
      </c>
      <c r="L67">
        <f t="shared" ref="L67:L130" si="5">IF(E67=0,0,
VALUE(MID(E67,FIND(",",E67)+1,FIND("]",E67)-FIND(",",E67)-1))+
VALUE(MID(F67,FIND(",",F67)+1,FIND("]",F67)-FIND(",",F67)-1))+
VALUE(MID(G67,FIND(",",G67)+1,FIND("]",G67)-FIND(",",G67)-1))
)</f>
        <v>57.43</v>
      </c>
      <c r="M67">
        <f t="shared" ref="M67:M130" si="6">(K67-L67)</f>
        <v>-3.4099999999999966</v>
      </c>
      <c r="N67">
        <v>7.29</v>
      </c>
      <c r="O67">
        <v>89.01</v>
      </c>
      <c r="P67">
        <v>90</v>
      </c>
      <c r="Q67">
        <v>11</v>
      </c>
      <c r="R67">
        <v>9.0399999999999991</v>
      </c>
      <c r="S67">
        <v>9.9</v>
      </c>
      <c r="T67">
        <v>7.37</v>
      </c>
      <c r="U67">
        <v>7.99</v>
      </c>
      <c r="V67">
        <v>3488.26</v>
      </c>
      <c r="W67">
        <v>1052.47</v>
      </c>
      <c r="X67">
        <v>1357.5</v>
      </c>
      <c r="Y67">
        <v>777.65</v>
      </c>
      <c r="Z67">
        <v>6.58</v>
      </c>
      <c r="AA67">
        <v>1.56</v>
      </c>
      <c r="AB67">
        <v>4.47</v>
      </c>
      <c r="AC67">
        <v>55.1</v>
      </c>
      <c r="AD67">
        <v>680</v>
      </c>
      <c r="AE67">
        <v>5900</v>
      </c>
      <c r="AF67">
        <v>81.61</v>
      </c>
      <c r="AG67">
        <v>0.59</v>
      </c>
      <c r="AH67">
        <v>11.68</v>
      </c>
      <c r="AI67">
        <v>57.44</v>
      </c>
      <c r="AJ67">
        <v>60</v>
      </c>
      <c r="AK67">
        <v>9</v>
      </c>
      <c r="AL67">
        <v>9</v>
      </c>
      <c r="AM67">
        <v>0.55000000000000004</v>
      </c>
      <c r="AN67">
        <v>408</v>
      </c>
      <c r="AO67">
        <v>412.92</v>
      </c>
      <c r="AP67">
        <v>323876.36</v>
      </c>
      <c r="AQ67">
        <v>167621.51</v>
      </c>
      <c r="AR67" t="s">
        <v>979</v>
      </c>
      <c r="AT67" s="6">
        <f t="shared" ref="AT67:AT130" si="7">(AP67-AQ67)/(365*24*2)</f>
        <v>8.918655821917806</v>
      </c>
    </row>
    <row r="68" spans="1:46" x14ac:dyDescent="0.55000000000000004">
      <c r="A68">
        <v>16.96</v>
      </c>
      <c r="B68">
        <v>25.95</v>
      </c>
      <c r="C68">
        <v>5490.76</v>
      </c>
      <c r="D68">
        <v>7.6</v>
      </c>
      <c r="E68" t="s">
        <v>1225</v>
      </c>
      <c r="F68" t="s">
        <v>1473</v>
      </c>
      <c r="G68" t="s">
        <v>1692</v>
      </c>
      <c r="H68" t="s">
        <v>1833</v>
      </c>
      <c r="I68">
        <v>0</v>
      </c>
      <c r="J68">
        <v>630.4</v>
      </c>
      <c r="K68">
        <f t="shared" si="4"/>
        <v>50.31</v>
      </c>
      <c r="L68">
        <f t="shared" si="5"/>
        <v>57.1</v>
      </c>
      <c r="M68">
        <f t="shared" si="6"/>
        <v>-6.7899999999999991</v>
      </c>
      <c r="N68">
        <v>7.25</v>
      </c>
      <c r="O68">
        <v>88.99</v>
      </c>
      <c r="P68">
        <v>79</v>
      </c>
      <c r="Q68">
        <v>12.5</v>
      </c>
      <c r="R68">
        <v>8.99</v>
      </c>
      <c r="S68">
        <v>10.220000000000001</v>
      </c>
      <c r="T68">
        <v>6.73</v>
      </c>
      <c r="U68">
        <v>8.7100000000000009</v>
      </c>
      <c r="V68">
        <v>3514.08</v>
      </c>
      <c r="W68">
        <v>1063.8</v>
      </c>
      <c r="X68">
        <v>1404.14</v>
      </c>
      <c r="Y68">
        <v>792.82</v>
      </c>
      <c r="Z68">
        <v>5.73</v>
      </c>
      <c r="AA68">
        <v>1.57</v>
      </c>
      <c r="AB68">
        <v>4.45</v>
      </c>
      <c r="AC68">
        <v>57.18</v>
      </c>
      <c r="AD68">
        <v>680</v>
      </c>
      <c r="AE68">
        <v>5900</v>
      </c>
      <c r="AF68">
        <v>81.19</v>
      </c>
      <c r="AG68">
        <v>0.59</v>
      </c>
      <c r="AH68">
        <v>10.53</v>
      </c>
      <c r="AI68">
        <v>53.65</v>
      </c>
      <c r="AJ68">
        <v>60</v>
      </c>
      <c r="AK68">
        <v>9</v>
      </c>
      <c r="AL68">
        <v>9</v>
      </c>
      <c r="AM68">
        <v>0.59</v>
      </c>
      <c r="AN68">
        <v>408</v>
      </c>
      <c r="AO68">
        <v>413.27</v>
      </c>
      <c r="AP68">
        <v>292172.09999999998</v>
      </c>
      <c r="AQ68">
        <v>140491.84</v>
      </c>
      <c r="AR68" t="s">
        <v>980</v>
      </c>
      <c r="AT68" s="6">
        <f t="shared" si="7"/>
        <v>8.6575490867579905</v>
      </c>
    </row>
    <row r="69" spans="1:46" x14ac:dyDescent="0.55000000000000004">
      <c r="A69">
        <v>17.760000000000002</v>
      </c>
      <c r="B69">
        <v>26</v>
      </c>
      <c r="C69">
        <v>5499.04</v>
      </c>
      <c r="D69">
        <v>7.6</v>
      </c>
      <c r="E69" t="s">
        <v>1226</v>
      </c>
      <c r="F69" t="s">
        <v>1474</v>
      </c>
      <c r="G69" t="s">
        <v>1693</v>
      </c>
      <c r="H69" t="s">
        <v>1834</v>
      </c>
      <c r="I69">
        <v>0</v>
      </c>
      <c r="J69">
        <v>880.73</v>
      </c>
      <c r="K69">
        <f t="shared" si="4"/>
        <v>58.27</v>
      </c>
      <c r="L69">
        <f t="shared" si="5"/>
        <v>59.480000000000004</v>
      </c>
      <c r="M69">
        <f t="shared" si="6"/>
        <v>-1.2100000000000009</v>
      </c>
      <c r="N69">
        <v>7.31</v>
      </c>
      <c r="O69">
        <v>89.03</v>
      </c>
      <c r="P69">
        <v>82</v>
      </c>
      <c r="Q69">
        <v>13.2</v>
      </c>
      <c r="R69">
        <v>8.24</v>
      </c>
      <c r="S69">
        <v>11.21</v>
      </c>
      <c r="T69">
        <v>6.55</v>
      </c>
      <c r="U69">
        <v>6.24</v>
      </c>
      <c r="V69">
        <v>3519.39</v>
      </c>
      <c r="W69">
        <v>1041.3399999999999</v>
      </c>
      <c r="X69">
        <v>1190.72</v>
      </c>
      <c r="Y69">
        <v>733.58</v>
      </c>
      <c r="Z69">
        <v>5.88</v>
      </c>
      <c r="AA69">
        <v>1.51</v>
      </c>
      <c r="AB69">
        <v>4.58</v>
      </c>
      <c r="AC69">
        <v>55.71</v>
      </c>
      <c r="AD69">
        <v>680</v>
      </c>
      <c r="AE69">
        <v>5900</v>
      </c>
      <c r="AF69">
        <v>74.36</v>
      </c>
      <c r="AG69">
        <v>0.59</v>
      </c>
      <c r="AH69">
        <v>14.18</v>
      </c>
      <c r="AI69">
        <v>47.54</v>
      </c>
      <c r="AJ69">
        <v>60</v>
      </c>
      <c r="AK69">
        <v>9</v>
      </c>
      <c r="AL69">
        <v>9</v>
      </c>
      <c r="AM69">
        <v>0.66</v>
      </c>
      <c r="AN69">
        <v>408</v>
      </c>
      <c r="AO69">
        <v>413.95</v>
      </c>
      <c r="AP69">
        <v>367836.91</v>
      </c>
      <c r="AQ69">
        <v>184786.09</v>
      </c>
      <c r="AR69" t="s">
        <v>981</v>
      </c>
      <c r="AT69" s="6">
        <f t="shared" si="7"/>
        <v>10.44810616438356</v>
      </c>
    </row>
    <row r="70" spans="1:46" x14ac:dyDescent="0.55000000000000004">
      <c r="A70">
        <v>17.2</v>
      </c>
      <c r="B70">
        <v>26.23</v>
      </c>
      <c r="C70">
        <v>5452.52</v>
      </c>
      <c r="D70">
        <v>7.6</v>
      </c>
      <c r="E70" t="s">
        <v>1227</v>
      </c>
      <c r="F70" t="s">
        <v>1475</v>
      </c>
      <c r="G70" t="s">
        <v>1694</v>
      </c>
      <c r="H70" t="s">
        <v>1835</v>
      </c>
      <c r="I70">
        <v>0</v>
      </c>
      <c r="J70">
        <v>655.9</v>
      </c>
      <c r="K70">
        <f t="shared" si="4"/>
        <v>52.31</v>
      </c>
      <c r="L70">
        <f t="shared" si="5"/>
        <v>56.28</v>
      </c>
      <c r="M70">
        <f t="shared" si="6"/>
        <v>-3.9699999999999989</v>
      </c>
      <c r="N70">
        <v>7.28</v>
      </c>
      <c r="O70">
        <v>89.03</v>
      </c>
      <c r="P70">
        <v>89</v>
      </c>
      <c r="Q70">
        <v>11</v>
      </c>
      <c r="R70">
        <v>9.0399999999999991</v>
      </c>
      <c r="S70">
        <v>9.8000000000000007</v>
      </c>
      <c r="T70">
        <v>7.39</v>
      </c>
      <c r="U70">
        <v>8.31</v>
      </c>
      <c r="V70">
        <v>3489.62</v>
      </c>
      <c r="W70">
        <v>1055.1300000000001</v>
      </c>
      <c r="X70">
        <v>1379.69</v>
      </c>
      <c r="Y70">
        <v>783.77</v>
      </c>
      <c r="Z70">
        <v>6.51</v>
      </c>
      <c r="AA70">
        <v>1.57</v>
      </c>
      <c r="AB70">
        <v>4.47</v>
      </c>
      <c r="AC70">
        <v>54.99</v>
      </c>
      <c r="AD70">
        <v>680</v>
      </c>
      <c r="AE70">
        <v>5900</v>
      </c>
      <c r="AF70">
        <v>81.56</v>
      </c>
      <c r="AG70">
        <v>0.59</v>
      </c>
      <c r="AH70">
        <v>11.15</v>
      </c>
      <c r="AI70">
        <v>58.62</v>
      </c>
      <c r="AJ70">
        <v>60</v>
      </c>
      <c r="AK70">
        <v>9</v>
      </c>
      <c r="AL70">
        <v>9</v>
      </c>
      <c r="AM70">
        <v>0.54</v>
      </c>
      <c r="AN70">
        <v>408</v>
      </c>
      <c r="AO70">
        <v>412.82</v>
      </c>
      <c r="AP70">
        <v>314427.56</v>
      </c>
      <c r="AQ70">
        <v>161087.19</v>
      </c>
      <c r="AR70" t="s">
        <v>2008</v>
      </c>
      <c r="AT70" s="6">
        <f t="shared" si="7"/>
        <v>8.7523042237442912</v>
      </c>
    </row>
    <row r="71" spans="1:46" x14ac:dyDescent="0.55000000000000004">
      <c r="A71">
        <v>16.7</v>
      </c>
      <c r="B71">
        <v>25.72</v>
      </c>
      <c r="C71">
        <v>5484.72</v>
      </c>
      <c r="D71">
        <v>7.6</v>
      </c>
      <c r="E71" t="s">
        <v>1228</v>
      </c>
      <c r="F71" t="s">
        <v>1476</v>
      </c>
      <c r="G71" t="s">
        <v>1695</v>
      </c>
      <c r="H71" t="s">
        <v>1836</v>
      </c>
      <c r="I71">
        <v>0</v>
      </c>
      <c r="J71">
        <v>614.84</v>
      </c>
      <c r="K71">
        <f t="shared" si="4"/>
        <v>49.48</v>
      </c>
      <c r="L71">
        <f t="shared" si="5"/>
        <v>55.39</v>
      </c>
      <c r="M71">
        <f t="shared" si="6"/>
        <v>-5.9100000000000037</v>
      </c>
      <c r="N71">
        <v>7.25</v>
      </c>
      <c r="O71">
        <v>88.97</v>
      </c>
      <c r="P71">
        <v>84</v>
      </c>
      <c r="Q71">
        <v>11.3</v>
      </c>
      <c r="R71">
        <v>9.02</v>
      </c>
      <c r="S71">
        <v>9.58</v>
      </c>
      <c r="T71">
        <v>7.12</v>
      </c>
      <c r="U71">
        <v>8.92</v>
      </c>
      <c r="V71">
        <v>3510.22</v>
      </c>
      <c r="W71">
        <v>1064.28</v>
      </c>
      <c r="X71">
        <v>1418.16</v>
      </c>
      <c r="Y71">
        <v>796.16</v>
      </c>
      <c r="Z71">
        <v>6.25</v>
      </c>
      <c r="AA71">
        <v>1.58</v>
      </c>
      <c r="AB71">
        <v>4.45</v>
      </c>
      <c r="AC71">
        <v>55.89</v>
      </c>
      <c r="AD71">
        <v>680</v>
      </c>
      <c r="AE71">
        <v>5900</v>
      </c>
      <c r="AF71">
        <v>81.42</v>
      </c>
      <c r="AG71">
        <v>0.59</v>
      </c>
      <c r="AH71">
        <v>10.28</v>
      </c>
      <c r="AI71">
        <v>59.55</v>
      </c>
      <c r="AJ71">
        <v>60</v>
      </c>
      <c r="AK71">
        <v>9</v>
      </c>
      <c r="AL71">
        <v>9</v>
      </c>
      <c r="AM71">
        <v>0.53</v>
      </c>
      <c r="AN71">
        <v>408</v>
      </c>
      <c r="AO71">
        <v>412.75</v>
      </c>
      <c r="AP71">
        <v>290944.39</v>
      </c>
      <c r="AQ71">
        <v>160504.66</v>
      </c>
      <c r="AR71" t="s">
        <v>982</v>
      </c>
      <c r="AT71" s="6">
        <f t="shared" si="7"/>
        <v>7.4451900684931509</v>
      </c>
    </row>
    <row r="72" spans="1:46" x14ac:dyDescent="0.55000000000000004">
      <c r="A72">
        <v>16.920000000000002</v>
      </c>
      <c r="B72">
        <v>25.98</v>
      </c>
      <c r="C72">
        <v>5462.82</v>
      </c>
      <c r="D72">
        <v>7.6</v>
      </c>
      <c r="E72" t="s">
        <v>1229</v>
      </c>
      <c r="F72" t="s">
        <v>1477</v>
      </c>
      <c r="G72" t="s">
        <v>1696</v>
      </c>
      <c r="H72" t="s">
        <v>1837</v>
      </c>
      <c r="I72">
        <v>0</v>
      </c>
      <c r="J72">
        <v>610.35</v>
      </c>
      <c r="K72">
        <f t="shared" si="4"/>
        <v>49.82</v>
      </c>
      <c r="L72">
        <f t="shared" si="5"/>
        <v>55.78</v>
      </c>
      <c r="M72">
        <f t="shared" si="6"/>
        <v>-5.9600000000000009</v>
      </c>
      <c r="N72">
        <v>7.25</v>
      </c>
      <c r="O72">
        <v>89.06</v>
      </c>
      <c r="P72">
        <v>89</v>
      </c>
      <c r="Q72">
        <v>10.6</v>
      </c>
      <c r="R72">
        <v>9.06</v>
      </c>
      <c r="S72">
        <v>9.41</v>
      </c>
      <c r="T72">
        <v>7.52</v>
      </c>
      <c r="U72">
        <v>8.9499999999999993</v>
      </c>
      <c r="V72">
        <v>3496.21</v>
      </c>
      <c r="W72">
        <v>1060.95</v>
      </c>
      <c r="X72">
        <v>1420.28</v>
      </c>
      <c r="Y72">
        <v>795.25</v>
      </c>
      <c r="Z72">
        <v>6.25</v>
      </c>
      <c r="AA72">
        <v>1.58</v>
      </c>
      <c r="AB72">
        <v>4.4400000000000004</v>
      </c>
      <c r="AC72">
        <v>54.66</v>
      </c>
      <c r="AD72">
        <v>680</v>
      </c>
      <c r="AE72">
        <v>5900</v>
      </c>
      <c r="AF72">
        <v>81.78</v>
      </c>
      <c r="AG72">
        <v>0.59</v>
      </c>
      <c r="AH72">
        <v>10.29</v>
      </c>
      <c r="AI72">
        <v>59.13</v>
      </c>
      <c r="AJ72">
        <v>60</v>
      </c>
      <c r="AK72">
        <v>9</v>
      </c>
      <c r="AL72">
        <v>9</v>
      </c>
      <c r="AM72">
        <v>0.53</v>
      </c>
      <c r="AN72">
        <v>408</v>
      </c>
      <c r="AO72">
        <v>412.78</v>
      </c>
      <c r="AP72">
        <v>292474.2</v>
      </c>
      <c r="AQ72">
        <v>159270.82</v>
      </c>
      <c r="AR72" t="s">
        <v>983</v>
      </c>
      <c r="AT72" s="6">
        <f t="shared" si="7"/>
        <v>7.6029326484018265</v>
      </c>
    </row>
    <row r="73" spans="1:46" x14ac:dyDescent="0.55000000000000004">
      <c r="A73">
        <v>17.05</v>
      </c>
      <c r="B73">
        <v>26.11</v>
      </c>
      <c r="C73">
        <v>5451.31</v>
      </c>
      <c r="D73">
        <v>7.6</v>
      </c>
      <c r="E73" t="s">
        <v>1230</v>
      </c>
      <c r="F73" t="s">
        <v>1478</v>
      </c>
      <c r="G73" t="s">
        <v>1697</v>
      </c>
      <c r="H73" t="s">
        <v>1838</v>
      </c>
      <c r="I73">
        <v>0</v>
      </c>
      <c r="J73">
        <v>611.04</v>
      </c>
      <c r="K73">
        <f t="shared" si="4"/>
        <v>49.819999999999993</v>
      </c>
      <c r="L73">
        <f t="shared" si="5"/>
        <v>55.009999999999991</v>
      </c>
      <c r="M73">
        <f t="shared" si="6"/>
        <v>-5.1899999999999977</v>
      </c>
      <c r="N73">
        <v>7.25</v>
      </c>
      <c r="O73">
        <v>89.06</v>
      </c>
      <c r="P73">
        <v>88</v>
      </c>
      <c r="Q73">
        <v>11</v>
      </c>
      <c r="R73">
        <v>9.0500000000000007</v>
      </c>
      <c r="S73">
        <v>9.6999999999999993</v>
      </c>
      <c r="T73">
        <v>7.35</v>
      </c>
      <c r="U73">
        <v>8.92</v>
      </c>
      <c r="V73">
        <v>3488.84</v>
      </c>
      <c r="W73">
        <v>1058.8800000000001</v>
      </c>
      <c r="X73">
        <v>1418.31</v>
      </c>
      <c r="Y73">
        <v>793.94</v>
      </c>
      <c r="Z73">
        <v>6.34</v>
      </c>
      <c r="AA73">
        <v>1.58</v>
      </c>
      <c r="AB73">
        <v>4.4400000000000004</v>
      </c>
      <c r="AC73">
        <v>55.18</v>
      </c>
      <c r="AD73">
        <v>680</v>
      </c>
      <c r="AE73">
        <v>5900</v>
      </c>
      <c r="AF73">
        <v>81.73</v>
      </c>
      <c r="AG73">
        <v>0.59</v>
      </c>
      <c r="AH73">
        <v>10.32</v>
      </c>
      <c r="AI73">
        <v>59.97</v>
      </c>
      <c r="AJ73">
        <v>60</v>
      </c>
      <c r="AK73">
        <v>9</v>
      </c>
      <c r="AL73">
        <v>9</v>
      </c>
      <c r="AM73">
        <v>0.52</v>
      </c>
      <c r="AN73">
        <v>408</v>
      </c>
      <c r="AO73">
        <v>412.71</v>
      </c>
      <c r="AP73">
        <v>298566.99</v>
      </c>
      <c r="AQ73">
        <v>154262.07</v>
      </c>
      <c r="AR73" t="s">
        <v>984</v>
      </c>
      <c r="AT73" s="6">
        <f t="shared" si="7"/>
        <v>8.2365821917808208</v>
      </c>
    </row>
    <row r="74" spans="1:46" x14ac:dyDescent="0.55000000000000004">
      <c r="A74">
        <v>17.84</v>
      </c>
      <c r="B74">
        <v>26.82</v>
      </c>
      <c r="C74">
        <v>5483.89</v>
      </c>
      <c r="D74">
        <v>7.6</v>
      </c>
      <c r="E74" t="s">
        <v>1231</v>
      </c>
      <c r="F74" t="s">
        <v>1479</v>
      </c>
      <c r="G74" t="s">
        <v>1698</v>
      </c>
      <c r="H74" t="s">
        <v>1839</v>
      </c>
      <c r="I74">
        <v>0</v>
      </c>
      <c r="J74">
        <v>796.47</v>
      </c>
      <c r="K74">
        <f t="shared" si="4"/>
        <v>61.010000000000005</v>
      </c>
      <c r="L74">
        <f t="shared" si="5"/>
        <v>62.120000000000005</v>
      </c>
      <c r="M74">
        <f t="shared" si="6"/>
        <v>-1.1099999999999994</v>
      </c>
      <c r="N74">
        <v>7.35</v>
      </c>
      <c r="O74">
        <v>89</v>
      </c>
      <c r="P74">
        <v>85</v>
      </c>
      <c r="Q74">
        <v>12.7</v>
      </c>
      <c r="R74">
        <v>8.98</v>
      </c>
      <c r="S74">
        <v>11.05</v>
      </c>
      <c r="T74">
        <v>6.79</v>
      </c>
      <c r="U74">
        <v>6.89</v>
      </c>
      <c r="V74">
        <v>3509.69</v>
      </c>
      <c r="W74">
        <v>1050.24</v>
      </c>
      <c r="X74">
        <v>1283.79</v>
      </c>
      <c r="Y74">
        <v>760.14</v>
      </c>
      <c r="Z74">
        <v>6.38</v>
      </c>
      <c r="AA74">
        <v>1.54</v>
      </c>
      <c r="AB74">
        <v>4.51</v>
      </c>
      <c r="AC74">
        <v>56.93</v>
      </c>
      <c r="AD74">
        <v>680</v>
      </c>
      <c r="AE74">
        <v>5900</v>
      </c>
      <c r="AF74">
        <v>81.069999999999993</v>
      </c>
      <c r="AG74">
        <v>0.59</v>
      </c>
      <c r="AH74">
        <v>13.78</v>
      </c>
      <c r="AI74">
        <v>49.3</v>
      </c>
      <c r="AJ74">
        <v>60</v>
      </c>
      <c r="AK74">
        <v>9</v>
      </c>
      <c r="AL74">
        <v>9</v>
      </c>
      <c r="AM74">
        <v>0.64</v>
      </c>
      <c r="AN74">
        <v>408</v>
      </c>
      <c r="AO74">
        <v>413.74</v>
      </c>
      <c r="AP74">
        <v>367046.97</v>
      </c>
      <c r="AQ74">
        <v>169484.51</v>
      </c>
      <c r="AR74" t="s">
        <v>985</v>
      </c>
      <c r="AT74" s="6">
        <f t="shared" si="7"/>
        <v>11.276396118721459</v>
      </c>
    </row>
    <row r="75" spans="1:46" x14ac:dyDescent="0.55000000000000004">
      <c r="A75">
        <v>17.940000000000001</v>
      </c>
      <c r="B75">
        <v>26.91</v>
      </c>
      <c r="C75">
        <v>5492.55</v>
      </c>
      <c r="D75">
        <v>7.6</v>
      </c>
      <c r="E75" t="s">
        <v>1232</v>
      </c>
      <c r="F75" t="s">
        <v>1480</v>
      </c>
      <c r="G75" t="s">
        <v>1699</v>
      </c>
      <c r="H75" t="s">
        <v>1840</v>
      </c>
      <c r="I75">
        <v>0</v>
      </c>
      <c r="J75">
        <v>770.95</v>
      </c>
      <c r="K75">
        <f t="shared" si="4"/>
        <v>58.78</v>
      </c>
      <c r="L75">
        <f t="shared" si="5"/>
        <v>59.300000000000004</v>
      </c>
      <c r="M75">
        <f t="shared" si="6"/>
        <v>-0.52000000000000313</v>
      </c>
      <c r="N75">
        <v>7.33</v>
      </c>
      <c r="O75">
        <v>89.03</v>
      </c>
      <c r="P75">
        <v>84</v>
      </c>
      <c r="Q75">
        <v>13</v>
      </c>
      <c r="R75">
        <v>8.98</v>
      </c>
      <c r="S75">
        <v>11.23</v>
      </c>
      <c r="T75">
        <v>6.7</v>
      </c>
      <c r="U75">
        <v>7.12</v>
      </c>
      <c r="V75">
        <v>3515.23</v>
      </c>
      <c r="W75">
        <v>1053.1500000000001</v>
      </c>
      <c r="X75">
        <v>1298.6500000000001</v>
      </c>
      <c r="Y75">
        <v>764.66</v>
      </c>
      <c r="Z75">
        <v>6.44</v>
      </c>
      <c r="AA75">
        <v>1.56</v>
      </c>
      <c r="AB75">
        <v>4.4800000000000004</v>
      </c>
      <c r="AC75">
        <v>57.24</v>
      </c>
      <c r="AD75">
        <v>680</v>
      </c>
      <c r="AE75">
        <v>5900</v>
      </c>
      <c r="AF75">
        <v>81.02</v>
      </c>
      <c r="AG75">
        <v>0.59</v>
      </c>
      <c r="AH75">
        <v>13.23</v>
      </c>
      <c r="AI75">
        <v>51.65</v>
      </c>
      <c r="AJ75">
        <v>60</v>
      </c>
      <c r="AK75">
        <v>9</v>
      </c>
      <c r="AL75">
        <v>9</v>
      </c>
      <c r="AM75">
        <v>0.61</v>
      </c>
      <c r="AN75">
        <v>408</v>
      </c>
      <c r="AO75">
        <v>413.47</v>
      </c>
      <c r="AP75">
        <v>366708.9</v>
      </c>
      <c r="AQ75">
        <v>156807.4</v>
      </c>
      <c r="AR75" t="s">
        <v>986</v>
      </c>
      <c r="AT75" s="6">
        <f t="shared" si="7"/>
        <v>11.980679223744295</v>
      </c>
    </row>
    <row r="76" spans="1:46" x14ac:dyDescent="0.55000000000000004">
      <c r="A76">
        <v>17.45</v>
      </c>
      <c r="B76">
        <v>26.43</v>
      </c>
      <c r="C76">
        <v>5462.42</v>
      </c>
      <c r="D76">
        <v>7.6</v>
      </c>
      <c r="E76" t="s">
        <v>1233</v>
      </c>
      <c r="F76" t="s">
        <v>1481</v>
      </c>
      <c r="G76" t="s">
        <v>1689</v>
      </c>
      <c r="H76" t="s">
        <v>1841</v>
      </c>
      <c r="I76">
        <v>0</v>
      </c>
      <c r="J76">
        <v>730.14</v>
      </c>
      <c r="K76">
        <f t="shared" si="4"/>
        <v>56.06</v>
      </c>
      <c r="L76">
        <f t="shared" si="5"/>
        <v>57.32</v>
      </c>
      <c r="M76">
        <f t="shared" si="6"/>
        <v>-1.259999999999998</v>
      </c>
      <c r="N76">
        <v>7.31</v>
      </c>
      <c r="O76">
        <v>89.04</v>
      </c>
      <c r="P76">
        <v>87</v>
      </c>
      <c r="Q76">
        <v>12</v>
      </c>
      <c r="R76">
        <v>8.98</v>
      </c>
      <c r="S76">
        <v>10.58</v>
      </c>
      <c r="T76">
        <v>6.88</v>
      </c>
      <c r="U76">
        <v>7.48</v>
      </c>
      <c r="V76">
        <v>3495.95</v>
      </c>
      <c r="W76">
        <v>1050.01</v>
      </c>
      <c r="X76">
        <v>1317.16</v>
      </c>
      <c r="Y76">
        <v>767.3</v>
      </c>
      <c r="Z76">
        <v>6.36</v>
      </c>
      <c r="AA76">
        <v>1.55</v>
      </c>
      <c r="AB76">
        <v>4.49</v>
      </c>
      <c r="AC76">
        <v>56.62</v>
      </c>
      <c r="AD76">
        <v>680</v>
      </c>
      <c r="AE76">
        <v>5900</v>
      </c>
      <c r="AF76">
        <v>81.02</v>
      </c>
      <c r="AG76">
        <v>0.59</v>
      </c>
      <c r="AH76">
        <v>12.5</v>
      </c>
      <c r="AI76">
        <v>53.44</v>
      </c>
      <c r="AJ76">
        <v>60</v>
      </c>
      <c r="AK76">
        <v>9</v>
      </c>
      <c r="AL76">
        <v>9</v>
      </c>
      <c r="AM76">
        <v>0.59</v>
      </c>
      <c r="AN76">
        <v>408</v>
      </c>
      <c r="AO76">
        <v>413.29</v>
      </c>
      <c r="AP76">
        <v>354258.68</v>
      </c>
      <c r="AQ76">
        <v>145591.70000000001</v>
      </c>
      <c r="AR76" t="s">
        <v>987</v>
      </c>
      <c r="AT76" s="6">
        <f t="shared" si="7"/>
        <v>11.910215753424657</v>
      </c>
    </row>
    <row r="77" spans="1:46" x14ac:dyDescent="0.55000000000000004">
      <c r="A77">
        <v>16.79</v>
      </c>
      <c r="B77">
        <v>25.87</v>
      </c>
      <c r="C77">
        <v>5464.21</v>
      </c>
      <c r="D77">
        <v>7.6</v>
      </c>
      <c r="E77" t="s">
        <v>1234</v>
      </c>
      <c r="F77" t="s">
        <v>1482</v>
      </c>
      <c r="G77" t="s">
        <v>1700</v>
      </c>
      <c r="H77" t="s">
        <v>1842</v>
      </c>
      <c r="I77">
        <v>0</v>
      </c>
      <c r="J77">
        <v>597.16999999999996</v>
      </c>
      <c r="K77">
        <f t="shared" si="4"/>
        <v>48.94</v>
      </c>
      <c r="L77">
        <f t="shared" si="5"/>
        <v>54.75</v>
      </c>
      <c r="M77">
        <f t="shared" si="6"/>
        <v>-5.8100000000000023</v>
      </c>
      <c r="N77">
        <v>7.24</v>
      </c>
      <c r="O77">
        <v>88.98</v>
      </c>
      <c r="P77">
        <v>89</v>
      </c>
      <c r="Q77">
        <v>10.5</v>
      </c>
      <c r="R77">
        <v>9.08</v>
      </c>
      <c r="S77">
        <v>9.31</v>
      </c>
      <c r="T77">
        <v>7.48</v>
      </c>
      <c r="U77">
        <v>9.15</v>
      </c>
      <c r="V77">
        <v>3497.1</v>
      </c>
      <c r="W77">
        <v>1062.55</v>
      </c>
      <c r="X77">
        <v>1433.58</v>
      </c>
      <c r="Y77">
        <v>798.91</v>
      </c>
      <c r="Z77">
        <v>6.26</v>
      </c>
      <c r="AA77">
        <v>1.58</v>
      </c>
      <c r="AB77">
        <v>4.4400000000000004</v>
      </c>
      <c r="AC77">
        <v>54.85</v>
      </c>
      <c r="AD77">
        <v>680</v>
      </c>
      <c r="AE77">
        <v>5900</v>
      </c>
      <c r="AF77">
        <v>81.98</v>
      </c>
      <c r="AG77">
        <v>0.59</v>
      </c>
      <c r="AH77">
        <v>10.06</v>
      </c>
      <c r="AI77">
        <v>60.24</v>
      </c>
      <c r="AJ77">
        <v>60</v>
      </c>
      <c r="AK77">
        <v>9</v>
      </c>
      <c r="AL77">
        <v>9</v>
      </c>
      <c r="AM77">
        <v>0.52</v>
      </c>
      <c r="AN77">
        <v>408</v>
      </c>
      <c r="AO77">
        <v>412.69</v>
      </c>
      <c r="AP77">
        <v>290833.96999999997</v>
      </c>
      <c r="AQ77">
        <v>154041.65</v>
      </c>
      <c r="AR77" t="s">
        <v>988</v>
      </c>
      <c r="AT77" s="6">
        <f t="shared" si="7"/>
        <v>7.8077808219178069</v>
      </c>
    </row>
    <row r="78" spans="1:46" x14ac:dyDescent="0.55000000000000004">
      <c r="A78">
        <v>16.649999999999999</v>
      </c>
      <c r="B78">
        <v>25.72</v>
      </c>
      <c r="C78">
        <v>5469.69</v>
      </c>
      <c r="D78">
        <v>7.59</v>
      </c>
      <c r="E78" t="s">
        <v>1235</v>
      </c>
      <c r="F78" t="s">
        <v>1483</v>
      </c>
      <c r="G78" t="s">
        <v>1701</v>
      </c>
      <c r="H78" t="s">
        <v>1843</v>
      </c>
      <c r="I78">
        <v>0</v>
      </c>
      <c r="J78">
        <v>634.45000000000005</v>
      </c>
      <c r="K78">
        <f t="shared" si="4"/>
        <v>50.73</v>
      </c>
      <c r="L78">
        <f t="shared" si="5"/>
        <v>57.59</v>
      </c>
      <c r="M78">
        <f t="shared" si="6"/>
        <v>-6.8600000000000065</v>
      </c>
      <c r="N78">
        <v>7.26</v>
      </c>
      <c r="O78">
        <v>88.98</v>
      </c>
      <c r="P78">
        <v>88</v>
      </c>
      <c r="Q78">
        <v>10.4</v>
      </c>
      <c r="R78">
        <v>9.07</v>
      </c>
      <c r="S78">
        <v>9.11</v>
      </c>
      <c r="T78">
        <v>7.54</v>
      </c>
      <c r="U78">
        <v>8.6199999999999992</v>
      </c>
      <c r="V78">
        <v>3500.6</v>
      </c>
      <c r="W78">
        <v>1059.82</v>
      </c>
      <c r="X78">
        <v>1398.59</v>
      </c>
      <c r="Y78">
        <v>789.92</v>
      </c>
      <c r="Z78">
        <v>5.73</v>
      </c>
      <c r="AA78">
        <v>1.56</v>
      </c>
      <c r="AB78">
        <v>4.47</v>
      </c>
      <c r="AC78">
        <v>54.62</v>
      </c>
      <c r="AD78">
        <v>680</v>
      </c>
      <c r="AE78">
        <v>5900</v>
      </c>
      <c r="AF78">
        <v>81.88</v>
      </c>
      <c r="AG78">
        <v>0.59</v>
      </c>
      <c r="AH78">
        <v>10.74</v>
      </c>
      <c r="AI78">
        <v>53.18</v>
      </c>
      <c r="AJ78">
        <v>60</v>
      </c>
      <c r="AK78">
        <v>9</v>
      </c>
      <c r="AL78">
        <v>9</v>
      </c>
      <c r="AM78">
        <v>0.59</v>
      </c>
      <c r="AN78">
        <v>408</v>
      </c>
      <c r="AO78">
        <v>413.32</v>
      </c>
      <c r="AP78">
        <v>292119.25</v>
      </c>
      <c r="AQ78">
        <v>140758.93</v>
      </c>
      <c r="AR78" t="s">
        <v>989</v>
      </c>
      <c r="AT78" s="6">
        <f t="shared" si="7"/>
        <v>8.6392876712328768</v>
      </c>
    </row>
    <row r="79" spans="1:46" x14ac:dyDescent="0.55000000000000004">
      <c r="A79">
        <v>17.03</v>
      </c>
      <c r="B79">
        <v>26.08</v>
      </c>
      <c r="C79">
        <v>5459.79</v>
      </c>
      <c r="D79">
        <v>7.6</v>
      </c>
      <c r="E79" t="s">
        <v>1236</v>
      </c>
      <c r="F79" t="s">
        <v>1484</v>
      </c>
      <c r="G79" t="s">
        <v>1702</v>
      </c>
      <c r="H79" t="s">
        <v>1844</v>
      </c>
      <c r="I79">
        <v>0</v>
      </c>
      <c r="J79">
        <v>659.03</v>
      </c>
      <c r="K79">
        <f t="shared" si="4"/>
        <v>52.269999999999996</v>
      </c>
      <c r="L79">
        <f t="shared" si="5"/>
        <v>59.330000000000005</v>
      </c>
      <c r="M79">
        <f t="shared" si="6"/>
        <v>-7.0600000000000094</v>
      </c>
      <c r="N79">
        <v>7.28</v>
      </c>
      <c r="O79">
        <v>88.96</v>
      </c>
      <c r="P79">
        <v>88</v>
      </c>
      <c r="Q79">
        <v>10.8</v>
      </c>
      <c r="R79">
        <v>9.0500000000000007</v>
      </c>
      <c r="S79">
        <v>9.5</v>
      </c>
      <c r="T79">
        <v>7.52</v>
      </c>
      <c r="U79">
        <v>8.2799999999999994</v>
      </c>
      <c r="V79">
        <v>3494.27</v>
      </c>
      <c r="W79">
        <v>1056.1300000000001</v>
      </c>
      <c r="X79">
        <v>1377.93</v>
      </c>
      <c r="Y79">
        <v>783.8</v>
      </c>
      <c r="Z79">
        <v>5.73</v>
      </c>
      <c r="AA79">
        <v>1.56</v>
      </c>
      <c r="AB79">
        <v>4.47</v>
      </c>
      <c r="AC79">
        <v>54.62</v>
      </c>
      <c r="AD79">
        <v>680</v>
      </c>
      <c r="AE79">
        <v>5900</v>
      </c>
      <c r="AF79">
        <v>81.739999999999995</v>
      </c>
      <c r="AG79">
        <v>0.59</v>
      </c>
      <c r="AH79">
        <v>11.22</v>
      </c>
      <c r="AI79">
        <v>51.64</v>
      </c>
      <c r="AJ79">
        <v>60</v>
      </c>
      <c r="AK79">
        <v>9</v>
      </c>
      <c r="AL79">
        <v>9</v>
      </c>
      <c r="AM79">
        <v>0.61</v>
      </c>
      <c r="AN79">
        <v>408</v>
      </c>
      <c r="AO79">
        <v>413.48</v>
      </c>
      <c r="AP79">
        <v>293654.21999999997</v>
      </c>
      <c r="AQ79">
        <v>147743.56</v>
      </c>
      <c r="AR79" t="s">
        <v>990</v>
      </c>
      <c r="AT79" s="6">
        <f t="shared" si="7"/>
        <v>8.3282340182648387</v>
      </c>
    </row>
    <row r="80" spans="1:46" x14ac:dyDescent="0.55000000000000004">
      <c r="A80">
        <v>17.82</v>
      </c>
      <c r="B80">
        <v>26.5</v>
      </c>
      <c r="C80">
        <v>5497.29</v>
      </c>
      <c r="D80">
        <v>7.6</v>
      </c>
      <c r="E80" t="s">
        <v>1237</v>
      </c>
      <c r="F80" t="s">
        <v>1485</v>
      </c>
      <c r="G80" t="s">
        <v>1703</v>
      </c>
      <c r="H80" t="s">
        <v>1845</v>
      </c>
      <c r="I80">
        <v>0</v>
      </c>
      <c r="J80">
        <v>821.93</v>
      </c>
      <c r="K80">
        <f t="shared" si="4"/>
        <v>60.86</v>
      </c>
      <c r="L80">
        <f t="shared" si="5"/>
        <v>61.66</v>
      </c>
      <c r="M80">
        <f t="shared" si="6"/>
        <v>-0.79999999999999716</v>
      </c>
      <c r="N80">
        <v>7.34</v>
      </c>
      <c r="O80">
        <v>89.06</v>
      </c>
      <c r="P80">
        <v>83</v>
      </c>
      <c r="Q80">
        <v>13.1</v>
      </c>
      <c r="R80">
        <v>8.69</v>
      </c>
      <c r="S80">
        <v>11.22</v>
      </c>
      <c r="T80">
        <v>6.6</v>
      </c>
      <c r="U80">
        <v>6.69</v>
      </c>
      <c r="V80">
        <v>3518.26</v>
      </c>
      <c r="W80">
        <v>1049.6300000000001</v>
      </c>
      <c r="X80">
        <v>1260.32</v>
      </c>
      <c r="Y80">
        <v>754.22</v>
      </c>
      <c r="Z80">
        <v>6.41</v>
      </c>
      <c r="AA80">
        <v>1.54</v>
      </c>
      <c r="AB80">
        <v>4.53</v>
      </c>
      <c r="AC80">
        <v>56.84</v>
      </c>
      <c r="AD80">
        <v>680</v>
      </c>
      <c r="AE80">
        <v>5900</v>
      </c>
      <c r="AF80">
        <v>78.41</v>
      </c>
      <c r="AG80">
        <v>0.59</v>
      </c>
      <c r="AH80">
        <v>13.78</v>
      </c>
      <c r="AI80">
        <v>49.67</v>
      </c>
      <c r="AJ80">
        <v>60</v>
      </c>
      <c r="AK80">
        <v>9</v>
      </c>
      <c r="AL80">
        <v>9</v>
      </c>
      <c r="AM80">
        <v>0.63</v>
      </c>
      <c r="AN80">
        <v>408</v>
      </c>
      <c r="AO80">
        <v>413.69</v>
      </c>
      <c r="AP80">
        <v>369192.54</v>
      </c>
      <c r="AQ80">
        <v>182521.5</v>
      </c>
      <c r="AR80" t="s">
        <v>991</v>
      </c>
      <c r="AT80" s="6">
        <f t="shared" si="7"/>
        <v>10.654739726027396</v>
      </c>
    </row>
    <row r="81" spans="1:46" x14ac:dyDescent="0.55000000000000004">
      <c r="A81">
        <v>17.309999999999999</v>
      </c>
      <c r="B81">
        <v>26.29</v>
      </c>
      <c r="C81">
        <v>5456.65</v>
      </c>
      <c r="D81">
        <v>7.6</v>
      </c>
      <c r="E81" t="s">
        <v>1238</v>
      </c>
      <c r="F81" t="s">
        <v>1486</v>
      </c>
      <c r="G81" t="s">
        <v>1698</v>
      </c>
      <c r="H81" t="s">
        <v>1846</v>
      </c>
      <c r="I81">
        <v>0</v>
      </c>
      <c r="J81">
        <v>719.98</v>
      </c>
      <c r="K81">
        <f t="shared" si="4"/>
        <v>55.44</v>
      </c>
      <c r="L81">
        <f t="shared" si="5"/>
        <v>57.31</v>
      </c>
      <c r="M81">
        <f t="shared" si="6"/>
        <v>-1.8700000000000045</v>
      </c>
      <c r="N81">
        <v>7.3</v>
      </c>
      <c r="O81">
        <v>89.01</v>
      </c>
      <c r="P81">
        <v>86</v>
      </c>
      <c r="Q81">
        <v>12</v>
      </c>
      <c r="R81">
        <v>8.98</v>
      </c>
      <c r="S81">
        <v>10.47</v>
      </c>
      <c r="T81">
        <v>6.84</v>
      </c>
      <c r="U81">
        <v>7.58</v>
      </c>
      <c r="V81">
        <v>3492.26</v>
      </c>
      <c r="W81">
        <v>1049.57</v>
      </c>
      <c r="X81">
        <v>1322.33</v>
      </c>
      <c r="Y81">
        <v>768.22</v>
      </c>
      <c r="Z81">
        <v>6.29</v>
      </c>
      <c r="AA81">
        <v>1.55</v>
      </c>
      <c r="AB81">
        <v>4.5</v>
      </c>
      <c r="AC81">
        <v>56.78</v>
      </c>
      <c r="AD81">
        <v>680</v>
      </c>
      <c r="AE81">
        <v>5900</v>
      </c>
      <c r="AF81">
        <v>81.06</v>
      </c>
      <c r="AG81">
        <v>0.59</v>
      </c>
      <c r="AH81">
        <v>12.32</v>
      </c>
      <c r="AI81">
        <v>53.45</v>
      </c>
      <c r="AJ81">
        <v>60</v>
      </c>
      <c r="AK81">
        <v>9</v>
      </c>
      <c r="AL81">
        <v>9</v>
      </c>
      <c r="AM81">
        <v>0.59</v>
      </c>
      <c r="AN81">
        <v>408</v>
      </c>
      <c r="AO81">
        <v>413.29</v>
      </c>
      <c r="AP81">
        <v>347745.74</v>
      </c>
      <c r="AQ81">
        <v>145375.96</v>
      </c>
      <c r="AR81" t="s">
        <v>992</v>
      </c>
      <c r="AT81" s="6">
        <f t="shared" si="7"/>
        <v>11.550786529680366</v>
      </c>
    </row>
    <row r="82" spans="1:46" x14ac:dyDescent="0.55000000000000004">
      <c r="A82">
        <v>18.3</v>
      </c>
      <c r="B82">
        <v>27.36</v>
      </c>
      <c r="C82">
        <v>5489.33</v>
      </c>
      <c r="D82">
        <v>7.59</v>
      </c>
      <c r="E82" t="s">
        <v>1239</v>
      </c>
      <c r="F82" t="s">
        <v>1487</v>
      </c>
      <c r="G82" t="s">
        <v>1704</v>
      </c>
      <c r="H82" t="s">
        <v>1847</v>
      </c>
      <c r="I82">
        <v>0</v>
      </c>
      <c r="J82">
        <v>693.29</v>
      </c>
      <c r="K82">
        <f t="shared" si="4"/>
        <v>53.839999999999996</v>
      </c>
      <c r="L82">
        <f t="shared" si="5"/>
        <v>61.260000000000005</v>
      </c>
      <c r="M82">
        <f t="shared" si="6"/>
        <v>-7.4200000000000088</v>
      </c>
      <c r="N82">
        <v>7.3</v>
      </c>
      <c r="O82">
        <v>89.01</v>
      </c>
      <c r="P82">
        <v>61</v>
      </c>
      <c r="Q82">
        <v>17</v>
      </c>
      <c r="R82">
        <v>9.06</v>
      </c>
      <c r="S82">
        <v>12.43</v>
      </c>
      <c r="T82">
        <v>5.87</v>
      </c>
      <c r="U82">
        <v>7.92</v>
      </c>
      <c r="V82">
        <v>3513.17</v>
      </c>
      <c r="W82">
        <v>1058.8</v>
      </c>
      <c r="X82">
        <v>1356.51</v>
      </c>
      <c r="Y82">
        <v>780.22</v>
      </c>
      <c r="Z82">
        <v>5.71</v>
      </c>
      <c r="AA82">
        <v>1.57</v>
      </c>
      <c r="AB82">
        <v>4.4400000000000004</v>
      </c>
      <c r="AC82">
        <v>60.69</v>
      </c>
      <c r="AD82">
        <v>680</v>
      </c>
      <c r="AE82">
        <v>5900</v>
      </c>
      <c r="AF82">
        <v>81.78</v>
      </c>
      <c r="AG82">
        <v>0.59</v>
      </c>
      <c r="AH82">
        <v>11.82</v>
      </c>
      <c r="AI82">
        <v>50</v>
      </c>
      <c r="AJ82">
        <v>60</v>
      </c>
      <c r="AK82">
        <v>9</v>
      </c>
      <c r="AL82">
        <v>9</v>
      </c>
      <c r="AM82">
        <v>0.63</v>
      </c>
      <c r="AN82">
        <v>408</v>
      </c>
      <c r="AO82">
        <v>413.65</v>
      </c>
      <c r="AP82">
        <v>293053.23</v>
      </c>
      <c r="AQ82">
        <v>160259.94</v>
      </c>
      <c r="AR82" t="s">
        <v>993</v>
      </c>
      <c r="AT82" s="6">
        <f t="shared" si="7"/>
        <v>7.5795256849315056</v>
      </c>
    </row>
    <row r="83" spans="1:46" x14ac:dyDescent="0.55000000000000004">
      <c r="A83">
        <v>17.53</v>
      </c>
      <c r="B83">
        <v>26.57</v>
      </c>
      <c r="C83">
        <v>5489.91</v>
      </c>
      <c r="D83">
        <v>7.6</v>
      </c>
      <c r="E83" t="s">
        <v>1240</v>
      </c>
      <c r="F83" t="s">
        <v>1488</v>
      </c>
      <c r="G83" t="s">
        <v>1705</v>
      </c>
      <c r="H83" t="s">
        <v>1848</v>
      </c>
      <c r="I83">
        <v>0</v>
      </c>
      <c r="J83">
        <v>675.99</v>
      </c>
      <c r="K83">
        <f t="shared" si="4"/>
        <v>53.1</v>
      </c>
      <c r="L83">
        <f t="shared" si="5"/>
        <v>60.39</v>
      </c>
      <c r="M83">
        <f t="shared" si="6"/>
        <v>-7.2899999999999991</v>
      </c>
      <c r="N83">
        <v>7.28</v>
      </c>
      <c r="O83">
        <v>88.87</v>
      </c>
      <c r="P83">
        <v>68</v>
      </c>
      <c r="Q83">
        <v>15.1</v>
      </c>
      <c r="R83">
        <v>9.0299999999999994</v>
      </c>
      <c r="S83">
        <v>11.49</v>
      </c>
      <c r="T83">
        <v>6.04</v>
      </c>
      <c r="U83">
        <v>8.1199999999999992</v>
      </c>
      <c r="V83">
        <v>3513.54</v>
      </c>
      <c r="W83">
        <v>1060.18</v>
      </c>
      <c r="X83">
        <v>1369.21</v>
      </c>
      <c r="Y83">
        <v>783.62</v>
      </c>
      <c r="Z83">
        <v>5.71</v>
      </c>
      <c r="AA83">
        <v>1.57</v>
      </c>
      <c r="AB83">
        <v>4.45</v>
      </c>
      <c r="AC83">
        <v>59.93</v>
      </c>
      <c r="AD83">
        <v>680</v>
      </c>
      <c r="AE83">
        <v>5900</v>
      </c>
      <c r="AF83">
        <v>81.55</v>
      </c>
      <c r="AG83">
        <v>0.59</v>
      </c>
      <c r="AH83">
        <v>11.45</v>
      </c>
      <c r="AI83">
        <v>50.72</v>
      </c>
      <c r="AJ83">
        <v>60</v>
      </c>
      <c r="AK83">
        <v>9</v>
      </c>
      <c r="AL83">
        <v>9</v>
      </c>
      <c r="AM83">
        <v>0.62</v>
      </c>
      <c r="AN83">
        <v>408</v>
      </c>
      <c r="AO83">
        <v>413.58</v>
      </c>
      <c r="AP83">
        <v>294012.17</v>
      </c>
      <c r="AQ83">
        <v>155225.87</v>
      </c>
      <c r="AR83" t="s">
        <v>994</v>
      </c>
      <c r="AT83" s="6">
        <f t="shared" si="7"/>
        <v>7.9215924657534238</v>
      </c>
    </row>
    <row r="84" spans="1:46" x14ac:dyDescent="0.55000000000000004">
      <c r="A84">
        <v>18.71</v>
      </c>
      <c r="B84">
        <v>27.8</v>
      </c>
      <c r="C84">
        <v>5488.4</v>
      </c>
      <c r="D84">
        <v>7.58</v>
      </c>
      <c r="E84" t="s">
        <v>1241</v>
      </c>
      <c r="F84" t="s">
        <v>1489</v>
      </c>
      <c r="G84" t="s">
        <v>1695</v>
      </c>
      <c r="H84" t="s">
        <v>1849</v>
      </c>
      <c r="I84">
        <v>0</v>
      </c>
      <c r="J84">
        <v>750.19</v>
      </c>
      <c r="K84">
        <f t="shared" si="4"/>
        <v>58.3</v>
      </c>
      <c r="L84">
        <f t="shared" si="5"/>
        <v>66.52</v>
      </c>
      <c r="M84">
        <f t="shared" si="6"/>
        <v>-8.2199999999999989</v>
      </c>
      <c r="N84">
        <v>7.33</v>
      </c>
      <c r="O84">
        <v>89.06</v>
      </c>
      <c r="P84">
        <v>57</v>
      </c>
      <c r="Q84">
        <v>18.2</v>
      </c>
      <c r="R84">
        <v>9.1</v>
      </c>
      <c r="S84">
        <v>13.02</v>
      </c>
      <c r="T84">
        <v>5.68</v>
      </c>
      <c r="U84">
        <v>7.32</v>
      </c>
      <c r="V84">
        <v>3512.57</v>
      </c>
      <c r="W84">
        <v>1054.29</v>
      </c>
      <c r="X84">
        <v>1314.97</v>
      </c>
      <c r="Y84">
        <v>768.94</v>
      </c>
      <c r="Z84">
        <v>5.7</v>
      </c>
      <c r="AA84">
        <v>1.56</v>
      </c>
      <c r="AB84">
        <v>4.46</v>
      </c>
      <c r="AC84">
        <v>61.55</v>
      </c>
      <c r="AD84">
        <v>680</v>
      </c>
      <c r="AE84">
        <v>5900</v>
      </c>
      <c r="AF84">
        <v>82.11</v>
      </c>
      <c r="AG84">
        <v>0.59</v>
      </c>
      <c r="AH84">
        <v>13</v>
      </c>
      <c r="AI84">
        <v>46.04</v>
      </c>
      <c r="AJ84">
        <v>60</v>
      </c>
      <c r="AK84">
        <v>9</v>
      </c>
      <c r="AL84">
        <v>9</v>
      </c>
      <c r="AM84">
        <v>0.68</v>
      </c>
      <c r="AN84">
        <v>408</v>
      </c>
      <c r="AO84">
        <v>414.14</v>
      </c>
      <c r="AP84">
        <v>300719.3</v>
      </c>
      <c r="AQ84">
        <v>187037.04</v>
      </c>
      <c r="AR84" t="s">
        <v>995</v>
      </c>
      <c r="AT84" s="6">
        <f t="shared" si="7"/>
        <v>6.4887134703196336</v>
      </c>
    </row>
    <row r="85" spans="1:46" x14ac:dyDescent="0.55000000000000004">
      <c r="A85">
        <v>19.05</v>
      </c>
      <c r="B85">
        <v>28.16</v>
      </c>
      <c r="C85">
        <v>5499.14</v>
      </c>
      <c r="D85">
        <v>7.59</v>
      </c>
      <c r="E85" t="s">
        <v>1242</v>
      </c>
      <c r="F85" t="s">
        <v>1490</v>
      </c>
      <c r="G85" t="s">
        <v>1706</v>
      </c>
      <c r="H85" t="s">
        <v>774</v>
      </c>
      <c r="I85">
        <v>0</v>
      </c>
      <c r="J85">
        <v>682.34</v>
      </c>
      <c r="K85">
        <f t="shared" si="4"/>
        <v>53.31</v>
      </c>
      <c r="L85">
        <f t="shared" si="5"/>
        <v>60.64</v>
      </c>
      <c r="M85">
        <f t="shared" si="6"/>
        <v>-7.3299999999999983</v>
      </c>
      <c r="N85">
        <v>7.28</v>
      </c>
      <c r="O85">
        <v>89.06</v>
      </c>
      <c r="P85">
        <v>56</v>
      </c>
      <c r="Q85">
        <v>19.100000000000001</v>
      </c>
      <c r="R85">
        <v>9.11</v>
      </c>
      <c r="S85">
        <v>13.7</v>
      </c>
      <c r="T85">
        <v>5.35</v>
      </c>
      <c r="U85">
        <v>8.06</v>
      </c>
      <c r="V85">
        <v>3519.45</v>
      </c>
      <c r="W85">
        <v>1061.06</v>
      </c>
      <c r="X85">
        <v>1363.67</v>
      </c>
      <c r="Y85">
        <v>782.69</v>
      </c>
      <c r="Z85">
        <v>5.71</v>
      </c>
      <c r="AA85">
        <v>1.6</v>
      </c>
      <c r="AB85">
        <v>4.4000000000000004</v>
      </c>
      <c r="AC85">
        <v>63.01</v>
      </c>
      <c r="AD85">
        <v>680</v>
      </c>
      <c r="AE85">
        <v>5900</v>
      </c>
      <c r="AF85">
        <v>82.26</v>
      </c>
      <c r="AG85">
        <v>0.59</v>
      </c>
      <c r="AH85">
        <v>11.65</v>
      </c>
      <c r="AI85">
        <v>50.52</v>
      </c>
      <c r="AJ85">
        <v>60</v>
      </c>
      <c r="AK85">
        <v>9</v>
      </c>
      <c r="AL85">
        <v>9</v>
      </c>
      <c r="AM85">
        <v>0.62</v>
      </c>
      <c r="AN85">
        <v>408</v>
      </c>
      <c r="AO85">
        <v>413.6</v>
      </c>
      <c r="AP85">
        <v>294807.38</v>
      </c>
      <c r="AQ85">
        <v>158606.67000000001</v>
      </c>
      <c r="AR85" t="s">
        <v>996</v>
      </c>
      <c r="AT85" s="6">
        <f t="shared" si="7"/>
        <v>7.7740131278538804</v>
      </c>
    </row>
    <row r="86" spans="1:46" x14ac:dyDescent="0.55000000000000004">
      <c r="A86">
        <v>17.309999999999999</v>
      </c>
      <c r="B86">
        <v>26.33</v>
      </c>
      <c r="C86">
        <v>5488.68</v>
      </c>
      <c r="D86">
        <v>7.6</v>
      </c>
      <c r="E86" t="s">
        <v>1243</v>
      </c>
      <c r="F86" t="s">
        <v>1491</v>
      </c>
      <c r="G86" t="s">
        <v>1707</v>
      </c>
      <c r="H86" t="s">
        <v>1850</v>
      </c>
      <c r="I86">
        <v>0</v>
      </c>
      <c r="J86">
        <v>581.15</v>
      </c>
      <c r="K86">
        <f t="shared" si="4"/>
        <v>47.94</v>
      </c>
      <c r="L86">
        <f t="shared" si="5"/>
        <v>53.61</v>
      </c>
      <c r="M86">
        <f t="shared" si="6"/>
        <v>-5.6700000000000017</v>
      </c>
      <c r="N86">
        <v>7.23</v>
      </c>
      <c r="O86">
        <v>89.05</v>
      </c>
      <c r="P86">
        <v>73</v>
      </c>
      <c r="Q86">
        <v>14</v>
      </c>
      <c r="R86">
        <v>9.02</v>
      </c>
      <c r="S86">
        <v>11.01</v>
      </c>
      <c r="T86">
        <v>6.29</v>
      </c>
      <c r="U86">
        <v>9.44</v>
      </c>
      <c r="V86">
        <v>3512.76</v>
      </c>
      <c r="W86">
        <v>1068.47</v>
      </c>
      <c r="X86">
        <v>1452.59</v>
      </c>
      <c r="Y86">
        <v>805.64</v>
      </c>
      <c r="Z86">
        <v>6.26</v>
      </c>
      <c r="AA86">
        <v>1.6</v>
      </c>
      <c r="AB86">
        <v>4.4000000000000004</v>
      </c>
      <c r="AC86">
        <v>58.9</v>
      </c>
      <c r="AD86">
        <v>680</v>
      </c>
      <c r="AE86">
        <v>5900</v>
      </c>
      <c r="AF86">
        <v>81.42</v>
      </c>
      <c r="AG86">
        <v>0.59</v>
      </c>
      <c r="AH86">
        <v>9.64</v>
      </c>
      <c r="AI86">
        <v>61.53</v>
      </c>
      <c r="AJ86">
        <v>60</v>
      </c>
      <c r="AK86">
        <v>9</v>
      </c>
      <c r="AL86">
        <v>9</v>
      </c>
      <c r="AM86">
        <v>0.51</v>
      </c>
      <c r="AN86">
        <v>408</v>
      </c>
      <c r="AO86">
        <v>412.6</v>
      </c>
      <c r="AP86">
        <v>290495.69</v>
      </c>
      <c r="AQ86">
        <v>149808.28</v>
      </c>
      <c r="AR86" t="s">
        <v>2009</v>
      </c>
      <c r="AT86" s="6">
        <f t="shared" si="7"/>
        <v>8.0301033105022839</v>
      </c>
    </row>
    <row r="87" spans="1:46" x14ac:dyDescent="0.55000000000000004">
      <c r="A87">
        <v>19.350000000000001</v>
      </c>
      <c r="B87">
        <v>28.46</v>
      </c>
      <c r="C87">
        <v>5512.56</v>
      </c>
      <c r="D87">
        <v>7.59</v>
      </c>
      <c r="E87" t="s">
        <v>1244</v>
      </c>
      <c r="F87" t="s">
        <v>1492</v>
      </c>
      <c r="G87" t="s">
        <v>1708</v>
      </c>
      <c r="H87" t="s">
        <v>1851</v>
      </c>
      <c r="I87">
        <v>0</v>
      </c>
      <c r="J87">
        <v>736.01</v>
      </c>
      <c r="K87">
        <f t="shared" si="4"/>
        <v>57.18</v>
      </c>
      <c r="L87">
        <f t="shared" si="5"/>
        <v>64.89</v>
      </c>
      <c r="M87">
        <f t="shared" si="6"/>
        <v>-7.7100000000000009</v>
      </c>
      <c r="N87">
        <v>7.32</v>
      </c>
      <c r="O87">
        <v>89.1</v>
      </c>
      <c r="P87">
        <v>56</v>
      </c>
      <c r="Q87">
        <v>19.5</v>
      </c>
      <c r="R87">
        <v>9.1199999999999992</v>
      </c>
      <c r="S87">
        <v>14.05</v>
      </c>
      <c r="T87">
        <v>5.3</v>
      </c>
      <c r="U87">
        <v>7.49</v>
      </c>
      <c r="V87">
        <v>3528.04</v>
      </c>
      <c r="W87">
        <v>1060.3599999999999</v>
      </c>
      <c r="X87">
        <v>1333.46</v>
      </c>
      <c r="Y87">
        <v>775.9</v>
      </c>
      <c r="Z87">
        <v>5.73</v>
      </c>
      <c r="AA87">
        <v>1.59</v>
      </c>
      <c r="AB87">
        <v>4.41</v>
      </c>
      <c r="AC87">
        <v>63.25</v>
      </c>
      <c r="AD87">
        <v>680</v>
      </c>
      <c r="AE87">
        <v>5900</v>
      </c>
      <c r="AF87">
        <v>82.28</v>
      </c>
      <c r="AG87">
        <v>0.59</v>
      </c>
      <c r="AH87">
        <v>12.68</v>
      </c>
      <c r="AI87">
        <v>47.2</v>
      </c>
      <c r="AJ87">
        <v>60</v>
      </c>
      <c r="AK87">
        <v>9</v>
      </c>
      <c r="AL87">
        <v>9</v>
      </c>
      <c r="AM87">
        <v>0.67</v>
      </c>
      <c r="AN87">
        <v>408</v>
      </c>
      <c r="AO87">
        <v>413.99</v>
      </c>
      <c r="AP87">
        <v>300166.26</v>
      </c>
      <c r="AQ87">
        <v>176687.05</v>
      </c>
      <c r="AR87" t="s">
        <v>997</v>
      </c>
      <c r="AT87" s="6">
        <f t="shared" si="7"/>
        <v>7.0479001141552526</v>
      </c>
    </row>
    <row r="88" spans="1:46" x14ac:dyDescent="0.55000000000000004">
      <c r="A88">
        <v>19.78</v>
      </c>
      <c r="B88">
        <v>28.88</v>
      </c>
      <c r="C88">
        <v>5542.61</v>
      </c>
      <c r="D88">
        <v>7.6</v>
      </c>
      <c r="E88" t="s">
        <v>1245</v>
      </c>
      <c r="F88" t="s">
        <v>1493</v>
      </c>
      <c r="G88" t="s">
        <v>1709</v>
      </c>
      <c r="H88" t="s">
        <v>1852</v>
      </c>
      <c r="I88">
        <v>0</v>
      </c>
      <c r="J88">
        <v>839.12</v>
      </c>
      <c r="K88">
        <f t="shared" si="4"/>
        <v>65.69</v>
      </c>
      <c r="L88">
        <f t="shared" si="5"/>
        <v>70.429999999999993</v>
      </c>
      <c r="M88">
        <f t="shared" si="6"/>
        <v>-4.7399999999999949</v>
      </c>
      <c r="N88">
        <v>7.38</v>
      </c>
      <c r="O88">
        <v>88.88</v>
      </c>
      <c r="P88">
        <v>68</v>
      </c>
      <c r="Q88">
        <v>18.2</v>
      </c>
      <c r="R88">
        <v>9.1</v>
      </c>
      <c r="S88">
        <v>14.36</v>
      </c>
      <c r="T88">
        <v>5.41</v>
      </c>
      <c r="U88">
        <v>6.61</v>
      </c>
      <c r="V88">
        <v>3547.27</v>
      </c>
      <c r="W88">
        <v>1060.05</v>
      </c>
      <c r="X88">
        <v>1281.26</v>
      </c>
      <c r="Y88">
        <v>764.3</v>
      </c>
      <c r="Z88">
        <v>6.06</v>
      </c>
      <c r="AA88">
        <v>1.59</v>
      </c>
      <c r="AB88">
        <v>4.42</v>
      </c>
      <c r="AC88">
        <v>62.7</v>
      </c>
      <c r="AD88">
        <v>680</v>
      </c>
      <c r="AE88">
        <v>5900</v>
      </c>
      <c r="AF88">
        <v>82.15</v>
      </c>
      <c r="AG88">
        <v>0.59</v>
      </c>
      <c r="AH88">
        <v>14.66</v>
      </c>
      <c r="AI88">
        <v>43.49</v>
      </c>
      <c r="AJ88">
        <v>60</v>
      </c>
      <c r="AK88">
        <v>9</v>
      </c>
      <c r="AL88">
        <v>9</v>
      </c>
      <c r="AM88">
        <v>0.72</v>
      </c>
      <c r="AN88">
        <v>408</v>
      </c>
      <c r="AO88">
        <v>414.5</v>
      </c>
      <c r="AP88">
        <v>346776.56</v>
      </c>
      <c r="AQ88">
        <v>204063.22</v>
      </c>
      <c r="AR88" t="s">
        <v>998</v>
      </c>
      <c r="AT88" s="6">
        <f t="shared" si="7"/>
        <v>8.145738584474886</v>
      </c>
    </row>
    <row r="89" spans="1:46" x14ac:dyDescent="0.55000000000000004">
      <c r="A89">
        <v>19.23</v>
      </c>
      <c r="B89">
        <v>28.31</v>
      </c>
      <c r="C89">
        <v>5510.96</v>
      </c>
      <c r="D89">
        <v>7.61</v>
      </c>
      <c r="E89" t="s">
        <v>1246</v>
      </c>
      <c r="F89" t="s">
        <v>1494</v>
      </c>
      <c r="G89" t="s">
        <v>1710</v>
      </c>
      <c r="H89" t="s">
        <v>1853</v>
      </c>
      <c r="I89">
        <v>0</v>
      </c>
      <c r="J89">
        <v>772.26</v>
      </c>
      <c r="K89">
        <f t="shared" si="4"/>
        <v>59.41</v>
      </c>
      <c r="L89">
        <f t="shared" si="5"/>
        <v>67.740000000000009</v>
      </c>
      <c r="M89">
        <f t="shared" si="6"/>
        <v>-8.3300000000000125</v>
      </c>
      <c r="N89">
        <v>7.34</v>
      </c>
      <c r="O89">
        <v>88.83</v>
      </c>
      <c r="P89">
        <v>56</v>
      </c>
      <c r="Q89">
        <v>19.5</v>
      </c>
      <c r="R89">
        <v>9.08</v>
      </c>
      <c r="S89">
        <v>14.05</v>
      </c>
      <c r="T89">
        <v>5.18</v>
      </c>
      <c r="U89">
        <v>7.14</v>
      </c>
      <c r="V89">
        <v>3527.01</v>
      </c>
      <c r="W89">
        <v>1056.98</v>
      </c>
      <c r="X89">
        <v>1304.96</v>
      </c>
      <c r="Y89">
        <v>767.89</v>
      </c>
      <c r="Z89">
        <v>5.7</v>
      </c>
      <c r="AA89">
        <v>1.6</v>
      </c>
      <c r="AB89">
        <v>4.42</v>
      </c>
      <c r="AC89">
        <v>63.67</v>
      </c>
      <c r="AD89">
        <v>680</v>
      </c>
      <c r="AE89">
        <v>5900</v>
      </c>
      <c r="AF89">
        <v>81.98</v>
      </c>
      <c r="AG89">
        <v>0.59</v>
      </c>
      <c r="AH89">
        <v>13.36</v>
      </c>
      <c r="AI89">
        <v>45.22</v>
      </c>
      <c r="AJ89">
        <v>60</v>
      </c>
      <c r="AK89">
        <v>9</v>
      </c>
      <c r="AL89">
        <v>9</v>
      </c>
      <c r="AM89">
        <v>0.69</v>
      </c>
      <c r="AN89">
        <v>408</v>
      </c>
      <c r="AO89">
        <v>414.25</v>
      </c>
      <c r="AP89">
        <v>301592.46999999997</v>
      </c>
      <c r="AQ89">
        <v>195941.68</v>
      </c>
      <c r="AR89" t="s">
        <v>999</v>
      </c>
      <c r="AT89" s="6">
        <f t="shared" si="7"/>
        <v>6.0302962328767116</v>
      </c>
    </row>
    <row r="90" spans="1:46" x14ac:dyDescent="0.55000000000000004">
      <c r="A90">
        <v>19.7</v>
      </c>
      <c r="B90">
        <v>28.79</v>
      </c>
      <c r="C90">
        <v>5524.53</v>
      </c>
      <c r="D90">
        <v>7.6</v>
      </c>
      <c r="E90" t="s">
        <v>1247</v>
      </c>
      <c r="F90" t="s">
        <v>1495</v>
      </c>
      <c r="G90" t="s">
        <v>1711</v>
      </c>
      <c r="H90" t="s">
        <v>1854</v>
      </c>
      <c r="I90">
        <v>0</v>
      </c>
      <c r="J90">
        <v>769.59</v>
      </c>
      <c r="K90">
        <f t="shared" si="4"/>
        <v>59.620000000000005</v>
      </c>
      <c r="L90">
        <f t="shared" si="5"/>
        <v>66.66</v>
      </c>
      <c r="M90">
        <f t="shared" si="6"/>
        <v>-7.039999999999992</v>
      </c>
      <c r="N90">
        <v>7.34</v>
      </c>
      <c r="O90">
        <v>89.02</v>
      </c>
      <c r="P90">
        <v>57</v>
      </c>
      <c r="Q90">
        <v>19.8</v>
      </c>
      <c r="R90">
        <v>9.09</v>
      </c>
      <c r="S90">
        <v>14.44</v>
      </c>
      <c r="T90">
        <v>5.25</v>
      </c>
      <c r="U90">
        <v>7.18</v>
      </c>
      <c r="V90">
        <v>3535.7</v>
      </c>
      <c r="W90">
        <v>1060.27</v>
      </c>
      <c r="X90">
        <v>1313.58</v>
      </c>
      <c r="Y90">
        <v>771.43</v>
      </c>
      <c r="Z90">
        <v>5.81</v>
      </c>
      <c r="AA90">
        <v>1.6</v>
      </c>
      <c r="AB90">
        <v>4.4000000000000004</v>
      </c>
      <c r="AC90">
        <v>63.38</v>
      </c>
      <c r="AD90">
        <v>680</v>
      </c>
      <c r="AE90">
        <v>5900</v>
      </c>
      <c r="AF90">
        <v>82.08</v>
      </c>
      <c r="AG90">
        <v>0.59</v>
      </c>
      <c r="AH90">
        <v>13.28</v>
      </c>
      <c r="AI90">
        <v>45.95</v>
      </c>
      <c r="AJ90">
        <v>60</v>
      </c>
      <c r="AK90">
        <v>9</v>
      </c>
      <c r="AL90">
        <v>9</v>
      </c>
      <c r="AM90">
        <v>0.68</v>
      </c>
      <c r="AN90">
        <v>408</v>
      </c>
      <c r="AO90">
        <v>414.15</v>
      </c>
      <c r="AP90">
        <v>312612.45</v>
      </c>
      <c r="AQ90">
        <v>186836.78</v>
      </c>
      <c r="AR90" t="s">
        <v>1000</v>
      </c>
      <c r="AT90" s="6">
        <f t="shared" si="7"/>
        <v>7.1789765981735165</v>
      </c>
    </row>
    <row r="91" spans="1:46" x14ac:dyDescent="0.55000000000000004">
      <c r="A91">
        <v>19.55</v>
      </c>
      <c r="B91">
        <v>28.69</v>
      </c>
      <c r="C91">
        <v>5523.54</v>
      </c>
      <c r="D91">
        <v>7.6</v>
      </c>
      <c r="E91" t="s">
        <v>1248</v>
      </c>
      <c r="F91" t="s">
        <v>1496</v>
      </c>
      <c r="G91" t="s">
        <v>1712</v>
      </c>
      <c r="H91" t="s">
        <v>1855</v>
      </c>
      <c r="I91">
        <v>0</v>
      </c>
      <c r="J91">
        <v>780.88</v>
      </c>
      <c r="K91">
        <f t="shared" si="4"/>
        <v>60.66</v>
      </c>
      <c r="L91">
        <f t="shared" si="5"/>
        <v>68.28</v>
      </c>
      <c r="M91">
        <f t="shared" si="6"/>
        <v>-7.6200000000000045</v>
      </c>
      <c r="N91">
        <v>7.35</v>
      </c>
      <c r="O91">
        <v>88.95</v>
      </c>
      <c r="P91">
        <v>55</v>
      </c>
      <c r="Q91">
        <v>20.100000000000001</v>
      </c>
      <c r="R91">
        <v>9.14</v>
      </c>
      <c r="S91">
        <v>14.45</v>
      </c>
      <c r="T91">
        <v>5.0999999999999996</v>
      </c>
      <c r="U91">
        <v>7.07</v>
      </c>
      <c r="V91">
        <v>3535.07</v>
      </c>
      <c r="W91">
        <v>1059.3699999999999</v>
      </c>
      <c r="X91">
        <v>1306.51</v>
      </c>
      <c r="Y91">
        <v>769.47</v>
      </c>
      <c r="Z91">
        <v>5.77</v>
      </c>
      <c r="AA91">
        <v>1.59</v>
      </c>
      <c r="AB91">
        <v>4.42</v>
      </c>
      <c r="AC91">
        <v>64.2</v>
      </c>
      <c r="AD91">
        <v>680</v>
      </c>
      <c r="AE91">
        <v>5900</v>
      </c>
      <c r="AF91">
        <v>82.52</v>
      </c>
      <c r="AG91">
        <v>0.59</v>
      </c>
      <c r="AH91">
        <v>13.59</v>
      </c>
      <c r="AI91">
        <v>44.86</v>
      </c>
      <c r="AJ91">
        <v>60</v>
      </c>
      <c r="AK91">
        <v>9</v>
      </c>
      <c r="AL91">
        <v>9</v>
      </c>
      <c r="AM91">
        <v>0.7</v>
      </c>
      <c r="AN91">
        <v>408</v>
      </c>
      <c r="AO91">
        <v>414.3</v>
      </c>
      <c r="AP91">
        <v>310791.02</v>
      </c>
      <c r="AQ91">
        <v>194721.03</v>
      </c>
      <c r="AR91" t="s">
        <v>1001</v>
      </c>
      <c r="AT91" s="6">
        <f t="shared" si="7"/>
        <v>6.6249994292237453</v>
      </c>
    </row>
    <row r="92" spans="1:46" x14ac:dyDescent="0.55000000000000004">
      <c r="A92">
        <v>18.88</v>
      </c>
      <c r="B92">
        <v>27.99</v>
      </c>
      <c r="C92">
        <v>5489.56</v>
      </c>
      <c r="D92">
        <v>7.61</v>
      </c>
      <c r="E92" t="s">
        <v>1249</v>
      </c>
      <c r="F92" t="s">
        <v>1497</v>
      </c>
      <c r="G92" t="s">
        <v>1713</v>
      </c>
      <c r="H92" t="s">
        <v>1856</v>
      </c>
      <c r="I92">
        <v>0</v>
      </c>
      <c r="J92">
        <v>711.18</v>
      </c>
      <c r="K92">
        <f t="shared" si="4"/>
        <v>55.129999999999995</v>
      </c>
      <c r="L92">
        <f t="shared" si="5"/>
        <v>62.790000000000006</v>
      </c>
      <c r="M92">
        <f t="shared" si="6"/>
        <v>-7.6600000000000108</v>
      </c>
      <c r="N92">
        <v>7.3</v>
      </c>
      <c r="O92">
        <v>89.03</v>
      </c>
      <c r="P92">
        <v>57</v>
      </c>
      <c r="Q92">
        <v>18.600000000000001</v>
      </c>
      <c r="R92">
        <v>9.11</v>
      </c>
      <c r="S92">
        <v>13.38</v>
      </c>
      <c r="T92">
        <v>5.51</v>
      </c>
      <c r="U92">
        <v>7.72</v>
      </c>
      <c r="V92">
        <v>3513.32</v>
      </c>
      <c r="W92">
        <v>1057.3</v>
      </c>
      <c r="X92">
        <v>1342.03</v>
      </c>
      <c r="Y92">
        <v>776.29</v>
      </c>
      <c r="Z92">
        <v>5.71</v>
      </c>
      <c r="AA92">
        <v>1.6</v>
      </c>
      <c r="AB92">
        <v>4.41</v>
      </c>
      <c r="AC92">
        <v>62.32</v>
      </c>
      <c r="AD92">
        <v>680</v>
      </c>
      <c r="AE92">
        <v>5900</v>
      </c>
      <c r="AF92">
        <v>82.19</v>
      </c>
      <c r="AG92">
        <v>0.59</v>
      </c>
      <c r="AH92">
        <v>12.23</v>
      </c>
      <c r="AI92">
        <v>48.78</v>
      </c>
      <c r="AJ92">
        <v>60</v>
      </c>
      <c r="AK92">
        <v>9</v>
      </c>
      <c r="AL92">
        <v>9</v>
      </c>
      <c r="AM92">
        <v>0.64</v>
      </c>
      <c r="AN92">
        <v>408</v>
      </c>
      <c r="AO92">
        <v>413.8</v>
      </c>
      <c r="AP92">
        <v>295538.21999999997</v>
      </c>
      <c r="AQ92">
        <v>168649.19</v>
      </c>
      <c r="AR92" t="s">
        <v>1002</v>
      </c>
      <c r="AT92" s="6">
        <f t="shared" si="7"/>
        <v>7.2425245433789938</v>
      </c>
    </row>
    <row r="93" spans="1:46" x14ac:dyDescent="0.55000000000000004">
      <c r="A93">
        <v>19.64</v>
      </c>
      <c r="B93">
        <v>28.78</v>
      </c>
      <c r="C93">
        <v>5532.42</v>
      </c>
      <c r="D93">
        <v>7.6</v>
      </c>
      <c r="E93" t="s">
        <v>1250</v>
      </c>
      <c r="F93" t="s">
        <v>1498</v>
      </c>
      <c r="G93" t="s">
        <v>1714</v>
      </c>
      <c r="H93" t="s">
        <v>1857</v>
      </c>
      <c r="I93">
        <v>0</v>
      </c>
      <c r="J93">
        <v>756.03</v>
      </c>
      <c r="K93">
        <f t="shared" si="4"/>
        <v>58.53</v>
      </c>
      <c r="L93">
        <f t="shared" si="5"/>
        <v>64.86</v>
      </c>
      <c r="M93">
        <f t="shared" si="6"/>
        <v>-6.3299999999999983</v>
      </c>
      <c r="N93">
        <v>7.33</v>
      </c>
      <c r="O93">
        <v>89.02</v>
      </c>
      <c r="P93">
        <v>56</v>
      </c>
      <c r="Q93">
        <v>20.2</v>
      </c>
      <c r="R93">
        <v>9.15</v>
      </c>
      <c r="S93">
        <v>14.67</v>
      </c>
      <c r="T93">
        <v>4.97</v>
      </c>
      <c r="U93">
        <v>7.32</v>
      </c>
      <c r="V93">
        <v>3540.75</v>
      </c>
      <c r="W93">
        <v>1062.57</v>
      </c>
      <c r="X93">
        <v>1323.27</v>
      </c>
      <c r="Y93">
        <v>774.59</v>
      </c>
      <c r="Z93">
        <v>5.87</v>
      </c>
      <c r="AA93">
        <v>1.6</v>
      </c>
      <c r="AB93">
        <v>4.4000000000000004</v>
      </c>
      <c r="AC93">
        <v>64.819999999999993</v>
      </c>
      <c r="AD93">
        <v>680</v>
      </c>
      <c r="AE93">
        <v>5900</v>
      </c>
      <c r="AF93">
        <v>82.59</v>
      </c>
      <c r="AG93">
        <v>0.59</v>
      </c>
      <c r="AH93">
        <v>13.07</v>
      </c>
      <c r="AI93">
        <v>47.22</v>
      </c>
      <c r="AJ93">
        <v>60</v>
      </c>
      <c r="AK93">
        <v>9</v>
      </c>
      <c r="AL93">
        <v>9</v>
      </c>
      <c r="AM93">
        <v>0.67</v>
      </c>
      <c r="AN93">
        <v>408</v>
      </c>
      <c r="AO93">
        <v>413.99</v>
      </c>
      <c r="AP93">
        <v>316077.31</v>
      </c>
      <c r="AQ93">
        <v>178255.49</v>
      </c>
      <c r="AR93" t="s">
        <v>1003</v>
      </c>
      <c r="AT93" s="6">
        <f t="shared" si="7"/>
        <v>7.866542237442923</v>
      </c>
    </row>
    <row r="94" spans="1:46" x14ac:dyDescent="0.55000000000000004">
      <c r="A94">
        <v>17.93</v>
      </c>
      <c r="B94">
        <v>26.97</v>
      </c>
      <c r="C94">
        <v>5489.3</v>
      </c>
      <c r="D94">
        <v>7.6</v>
      </c>
      <c r="E94" t="s">
        <v>1251</v>
      </c>
      <c r="F94" t="s">
        <v>1499</v>
      </c>
      <c r="G94" t="s">
        <v>1715</v>
      </c>
      <c r="H94" t="s">
        <v>795</v>
      </c>
      <c r="I94">
        <v>0</v>
      </c>
      <c r="J94">
        <v>695.66</v>
      </c>
      <c r="K94">
        <f t="shared" si="4"/>
        <v>54.419999999999995</v>
      </c>
      <c r="L94">
        <f t="shared" si="5"/>
        <v>61.949999999999996</v>
      </c>
      <c r="M94">
        <f t="shared" si="6"/>
        <v>-7.5300000000000011</v>
      </c>
      <c r="N94">
        <v>7.29</v>
      </c>
      <c r="O94">
        <v>88.98</v>
      </c>
      <c r="P94">
        <v>65</v>
      </c>
      <c r="Q94">
        <v>15.9</v>
      </c>
      <c r="R94">
        <v>9.0399999999999991</v>
      </c>
      <c r="S94">
        <v>11.89</v>
      </c>
      <c r="T94">
        <v>6.03</v>
      </c>
      <c r="U94">
        <v>7.89</v>
      </c>
      <c r="V94">
        <v>3513.15</v>
      </c>
      <c r="W94">
        <v>1058.1400000000001</v>
      </c>
      <c r="X94">
        <v>1351.32</v>
      </c>
      <c r="Y94">
        <v>778.65</v>
      </c>
      <c r="Z94">
        <v>5.71</v>
      </c>
      <c r="AA94">
        <v>1.57</v>
      </c>
      <c r="AB94">
        <v>4.45</v>
      </c>
      <c r="AC94">
        <v>59.98</v>
      </c>
      <c r="AD94">
        <v>680</v>
      </c>
      <c r="AE94">
        <v>5900</v>
      </c>
      <c r="AF94">
        <v>81.63</v>
      </c>
      <c r="AG94">
        <v>0.59</v>
      </c>
      <c r="AH94">
        <v>11.85</v>
      </c>
      <c r="AI94">
        <v>49.44</v>
      </c>
      <c r="AJ94">
        <v>60</v>
      </c>
      <c r="AK94">
        <v>9</v>
      </c>
      <c r="AL94">
        <v>9</v>
      </c>
      <c r="AM94">
        <v>0.64</v>
      </c>
      <c r="AN94">
        <v>408</v>
      </c>
      <c r="AO94">
        <v>413.72</v>
      </c>
      <c r="AP94">
        <v>296967.37</v>
      </c>
      <c r="AQ94">
        <v>164552.95999999999</v>
      </c>
      <c r="AR94" t="s">
        <v>1004</v>
      </c>
      <c r="AT94" s="6">
        <f t="shared" si="7"/>
        <v>7.5579001141552515</v>
      </c>
    </row>
    <row r="95" spans="1:46" x14ac:dyDescent="0.55000000000000004">
      <c r="A95">
        <v>19.420000000000002</v>
      </c>
      <c r="B95">
        <v>28.52</v>
      </c>
      <c r="C95">
        <v>5560</v>
      </c>
      <c r="D95">
        <v>7.6</v>
      </c>
      <c r="E95" t="s">
        <v>1252</v>
      </c>
      <c r="F95" t="s">
        <v>1500</v>
      </c>
      <c r="G95" t="s">
        <v>1702</v>
      </c>
      <c r="H95" t="s">
        <v>1858</v>
      </c>
      <c r="I95">
        <v>0</v>
      </c>
      <c r="J95">
        <v>755.92</v>
      </c>
      <c r="K95">
        <f t="shared" si="4"/>
        <v>58.879999999999995</v>
      </c>
      <c r="L95">
        <f t="shared" si="5"/>
        <v>60.569999999999993</v>
      </c>
      <c r="M95">
        <f t="shared" si="6"/>
        <v>-1.6899999999999977</v>
      </c>
      <c r="N95">
        <v>7.33</v>
      </c>
      <c r="O95">
        <v>88.94</v>
      </c>
      <c r="P95">
        <v>73</v>
      </c>
      <c r="Q95">
        <v>16.7</v>
      </c>
      <c r="R95">
        <v>9.1</v>
      </c>
      <c r="S95">
        <v>13.55</v>
      </c>
      <c r="T95">
        <v>5.87</v>
      </c>
      <c r="U95">
        <v>7.36</v>
      </c>
      <c r="V95">
        <v>3558.4</v>
      </c>
      <c r="W95">
        <v>1068.25</v>
      </c>
      <c r="X95">
        <v>1332.69</v>
      </c>
      <c r="Y95">
        <v>779.35</v>
      </c>
      <c r="Z95">
        <v>6.32</v>
      </c>
      <c r="AA95">
        <v>1.61</v>
      </c>
      <c r="AB95">
        <v>4.3899999999999997</v>
      </c>
      <c r="AC95">
        <v>60.79</v>
      </c>
      <c r="AD95">
        <v>680</v>
      </c>
      <c r="AE95">
        <v>5900</v>
      </c>
      <c r="AF95">
        <v>82.14</v>
      </c>
      <c r="AG95">
        <v>0.59</v>
      </c>
      <c r="AH95">
        <v>12.93</v>
      </c>
      <c r="AI95">
        <v>50.57</v>
      </c>
      <c r="AJ95">
        <v>60</v>
      </c>
      <c r="AK95">
        <v>9</v>
      </c>
      <c r="AL95">
        <v>9</v>
      </c>
      <c r="AM95">
        <v>0.62</v>
      </c>
      <c r="AN95">
        <v>408</v>
      </c>
      <c r="AO95">
        <v>413.59</v>
      </c>
      <c r="AP95">
        <v>356593.24</v>
      </c>
      <c r="AQ95">
        <v>153989.76000000001</v>
      </c>
      <c r="AR95" t="s">
        <v>1005</v>
      </c>
      <c r="AT95" s="6">
        <f t="shared" si="7"/>
        <v>11.564125570776255</v>
      </c>
    </row>
    <row r="96" spans="1:46" x14ac:dyDescent="0.55000000000000004">
      <c r="A96">
        <v>19.72</v>
      </c>
      <c r="B96">
        <v>28.81</v>
      </c>
      <c r="C96">
        <v>5550.7</v>
      </c>
      <c r="D96">
        <v>7.6</v>
      </c>
      <c r="E96" t="s">
        <v>1253</v>
      </c>
      <c r="F96" t="s">
        <v>1501</v>
      </c>
      <c r="G96" t="s">
        <v>1716</v>
      </c>
      <c r="H96" t="s">
        <v>1859</v>
      </c>
      <c r="I96">
        <v>0</v>
      </c>
      <c r="J96">
        <v>753.88</v>
      </c>
      <c r="K96">
        <f t="shared" si="4"/>
        <v>58.370000000000005</v>
      </c>
      <c r="L96">
        <f t="shared" si="5"/>
        <v>60.96</v>
      </c>
      <c r="M96">
        <f t="shared" si="6"/>
        <v>-2.5899999999999963</v>
      </c>
      <c r="N96">
        <v>7.33</v>
      </c>
      <c r="O96">
        <v>89.18</v>
      </c>
      <c r="P96">
        <v>72</v>
      </c>
      <c r="Q96">
        <v>17.399999999999999</v>
      </c>
      <c r="R96">
        <v>9.08</v>
      </c>
      <c r="S96">
        <v>14.09</v>
      </c>
      <c r="T96">
        <v>5.63</v>
      </c>
      <c r="U96">
        <v>7.36</v>
      </c>
      <c r="V96">
        <v>3552.45</v>
      </c>
      <c r="W96">
        <v>1066.07</v>
      </c>
      <c r="X96">
        <v>1327.88</v>
      </c>
      <c r="Y96">
        <v>777.15</v>
      </c>
      <c r="Z96">
        <v>6.22</v>
      </c>
      <c r="AA96">
        <v>1.61</v>
      </c>
      <c r="AB96">
        <v>4.3899999999999997</v>
      </c>
      <c r="AC96">
        <v>61.74</v>
      </c>
      <c r="AD96">
        <v>680</v>
      </c>
      <c r="AE96">
        <v>5900</v>
      </c>
      <c r="AF96">
        <v>82</v>
      </c>
      <c r="AG96">
        <v>0.59</v>
      </c>
      <c r="AH96">
        <v>12.89</v>
      </c>
      <c r="AI96">
        <v>50.25</v>
      </c>
      <c r="AJ96">
        <v>60</v>
      </c>
      <c r="AK96">
        <v>9</v>
      </c>
      <c r="AL96">
        <v>9</v>
      </c>
      <c r="AM96">
        <v>0.63</v>
      </c>
      <c r="AN96">
        <v>408</v>
      </c>
      <c r="AO96">
        <v>413.63</v>
      </c>
      <c r="AP96">
        <v>348484.05</v>
      </c>
      <c r="AQ96">
        <v>159401.35</v>
      </c>
      <c r="AR96" t="s">
        <v>1006</v>
      </c>
      <c r="AT96" s="6">
        <f t="shared" si="7"/>
        <v>10.792391552511415</v>
      </c>
    </row>
    <row r="97" spans="1:46" x14ac:dyDescent="0.55000000000000004">
      <c r="A97">
        <v>19.850000000000001</v>
      </c>
      <c r="B97">
        <v>28.95</v>
      </c>
      <c r="C97">
        <v>5547.89</v>
      </c>
      <c r="D97">
        <v>7.59</v>
      </c>
      <c r="E97" t="s">
        <v>1254</v>
      </c>
      <c r="F97" t="s">
        <v>1502</v>
      </c>
      <c r="G97" t="s">
        <v>1716</v>
      </c>
      <c r="H97" t="s">
        <v>1860</v>
      </c>
      <c r="I97">
        <v>0</v>
      </c>
      <c r="J97">
        <v>777.67</v>
      </c>
      <c r="K97">
        <f t="shared" si="4"/>
        <v>60.07</v>
      </c>
      <c r="L97">
        <f t="shared" si="5"/>
        <v>64.599999999999994</v>
      </c>
      <c r="M97">
        <f t="shared" si="6"/>
        <v>-4.529999999999994</v>
      </c>
      <c r="N97">
        <v>7.34</v>
      </c>
      <c r="O97">
        <v>88.98</v>
      </c>
      <c r="P97">
        <v>64</v>
      </c>
      <c r="Q97">
        <v>19</v>
      </c>
      <c r="R97">
        <v>9.09</v>
      </c>
      <c r="S97">
        <v>14.61</v>
      </c>
      <c r="T97">
        <v>5.25</v>
      </c>
      <c r="U97">
        <v>7.13</v>
      </c>
      <c r="V97">
        <v>3550.65</v>
      </c>
      <c r="W97">
        <v>1064.1199999999999</v>
      </c>
      <c r="X97">
        <v>1313.32</v>
      </c>
      <c r="Y97">
        <v>773.09</v>
      </c>
      <c r="Z97">
        <v>6.04</v>
      </c>
      <c r="AA97">
        <v>1.6</v>
      </c>
      <c r="AB97">
        <v>4.4000000000000004</v>
      </c>
      <c r="AC97">
        <v>63.41</v>
      </c>
      <c r="AD97">
        <v>680</v>
      </c>
      <c r="AE97">
        <v>5900</v>
      </c>
      <c r="AF97">
        <v>82.08</v>
      </c>
      <c r="AG97">
        <v>0.59</v>
      </c>
      <c r="AH97">
        <v>13.38</v>
      </c>
      <c r="AI97">
        <v>47.41</v>
      </c>
      <c r="AJ97">
        <v>60</v>
      </c>
      <c r="AK97">
        <v>9</v>
      </c>
      <c r="AL97">
        <v>9</v>
      </c>
      <c r="AM97">
        <v>0.66</v>
      </c>
      <c r="AN97">
        <v>408</v>
      </c>
      <c r="AO97">
        <v>413.96</v>
      </c>
      <c r="AP97">
        <v>335276.74</v>
      </c>
      <c r="AQ97">
        <v>177673.12</v>
      </c>
      <c r="AR97" t="s">
        <v>1007</v>
      </c>
      <c r="AT97" s="6">
        <f t="shared" si="7"/>
        <v>8.9956404109589041</v>
      </c>
    </row>
    <row r="98" spans="1:46" x14ac:dyDescent="0.55000000000000004">
      <c r="A98">
        <v>19.489999999999998</v>
      </c>
      <c r="B98">
        <v>28.62</v>
      </c>
      <c r="C98">
        <v>5521.21</v>
      </c>
      <c r="D98">
        <v>7.61</v>
      </c>
      <c r="E98" t="s">
        <v>1255</v>
      </c>
      <c r="F98" t="s">
        <v>1503</v>
      </c>
      <c r="G98" t="s">
        <v>1709</v>
      </c>
      <c r="H98" t="s">
        <v>1861</v>
      </c>
      <c r="I98">
        <v>0</v>
      </c>
      <c r="J98">
        <v>737.61</v>
      </c>
      <c r="K98">
        <f t="shared" si="4"/>
        <v>57.56</v>
      </c>
      <c r="L98">
        <f t="shared" si="5"/>
        <v>65.040000000000006</v>
      </c>
      <c r="M98">
        <f t="shared" si="6"/>
        <v>-7.480000000000004</v>
      </c>
      <c r="N98">
        <v>7.32</v>
      </c>
      <c r="O98">
        <v>88.97</v>
      </c>
      <c r="P98">
        <v>55</v>
      </c>
      <c r="Q98">
        <v>19.899999999999999</v>
      </c>
      <c r="R98">
        <v>9.1300000000000008</v>
      </c>
      <c r="S98">
        <v>14.27</v>
      </c>
      <c r="T98">
        <v>5.22</v>
      </c>
      <c r="U98">
        <v>7.49</v>
      </c>
      <c r="V98">
        <v>3533.57</v>
      </c>
      <c r="W98">
        <v>1061.8499999999999</v>
      </c>
      <c r="X98">
        <v>1334.03</v>
      </c>
      <c r="Y98">
        <v>776.69</v>
      </c>
      <c r="Z98">
        <v>5.75</v>
      </c>
      <c r="AA98">
        <v>1.61</v>
      </c>
      <c r="AB98">
        <v>4.3899999999999997</v>
      </c>
      <c r="AC98">
        <v>63.62</v>
      </c>
      <c r="AD98">
        <v>680</v>
      </c>
      <c r="AE98">
        <v>5900</v>
      </c>
      <c r="AF98">
        <v>82.4</v>
      </c>
      <c r="AG98">
        <v>0.59</v>
      </c>
      <c r="AH98">
        <v>12.71</v>
      </c>
      <c r="AI98">
        <v>47.09</v>
      </c>
      <c r="AJ98">
        <v>60</v>
      </c>
      <c r="AK98">
        <v>9</v>
      </c>
      <c r="AL98">
        <v>9</v>
      </c>
      <c r="AM98">
        <v>0.67</v>
      </c>
      <c r="AN98">
        <v>408</v>
      </c>
      <c r="AO98">
        <v>414</v>
      </c>
      <c r="AP98">
        <v>304335.65999999997</v>
      </c>
      <c r="AQ98">
        <v>177058.52</v>
      </c>
      <c r="AR98" t="s">
        <v>1008</v>
      </c>
      <c r="AT98" s="6">
        <f t="shared" si="7"/>
        <v>7.2646769406392684</v>
      </c>
    </row>
    <row r="99" spans="1:46" x14ac:dyDescent="0.55000000000000004">
      <c r="A99">
        <v>19.850000000000001</v>
      </c>
      <c r="B99">
        <v>28.96</v>
      </c>
      <c r="C99">
        <v>5540.66</v>
      </c>
      <c r="D99">
        <v>7.6</v>
      </c>
      <c r="E99" t="s">
        <v>1256</v>
      </c>
      <c r="F99" t="s">
        <v>1504</v>
      </c>
      <c r="G99" t="s">
        <v>1717</v>
      </c>
      <c r="H99" t="s">
        <v>1862</v>
      </c>
      <c r="I99">
        <v>0</v>
      </c>
      <c r="J99">
        <v>770.97</v>
      </c>
      <c r="K99">
        <f t="shared" si="4"/>
        <v>59.9</v>
      </c>
      <c r="L99">
        <f t="shared" si="5"/>
        <v>65.210000000000008</v>
      </c>
      <c r="M99">
        <f t="shared" si="6"/>
        <v>-5.3100000000000094</v>
      </c>
      <c r="N99">
        <v>7.34</v>
      </c>
      <c r="O99">
        <v>89.01</v>
      </c>
      <c r="P99">
        <v>60</v>
      </c>
      <c r="Q99">
        <v>19.8</v>
      </c>
      <c r="R99">
        <v>9.1199999999999992</v>
      </c>
      <c r="S99">
        <v>14.83</v>
      </c>
      <c r="T99">
        <v>5.0199999999999996</v>
      </c>
      <c r="U99">
        <v>7.19</v>
      </c>
      <c r="V99">
        <v>3546.02</v>
      </c>
      <c r="W99">
        <v>1063</v>
      </c>
      <c r="X99">
        <v>1314.54</v>
      </c>
      <c r="Y99">
        <v>772.8</v>
      </c>
      <c r="Z99">
        <v>5.97</v>
      </c>
      <c r="AA99">
        <v>1.61</v>
      </c>
      <c r="AB99">
        <v>4.3899999999999997</v>
      </c>
      <c r="AC99">
        <v>64.510000000000005</v>
      </c>
      <c r="AD99">
        <v>680</v>
      </c>
      <c r="AE99">
        <v>5900</v>
      </c>
      <c r="AF99">
        <v>82.29</v>
      </c>
      <c r="AG99">
        <v>0.59</v>
      </c>
      <c r="AH99">
        <v>13.3</v>
      </c>
      <c r="AI99">
        <v>46.97</v>
      </c>
      <c r="AJ99">
        <v>60</v>
      </c>
      <c r="AK99">
        <v>9</v>
      </c>
      <c r="AL99">
        <v>9</v>
      </c>
      <c r="AM99">
        <v>0.67</v>
      </c>
      <c r="AN99">
        <v>408</v>
      </c>
      <c r="AO99">
        <v>414.02</v>
      </c>
      <c r="AP99">
        <v>330191.90999999997</v>
      </c>
      <c r="AQ99">
        <v>180540.61</v>
      </c>
      <c r="AR99" t="s">
        <v>1009</v>
      </c>
      <c r="AT99" s="6">
        <f t="shared" si="7"/>
        <v>8.5417408675799074</v>
      </c>
    </row>
    <row r="100" spans="1:46" x14ac:dyDescent="0.55000000000000004">
      <c r="A100">
        <v>19.7</v>
      </c>
      <c r="B100">
        <v>28.82</v>
      </c>
      <c r="C100">
        <v>5535.84</v>
      </c>
      <c r="D100">
        <v>7.6</v>
      </c>
      <c r="E100" t="s">
        <v>1257</v>
      </c>
      <c r="F100" t="s">
        <v>1505</v>
      </c>
      <c r="G100" t="s">
        <v>1718</v>
      </c>
      <c r="H100" t="s">
        <v>1863</v>
      </c>
      <c r="I100">
        <v>0</v>
      </c>
      <c r="J100">
        <v>782.54</v>
      </c>
      <c r="K100">
        <f t="shared" si="4"/>
        <v>60.269999999999996</v>
      </c>
      <c r="L100">
        <f t="shared" si="5"/>
        <v>66.3</v>
      </c>
      <c r="M100">
        <f t="shared" si="6"/>
        <v>-6.0300000000000011</v>
      </c>
      <c r="N100">
        <v>7.35</v>
      </c>
      <c r="O100">
        <v>88.96</v>
      </c>
      <c r="P100">
        <v>57</v>
      </c>
      <c r="Q100">
        <v>20.3</v>
      </c>
      <c r="R100">
        <v>9.1199999999999992</v>
      </c>
      <c r="S100">
        <v>14.89</v>
      </c>
      <c r="T100">
        <v>4.8099999999999996</v>
      </c>
      <c r="U100">
        <v>7.07</v>
      </c>
      <c r="V100">
        <v>3542.94</v>
      </c>
      <c r="W100">
        <v>1061.8900000000001</v>
      </c>
      <c r="X100">
        <v>1310.3499999999999</v>
      </c>
      <c r="Y100">
        <v>771.53</v>
      </c>
      <c r="Z100">
        <v>5.91</v>
      </c>
      <c r="AA100">
        <v>1.6</v>
      </c>
      <c r="AB100">
        <v>4.41</v>
      </c>
      <c r="AC100">
        <v>65.47</v>
      </c>
      <c r="AD100">
        <v>680</v>
      </c>
      <c r="AE100">
        <v>5900</v>
      </c>
      <c r="AF100">
        <v>82.34</v>
      </c>
      <c r="AG100">
        <v>0.59</v>
      </c>
      <c r="AH100">
        <v>13.56</v>
      </c>
      <c r="AI100">
        <v>46.2</v>
      </c>
      <c r="AJ100">
        <v>60</v>
      </c>
      <c r="AK100">
        <v>9</v>
      </c>
      <c r="AL100">
        <v>9</v>
      </c>
      <c r="AM100">
        <v>0.68</v>
      </c>
      <c r="AN100">
        <v>408</v>
      </c>
      <c r="AO100">
        <v>414.12</v>
      </c>
      <c r="AP100">
        <v>320593.15000000002</v>
      </c>
      <c r="AQ100">
        <v>184672.3</v>
      </c>
      <c r="AR100" t="s">
        <v>1010</v>
      </c>
      <c r="AT100" s="6">
        <f t="shared" si="7"/>
        <v>7.7580393835616457</v>
      </c>
    </row>
    <row r="101" spans="1:46" x14ac:dyDescent="0.55000000000000004">
      <c r="A101">
        <v>18.440000000000001</v>
      </c>
      <c r="B101">
        <v>27.54</v>
      </c>
      <c r="C101">
        <v>5490.4</v>
      </c>
      <c r="D101">
        <v>7.63</v>
      </c>
      <c r="E101" t="s">
        <v>1258</v>
      </c>
      <c r="F101" t="s">
        <v>1506</v>
      </c>
      <c r="G101" t="s">
        <v>1719</v>
      </c>
      <c r="H101" t="s">
        <v>1864</v>
      </c>
      <c r="I101">
        <v>0</v>
      </c>
      <c r="J101">
        <v>748.32</v>
      </c>
      <c r="K101">
        <f t="shared" si="4"/>
        <v>58.02</v>
      </c>
      <c r="L101">
        <f t="shared" si="5"/>
        <v>66.199999999999989</v>
      </c>
      <c r="M101">
        <f t="shared" si="6"/>
        <v>-8.1799999999999855</v>
      </c>
      <c r="N101">
        <v>7.33</v>
      </c>
      <c r="O101">
        <v>88.88</v>
      </c>
      <c r="P101">
        <v>58</v>
      </c>
      <c r="Q101">
        <v>17.8</v>
      </c>
      <c r="R101">
        <v>9.09</v>
      </c>
      <c r="S101">
        <v>12.79</v>
      </c>
      <c r="T101">
        <v>5.65</v>
      </c>
      <c r="U101">
        <v>7.34</v>
      </c>
      <c r="V101">
        <v>3513.86</v>
      </c>
      <c r="W101">
        <v>1054.98</v>
      </c>
      <c r="X101">
        <v>1317.97</v>
      </c>
      <c r="Y101">
        <v>769.97</v>
      </c>
      <c r="Z101">
        <v>5.7</v>
      </c>
      <c r="AA101">
        <v>1.6</v>
      </c>
      <c r="AB101">
        <v>4.43</v>
      </c>
      <c r="AC101">
        <v>61.66</v>
      </c>
      <c r="AD101">
        <v>680</v>
      </c>
      <c r="AE101">
        <v>5900</v>
      </c>
      <c r="AF101">
        <v>82.08</v>
      </c>
      <c r="AG101">
        <v>0.59</v>
      </c>
      <c r="AH101">
        <v>12.95</v>
      </c>
      <c r="AI101">
        <v>46.27</v>
      </c>
      <c r="AJ101">
        <v>60</v>
      </c>
      <c r="AK101">
        <v>9</v>
      </c>
      <c r="AL101">
        <v>9</v>
      </c>
      <c r="AM101">
        <v>0.68</v>
      </c>
      <c r="AN101">
        <v>408</v>
      </c>
      <c r="AO101">
        <v>414.11</v>
      </c>
      <c r="AP101">
        <v>299135.38</v>
      </c>
      <c r="AQ101">
        <v>184864.82</v>
      </c>
      <c r="AR101" t="s">
        <v>1011</v>
      </c>
      <c r="AT101" s="6">
        <f t="shared" si="7"/>
        <v>6.5222922374429224</v>
      </c>
    </row>
    <row r="102" spans="1:46" x14ac:dyDescent="0.55000000000000004">
      <c r="A102">
        <v>17.7</v>
      </c>
      <c r="B102">
        <v>26.8</v>
      </c>
      <c r="C102">
        <v>5444.09</v>
      </c>
      <c r="D102">
        <v>7.6</v>
      </c>
      <c r="E102" t="s">
        <v>1259</v>
      </c>
      <c r="F102" t="s">
        <v>1507</v>
      </c>
      <c r="G102" t="s">
        <v>1686</v>
      </c>
      <c r="H102" t="s">
        <v>1865</v>
      </c>
      <c r="I102">
        <v>0</v>
      </c>
      <c r="J102">
        <v>739.67</v>
      </c>
      <c r="K102">
        <f t="shared" si="4"/>
        <v>57.36</v>
      </c>
      <c r="L102">
        <f t="shared" si="5"/>
        <v>58.360000000000007</v>
      </c>
      <c r="M102">
        <f t="shared" si="6"/>
        <v>-1.0000000000000071</v>
      </c>
      <c r="N102">
        <v>7.32</v>
      </c>
      <c r="O102">
        <v>88.99</v>
      </c>
      <c r="P102">
        <v>83</v>
      </c>
      <c r="Q102">
        <v>12.4</v>
      </c>
      <c r="R102">
        <v>9.1</v>
      </c>
      <c r="S102">
        <v>10.55</v>
      </c>
      <c r="T102">
        <v>7.15</v>
      </c>
      <c r="U102">
        <v>7.36</v>
      </c>
      <c r="V102">
        <v>3484.22</v>
      </c>
      <c r="W102">
        <v>1046.67</v>
      </c>
      <c r="X102">
        <v>1312.49</v>
      </c>
      <c r="Y102">
        <v>764.98</v>
      </c>
      <c r="Z102">
        <v>6.39</v>
      </c>
      <c r="AA102">
        <v>1.56</v>
      </c>
      <c r="AB102">
        <v>4.49</v>
      </c>
      <c r="AC102">
        <v>55.99</v>
      </c>
      <c r="AD102">
        <v>680</v>
      </c>
      <c r="AE102">
        <v>5900</v>
      </c>
      <c r="AF102">
        <v>82.16</v>
      </c>
      <c r="AG102">
        <v>0.59</v>
      </c>
      <c r="AH102">
        <v>12.92</v>
      </c>
      <c r="AI102">
        <v>52.49</v>
      </c>
      <c r="AJ102">
        <v>60</v>
      </c>
      <c r="AK102">
        <v>9</v>
      </c>
      <c r="AL102">
        <v>9</v>
      </c>
      <c r="AM102">
        <v>0.6</v>
      </c>
      <c r="AN102">
        <v>408</v>
      </c>
      <c r="AO102">
        <v>413.39</v>
      </c>
      <c r="AP102">
        <v>359197.54</v>
      </c>
      <c r="AQ102">
        <v>145435.98000000001</v>
      </c>
      <c r="AR102" t="s">
        <v>1012</v>
      </c>
      <c r="AT102" s="6">
        <f t="shared" si="7"/>
        <v>12.201002283105021</v>
      </c>
    </row>
    <row r="103" spans="1:46" x14ac:dyDescent="0.55000000000000004">
      <c r="A103">
        <v>17.829999999999998</v>
      </c>
      <c r="B103">
        <v>26.92</v>
      </c>
      <c r="C103">
        <v>5437</v>
      </c>
      <c r="D103">
        <v>7.6</v>
      </c>
      <c r="E103" t="s">
        <v>1260</v>
      </c>
      <c r="F103" t="s">
        <v>1508</v>
      </c>
      <c r="G103" t="s">
        <v>1686</v>
      </c>
      <c r="H103" t="s">
        <v>1866</v>
      </c>
      <c r="I103">
        <v>0</v>
      </c>
      <c r="J103">
        <v>700.6</v>
      </c>
      <c r="K103">
        <f t="shared" si="4"/>
        <v>54.68</v>
      </c>
      <c r="L103">
        <f t="shared" si="5"/>
        <v>59.54</v>
      </c>
      <c r="M103">
        <f t="shared" si="6"/>
        <v>-4.8599999999999994</v>
      </c>
      <c r="N103">
        <v>7.3</v>
      </c>
      <c r="O103">
        <v>88.99</v>
      </c>
      <c r="P103">
        <v>79</v>
      </c>
      <c r="Q103">
        <v>13.2</v>
      </c>
      <c r="R103">
        <v>9.09</v>
      </c>
      <c r="S103">
        <v>10.89</v>
      </c>
      <c r="T103">
        <v>6.94</v>
      </c>
      <c r="U103">
        <v>7.76</v>
      </c>
      <c r="V103">
        <v>3479.68</v>
      </c>
      <c r="W103">
        <v>1048.01</v>
      </c>
      <c r="X103">
        <v>1337.13</v>
      </c>
      <c r="Y103">
        <v>771</v>
      </c>
      <c r="Z103">
        <v>5.97</v>
      </c>
      <c r="AA103">
        <v>1.57</v>
      </c>
      <c r="AB103">
        <v>4.47</v>
      </c>
      <c r="AC103">
        <v>56.71</v>
      </c>
      <c r="AD103">
        <v>680</v>
      </c>
      <c r="AE103">
        <v>5900</v>
      </c>
      <c r="AF103">
        <v>82.05</v>
      </c>
      <c r="AG103">
        <v>0.59</v>
      </c>
      <c r="AH103">
        <v>12.14</v>
      </c>
      <c r="AI103">
        <v>51.44</v>
      </c>
      <c r="AJ103">
        <v>60</v>
      </c>
      <c r="AK103">
        <v>9</v>
      </c>
      <c r="AL103">
        <v>9</v>
      </c>
      <c r="AM103">
        <v>0.61</v>
      </c>
      <c r="AN103">
        <v>408</v>
      </c>
      <c r="AO103">
        <v>413.5</v>
      </c>
      <c r="AP103">
        <v>319303.46999999997</v>
      </c>
      <c r="AQ103">
        <v>151334.76</v>
      </c>
      <c r="AR103" t="s">
        <v>1013</v>
      </c>
      <c r="AT103" s="6">
        <f t="shared" si="7"/>
        <v>9.5872551369862986</v>
      </c>
    </row>
    <row r="104" spans="1:46" x14ac:dyDescent="0.55000000000000004">
      <c r="A104">
        <v>18.920000000000002</v>
      </c>
      <c r="B104">
        <v>28.04</v>
      </c>
      <c r="C104">
        <v>5549.12</v>
      </c>
      <c r="D104">
        <v>7.61</v>
      </c>
      <c r="E104" t="s">
        <v>1261</v>
      </c>
      <c r="F104" t="s">
        <v>1509</v>
      </c>
      <c r="G104" t="s">
        <v>1707</v>
      </c>
      <c r="H104" t="s">
        <v>1867</v>
      </c>
      <c r="I104">
        <v>0</v>
      </c>
      <c r="J104">
        <v>797.23</v>
      </c>
      <c r="K104">
        <f t="shared" si="4"/>
        <v>61.89</v>
      </c>
      <c r="L104">
        <f t="shared" si="5"/>
        <v>62.129999999999995</v>
      </c>
      <c r="M104">
        <f t="shared" si="6"/>
        <v>-0.23999999999999488</v>
      </c>
      <c r="N104">
        <v>7.36</v>
      </c>
      <c r="O104">
        <v>89.08</v>
      </c>
      <c r="P104">
        <v>71</v>
      </c>
      <c r="Q104">
        <v>16</v>
      </c>
      <c r="R104">
        <v>9.1199999999999992</v>
      </c>
      <c r="S104">
        <v>12.67</v>
      </c>
      <c r="T104">
        <v>6.25</v>
      </c>
      <c r="U104">
        <v>6.96</v>
      </c>
      <c r="V104">
        <v>3551.44</v>
      </c>
      <c r="W104">
        <v>1063.32</v>
      </c>
      <c r="X104">
        <v>1303.1600000000001</v>
      </c>
      <c r="Y104">
        <v>770.52</v>
      </c>
      <c r="Z104">
        <v>6.48</v>
      </c>
      <c r="AA104">
        <v>1.59</v>
      </c>
      <c r="AB104">
        <v>4.43</v>
      </c>
      <c r="AC104">
        <v>59.32</v>
      </c>
      <c r="AD104">
        <v>680</v>
      </c>
      <c r="AE104">
        <v>5900</v>
      </c>
      <c r="AF104">
        <v>82.35</v>
      </c>
      <c r="AG104">
        <v>0.59</v>
      </c>
      <c r="AH104">
        <v>13.82</v>
      </c>
      <c r="AI104">
        <v>49.3</v>
      </c>
      <c r="AJ104">
        <v>60</v>
      </c>
      <c r="AK104">
        <v>9</v>
      </c>
      <c r="AL104">
        <v>9</v>
      </c>
      <c r="AM104">
        <v>0.64</v>
      </c>
      <c r="AN104">
        <v>408</v>
      </c>
      <c r="AO104">
        <v>413.74</v>
      </c>
      <c r="AP104">
        <v>377196.74</v>
      </c>
      <c r="AQ104">
        <v>164165.17000000001</v>
      </c>
      <c r="AR104" t="s">
        <v>1014</v>
      </c>
      <c r="AT104" s="6">
        <f t="shared" si="7"/>
        <v>12.15933618721461</v>
      </c>
    </row>
    <row r="105" spans="1:46" x14ac:dyDescent="0.55000000000000004">
      <c r="A105">
        <v>18.53</v>
      </c>
      <c r="B105">
        <v>27.63</v>
      </c>
      <c r="C105">
        <v>5539.12</v>
      </c>
      <c r="D105">
        <v>7.6</v>
      </c>
      <c r="E105" t="s">
        <v>1262</v>
      </c>
      <c r="F105" t="s">
        <v>1510</v>
      </c>
      <c r="G105" t="s">
        <v>1705</v>
      </c>
      <c r="H105" t="s">
        <v>1868</v>
      </c>
      <c r="I105">
        <v>0</v>
      </c>
      <c r="J105">
        <v>808.37</v>
      </c>
      <c r="K105">
        <f t="shared" si="4"/>
        <v>62.78</v>
      </c>
      <c r="L105">
        <f t="shared" si="5"/>
        <v>62.38</v>
      </c>
      <c r="M105">
        <f t="shared" si="6"/>
        <v>0.39999999999999858</v>
      </c>
      <c r="N105">
        <v>7.36</v>
      </c>
      <c r="O105">
        <v>89.03</v>
      </c>
      <c r="P105">
        <v>75</v>
      </c>
      <c r="Q105">
        <v>14.9</v>
      </c>
      <c r="R105">
        <v>9.1</v>
      </c>
      <c r="S105">
        <v>12.08</v>
      </c>
      <c r="T105">
        <v>6.45</v>
      </c>
      <c r="U105">
        <v>6.85</v>
      </c>
      <c r="V105">
        <v>3545.03</v>
      </c>
      <c r="W105">
        <v>1060.83</v>
      </c>
      <c r="X105">
        <v>1295.1300000000001</v>
      </c>
      <c r="Y105">
        <v>767.65</v>
      </c>
      <c r="Z105">
        <v>6.54</v>
      </c>
      <c r="AA105">
        <v>1.57</v>
      </c>
      <c r="AB105">
        <v>4.46</v>
      </c>
      <c r="AC105">
        <v>58.53</v>
      </c>
      <c r="AD105">
        <v>680</v>
      </c>
      <c r="AE105">
        <v>5900</v>
      </c>
      <c r="AF105">
        <v>82.15</v>
      </c>
      <c r="AG105">
        <v>0.59</v>
      </c>
      <c r="AH105">
        <v>14.04</v>
      </c>
      <c r="AI105">
        <v>49.11</v>
      </c>
      <c r="AJ105">
        <v>60</v>
      </c>
      <c r="AK105">
        <v>9</v>
      </c>
      <c r="AL105">
        <v>9</v>
      </c>
      <c r="AM105">
        <v>0.64</v>
      </c>
      <c r="AN105">
        <v>408</v>
      </c>
      <c r="AO105">
        <v>413.76</v>
      </c>
      <c r="AP105">
        <v>384218.17</v>
      </c>
      <c r="AQ105">
        <v>165191.6</v>
      </c>
      <c r="AR105" t="s">
        <v>1015</v>
      </c>
      <c r="AT105" s="6">
        <f t="shared" si="7"/>
        <v>12.501516552511415</v>
      </c>
    </row>
    <row r="106" spans="1:46" x14ac:dyDescent="0.55000000000000004">
      <c r="A106">
        <v>17.739999999999998</v>
      </c>
      <c r="B106">
        <v>26.86</v>
      </c>
      <c r="C106">
        <v>5448.02</v>
      </c>
      <c r="D106">
        <v>7.6</v>
      </c>
      <c r="E106" t="s">
        <v>1263</v>
      </c>
      <c r="F106" t="s">
        <v>1511</v>
      </c>
      <c r="G106" t="s">
        <v>1713</v>
      </c>
      <c r="H106" t="s">
        <v>1869</v>
      </c>
      <c r="I106">
        <v>0</v>
      </c>
      <c r="J106">
        <v>655.87</v>
      </c>
      <c r="K106">
        <f t="shared" si="4"/>
        <v>51.730000000000004</v>
      </c>
      <c r="L106">
        <f t="shared" si="5"/>
        <v>58.78</v>
      </c>
      <c r="M106">
        <f t="shared" si="6"/>
        <v>-7.0499999999999972</v>
      </c>
      <c r="N106">
        <v>7.27</v>
      </c>
      <c r="O106">
        <v>89.01</v>
      </c>
      <c r="P106">
        <v>80</v>
      </c>
      <c r="Q106">
        <v>13.1</v>
      </c>
      <c r="R106">
        <v>9.1199999999999992</v>
      </c>
      <c r="S106">
        <v>10.9</v>
      </c>
      <c r="T106">
        <v>6.84</v>
      </c>
      <c r="U106">
        <v>8.31</v>
      </c>
      <c r="V106">
        <v>3486.73</v>
      </c>
      <c r="W106">
        <v>1053.47</v>
      </c>
      <c r="X106">
        <v>1372.84</v>
      </c>
      <c r="Y106">
        <v>781.29</v>
      </c>
      <c r="Z106">
        <v>5.72</v>
      </c>
      <c r="AA106">
        <v>1.57</v>
      </c>
      <c r="AB106">
        <v>4.45</v>
      </c>
      <c r="AC106">
        <v>57.14</v>
      </c>
      <c r="AD106">
        <v>680</v>
      </c>
      <c r="AE106">
        <v>5900</v>
      </c>
      <c r="AF106">
        <v>82.29</v>
      </c>
      <c r="AG106">
        <v>0.59</v>
      </c>
      <c r="AH106">
        <v>11.26</v>
      </c>
      <c r="AI106">
        <v>52.11</v>
      </c>
      <c r="AJ106">
        <v>60</v>
      </c>
      <c r="AK106">
        <v>9</v>
      </c>
      <c r="AL106">
        <v>9</v>
      </c>
      <c r="AM106">
        <v>0.6</v>
      </c>
      <c r="AN106">
        <v>408</v>
      </c>
      <c r="AO106">
        <v>413.43</v>
      </c>
      <c r="AP106">
        <v>292911.34999999998</v>
      </c>
      <c r="AQ106">
        <v>148504.57</v>
      </c>
      <c r="AR106" t="s">
        <v>1016</v>
      </c>
      <c r="AT106" s="6">
        <f t="shared" si="7"/>
        <v>8.2423961187214587</v>
      </c>
    </row>
    <row r="107" spans="1:46" x14ac:dyDescent="0.55000000000000004">
      <c r="A107">
        <v>18.690000000000001</v>
      </c>
      <c r="B107">
        <v>27.79</v>
      </c>
      <c r="C107">
        <v>5541.9</v>
      </c>
      <c r="D107">
        <v>7.59</v>
      </c>
      <c r="E107" t="s">
        <v>1264</v>
      </c>
      <c r="F107" t="s">
        <v>1512</v>
      </c>
      <c r="G107" t="s">
        <v>1704</v>
      </c>
      <c r="H107" t="s">
        <v>1870</v>
      </c>
      <c r="I107">
        <v>0</v>
      </c>
      <c r="J107">
        <v>809.34</v>
      </c>
      <c r="K107">
        <f t="shared" si="4"/>
        <v>62.75</v>
      </c>
      <c r="L107">
        <f t="shared" si="5"/>
        <v>62.44</v>
      </c>
      <c r="M107">
        <f t="shared" si="6"/>
        <v>0.31000000000000227</v>
      </c>
      <c r="N107">
        <v>7.36</v>
      </c>
      <c r="O107">
        <v>88.95</v>
      </c>
      <c r="P107">
        <v>73</v>
      </c>
      <c r="Q107">
        <v>15.4</v>
      </c>
      <c r="R107">
        <v>9.1</v>
      </c>
      <c r="S107">
        <v>12.33</v>
      </c>
      <c r="T107">
        <v>6.36</v>
      </c>
      <c r="U107">
        <v>6.85</v>
      </c>
      <c r="V107">
        <v>3546.82</v>
      </c>
      <c r="W107">
        <v>1061.23</v>
      </c>
      <c r="X107">
        <v>1294.6600000000001</v>
      </c>
      <c r="Y107">
        <v>767.7</v>
      </c>
      <c r="Z107">
        <v>6.53</v>
      </c>
      <c r="AA107">
        <v>1.56</v>
      </c>
      <c r="AB107">
        <v>4.46</v>
      </c>
      <c r="AC107">
        <v>58.86</v>
      </c>
      <c r="AD107">
        <v>680</v>
      </c>
      <c r="AE107">
        <v>5900</v>
      </c>
      <c r="AF107">
        <v>82.16</v>
      </c>
      <c r="AG107">
        <v>0.59</v>
      </c>
      <c r="AH107">
        <v>14.05</v>
      </c>
      <c r="AI107">
        <v>49.06</v>
      </c>
      <c r="AJ107">
        <v>60</v>
      </c>
      <c r="AK107">
        <v>9</v>
      </c>
      <c r="AL107">
        <v>9</v>
      </c>
      <c r="AM107">
        <v>0.64</v>
      </c>
      <c r="AN107">
        <v>408</v>
      </c>
      <c r="AO107">
        <v>413.76</v>
      </c>
      <c r="AP107">
        <v>383327.7</v>
      </c>
      <c r="AQ107">
        <v>166237.92000000001</v>
      </c>
      <c r="AR107" t="s">
        <v>1017</v>
      </c>
      <c r="AT107" s="6">
        <f t="shared" si="7"/>
        <v>12.390969178082191</v>
      </c>
    </row>
    <row r="108" spans="1:46" x14ac:dyDescent="0.55000000000000004">
      <c r="A108">
        <v>17.36</v>
      </c>
      <c r="B108">
        <v>26.45</v>
      </c>
      <c r="C108">
        <v>5438.17</v>
      </c>
      <c r="D108">
        <v>7.6</v>
      </c>
      <c r="E108" t="s">
        <v>1265</v>
      </c>
      <c r="F108" t="s">
        <v>1513</v>
      </c>
      <c r="G108" t="s">
        <v>1720</v>
      </c>
      <c r="H108" t="s">
        <v>1871</v>
      </c>
      <c r="I108">
        <v>0</v>
      </c>
      <c r="J108">
        <v>674.71</v>
      </c>
      <c r="K108">
        <f t="shared" si="4"/>
        <v>53.25</v>
      </c>
      <c r="L108">
        <f t="shared" si="5"/>
        <v>55.03</v>
      </c>
      <c r="M108">
        <f t="shared" si="6"/>
        <v>-1.7800000000000011</v>
      </c>
      <c r="N108">
        <v>7.28</v>
      </c>
      <c r="O108">
        <v>89.09</v>
      </c>
      <c r="P108">
        <v>85</v>
      </c>
      <c r="Q108">
        <v>11.8</v>
      </c>
      <c r="R108">
        <v>9.09</v>
      </c>
      <c r="S108">
        <v>10.17</v>
      </c>
      <c r="T108">
        <v>7.19</v>
      </c>
      <c r="U108">
        <v>8.06</v>
      </c>
      <c r="V108">
        <v>3480.43</v>
      </c>
      <c r="W108">
        <v>1050.3499999999999</v>
      </c>
      <c r="X108">
        <v>1357.68</v>
      </c>
      <c r="Y108">
        <v>776.62</v>
      </c>
      <c r="Z108">
        <v>6.77</v>
      </c>
      <c r="AA108">
        <v>1.56</v>
      </c>
      <c r="AB108">
        <v>4.47</v>
      </c>
      <c r="AC108">
        <v>55.82</v>
      </c>
      <c r="AD108">
        <v>680</v>
      </c>
      <c r="AE108">
        <v>5900</v>
      </c>
      <c r="AF108">
        <v>82.03</v>
      </c>
      <c r="AG108">
        <v>0.59</v>
      </c>
      <c r="AH108">
        <v>11.62</v>
      </c>
      <c r="AI108">
        <v>59.94</v>
      </c>
      <c r="AJ108">
        <v>60</v>
      </c>
      <c r="AK108">
        <v>9</v>
      </c>
      <c r="AL108">
        <v>9</v>
      </c>
      <c r="AM108">
        <v>0.52</v>
      </c>
      <c r="AN108">
        <v>408</v>
      </c>
      <c r="AO108">
        <v>412.72</v>
      </c>
      <c r="AP108">
        <v>336491.8</v>
      </c>
      <c r="AQ108">
        <v>156605.45000000001</v>
      </c>
      <c r="AR108" t="s">
        <v>1018</v>
      </c>
      <c r="AT108" s="6">
        <f t="shared" si="7"/>
        <v>10.267485730593606</v>
      </c>
    </row>
    <row r="109" spans="1:46" x14ac:dyDescent="0.55000000000000004">
      <c r="A109">
        <v>18.32</v>
      </c>
      <c r="B109">
        <v>27.38</v>
      </c>
      <c r="C109">
        <v>5515.27</v>
      </c>
      <c r="D109">
        <v>7.61</v>
      </c>
      <c r="E109" t="s">
        <v>1266</v>
      </c>
      <c r="F109" t="s">
        <v>1514</v>
      </c>
      <c r="G109" t="s">
        <v>1714</v>
      </c>
      <c r="H109" t="s">
        <v>1872</v>
      </c>
      <c r="I109">
        <v>0</v>
      </c>
      <c r="J109">
        <v>784.72</v>
      </c>
      <c r="K109">
        <f t="shared" si="4"/>
        <v>60.75</v>
      </c>
      <c r="L109">
        <f t="shared" si="5"/>
        <v>59.980000000000004</v>
      </c>
      <c r="M109">
        <f t="shared" si="6"/>
        <v>0.76999999999999602</v>
      </c>
      <c r="N109">
        <v>7.35</v>
      </c>
      <c r="O109">
        <v>88.96</v>
      </c>
      <c r="P109">
        <v>79</v>
      </c>
      <c r="Q109">
        <v>13.8</v>
      </c>
      <c r="R109">
        <v>9.06</v>
      </c>
      <c r="S109">
        <v>11.47</v>
      </c>
      <c r="T109">
        <v>6.85</v>
      </c>
      <c r="U109">
        <v>7.03</v>
      </c>
      <c r="V109">
        <v>3529.77</v>
      </c>
      <c r="W109">
        <v>1057.53</v>
      </c>
      <c r="X109">
        <v>1302.0999999999999</v>
      </c>
      <c r="Y109">
        <v>767.64</v>
      </c>
      <c r="Z109">
        <v>6.58</v>
      </c>
      <c r="AA109">
        <v>1.58</v>
      </c>
      <c r="AB109">
        <v>4.46</v>
      </c>
      <c r="AC109">
        <v>56.95</v>
      </c>
      <c r="AD109">
        <v>680</v>
      </c>
      <c r="AE109">
        <v>5900</v>
      </c>
      <c r="AF109">
        <v>81.8</v>
      </c>
      <c r="AG109">
        <v>0.59</v>
      </c>
      <c r="AH109">
        <v>13.57</v>
      </c>
      <c r="AI109">
        <v>51.07</v>
      </c>
      <c r="AJ109">
        <v>60</v>
      </c>
      <c r="AK109">
        <v>9</v>
      </c>
      <c r="AL109">
        <v>9</v>
      </c>
      <c r="AM109">
        <v>0.62</v>
      </c>
      <c r="AN109">
        <v>408</v>
      </c>
      <c r="AO109">
        <v>413.54</v>
      </c>
      <c r="AP109">
        <v>382581.39</v>
      </c>
      <c r="AQ109">
        <v>153779.42000000001</v>
      </c>
      <c r="AR109" t="s">
        <v>1019</v>
      </c>
      <c r="AT109" s="6">
        <f t="shared" si="7"/>
        <v>13.059473173515983</v>
      </c>
    </row>
    <row r="110" spans="1:46" x14ac:dyDescent="0.55000000000000004">
      <c r="A110">
        <v>19.11</v>
      </c>
      <c r="B110">
        <v>28.23</v>
      </c>
      <c r="C110">
        <v>5558.1</v>
      </c>
      <c r="D110">
        <v>7.6</v>
      </c>
      <c r="E110" t="s">
        <v>1267</v>
      </c>
      <c r="F110" t="s">
        <v>1515</v>
      </c>
      <c r="G110" t="s">
        <v>1695</v>
      </c>
      <c r="H110" t="s">
        <v>1873</v>
      </c>
      <c r="I110">
        <v>0</v>
      </c>
      <c r="J110">
        <v>827.17</v>
      </c>
      <c r="K110">
        <f t="shared" si="4"/>
        <v>64.260000000000005</v>
      </c>
      <c r="L110">
        <f t="shared" si="5"/>
        <v>65.87</v>
      </c>
      <c r="M110">
        <f t="shared" si="6"/>
        <v>-1.6099999999999994</v>
      </c>
      <c r="N110">
        <v>7.37</v>
      </c>
      <c r="O110">
        <v>88.91</v>
      </c>
      <c r="P110">
        <v>72</v>
      </c>
      <c r="Q110">
        <v>16.100000000000001</v>
      </c>
      <c r="R110">
        <v>9.1199999999999992</v>
      </c>
      <c r="S110">
        <v>12.87</v>
      </c>
      <c r="T110">
        <v>6.24</v>
      </c>
      <c r="U110">
        <v>6.72</v>
      </c>
      <c r="V110">
        <v>3557.19</v>
      </c>
      <c r="W110">
        <v>1063.3399999999999</v>
      </c>
      <c r="X110">
        <v>1288.8</v>
      </c>
      <c r="Y110">
        <v>767.37</v>
      </c>
      <c r="Z110">
        <v>6.34</v>
      </c>
      <c r="AA110">
        <v>1.58</v>
      </c>
      <c r="AB110">
        <v>4.4400000000000004</v>
      </c>
      <c r="AC110">
        <v>59.38</v>
      </c>
      <c r="AD110">
        <v>680</v>
      </c>
      <c r="AE110">
        <v>5900</v>
      </c>
      <c r="AF110">
        <v>82.32</v>
      </c>
      <c r="AG110">
        <v>0.59</v>
      </c>
      <c r="AH110">
        <v>14.39</v>
      </c>
      <c r="AI110">
        <v>46.5</v>
      </c>
      <c r="AJ110">
        <v>60</v>
      </c>
      <c r="AK110">
        <v>9</v>
      </c>
      <c r="AL110">
        <v>9</v>
      </c>
      <c r="AM110">
        <v>0.68</v>
      </c>
      <c r="AN110">
        <v>408</v>
      </c>
      <c r="AO110">
        <v>414.08</v>
      </c>
      <c r="AP110">
        <v>370327.09</v>
      </c>
      <c r="AQ110">
        <v>183761.03</v>
      </c>
      <c r="AR110" t="s">
        <v>1020</v>
      </c>
      <c r="AT110" s="6">
        <f t="shared" si="7"/>
        <v>10.648747716894979</v>
      </c>
    </row>
    <row r="111" spans="1:46" x14ac:dyDescent="0.55000000000000004">
      <c r="A111">
        <v>17.39</v>
      </c>
      <c r="B111">
        <v>26.53</v>
      </c>
      <c r="C111">
        <v>5434.73</v>
      </c>
      <c r="D111">
        <v>7.59</v>
      </c>
      <c r="E111" t="s">
        <v>1268</v>
      </c>
      <c r="F111" t="s">
        <v>1516</v>
      </c>
      <c r="G111" t="s">
        <v>1707</v>
      </c>
      <c r="H111" t="s">
        <v>1874</v>
      </c>
      <c r="I111">
        <v>0</v>
      </c>
      <c r="J111">
        <v>757.08</v>
      </c>
      <c r="K111">
        <f t="shared" si="4"/>
        <v>58.65</v>
      </c>
      <c r="L111">
        <f t="shared" si="5"/>
        <v>60.96</v>
      </c>
      <c r="M111">
        <f t="shared" si="6"/>
        <v>-2.3100000000000023</v>
      </c>
      <c r="N111">
        <v>7.33</v>
      </c>
      <c r="O111">
        <v>89.01</v>
      </c>
      <c r="P111">
        <v>88</v>
      </c>
      <c r="Q111">
        <v>11</v>
      </c>
      <c r="R111">
        <v>9.14</v>
      </c>
      <c r="S111">
        <v>9.6999999999999993</v>
      </c>
      <c r="T111">
        <v>7.69</v>
      </c>
      <c r="U111">
        <v>7.18</v>
      </c>
      <c r="V111">
        <v>3478.23</v>
      </c>
      <c r="W111">
        <v>1043.78</v>
      </c>
      <c r="X111">
        <v>1299.57</v>
      </c>
      <c r="Y111">
        <v>760.84</v>
      </c>
      <c r="Z111">
        <v>6.25</v>
      </c>
      <c r="AA111">
        <v>1.54</v>
      </c>
      <c r="AB111">
        <v>4.5199999999999996</v>
      </c>
      <c r="AC111">
        <v>54.29</v>
      </c>
      <c r="AD111">
        <v>680</v>
      </c>
      <c r="AE111">
        <v>5900</v>
      </c>
      <c r="AF111">
        <v>82.47</v>
      </c>
      <c r="AG111">
        <v>0.59</v>
      </c>
      <c r="AH111">
        <v>13.35</v>
      </c>
      <c r="AI111">
        <v>50.25</v>
      </c>
      <c r="AJ111">
        <v>60</v>
      </c>
      <c r="AK111">
        <v>9</v>
      </c>
      <c r="AL111">
        <v>9</v>
      </c>
      <c r="AM111">
        <v>0.63</v>
      </c>
      <c r="AN111">
        <v>408</v>
      </c>
      <c r="AO111">
        <v>413.63</v>
      </c>
      <c r="AP111">
        <v>350970.16</v>
      </c>
      <c r="AQ111">
        <v>158370.66</v>
      </c>
      <c r="AR111" t="s">
        <v>1021</v>
      </c>
      <c r="AT111" s="6">
        <f t="shared" si="7"/>
        <v>10.99312214611872</v>
      </c>
    </row>
    <row r="112" spans="1:46" x14ac:dyDescent="0.55000000000000004">
      <c r="A112">
        <v>18.3</v>
      </c>
      <c r="B112">
        <v>27.43</v>
      </c>
      <c r="C112">
        <v>5523</v>
      </c>
      <c r="D112">
        <v>7.6</v>
      </c>
      <c r="E112" t="s">
        <v>1269</v>
      </c>
      <c r="F112" t="s">
        <v>1517</v>
      </c>
      <c r="G112" t="s">
        <v>1721</v>
      </c>
      <c r="H112" t="s">
        <v>1875</v>
      </c>
      <c r="I112">
        <v>0</v>
      </c>
      <c r="J112">
        <v>765.61</v>
      </c>
      <c r="K112">
        <f t="shared" si="4"/>
        <v>59.32</v>
      </c>
      <c r="L112">
        <f t="shared" si="5"/>
        <v>58.28</v>
      </c>
      <c r="M112">
        <f t="shared" si="6"/>
        <v>1.0399999999999991</v>
      </c>
      <c r="N112">
        <v>7.34</v>
      </c>
      <c r="O112">
        <v>89.05</v>
      </c>
      <c r="P112">
        <v>78</v>
      </c>
      <c r="Q112">
        <v>14.4</v>
      </c>
      <c r="R112">
        <v>9.14</v>
      </c>
      <c r="S112">
        <v>11.93</v>
      </c>
      <c r="T112">
        <v>6.36</v>
      </c>
      <c r="U112">
        <v>7.21</v>
      </c>
      <c r="V112">
        <v>3534.72</v>
      </c>
      <c r="W112">
        <v>1060.0899999999999</v>
      </c>
      <c r="X112">
        <v>1314.64</v>
      </c>
      <c r="Y112">
        <v>771.54</v>
      </c>
      <c r="Z112">
        <v>6.62</v>
      </c>
      <c r="AA112">
        <v>1.57</v>
      </c>
      <c r="AB112">
        <v>4.45</v>
      </c>
      <c r="AC112">
        <v>58.95</v>
      </c>
      <c r="AD112">
        <v>680</v>
      </c>
      <c r="AE112">
        <v>5900</v>
      </c>
      <c r="AF112">
        <v>82.47</v>
      </c>
      <c r="AG112">
        <v>0.59</v>
      </c>
      <c r="AH112">
        <v>13.27</v>
      </c>
      <c r="AI112">
        <v>52.56</v>
      </c>
      <c r="AJ112">
        <v>60</v>
      </c>
      <c r="AK112">
        <v>9</v>
      </c>
      <c r="AL112">
        <v>9</v>
      </c>
      <c r="AM112">
        <v>0.6</v>
      </c>
      <c r="AN112">
        <v>408</v>
      </c>
      <c r="AO112">
        <v>413.38</v>
      </c>
      <c r="AP112">
        <v>381901.87</v>
      </c>
      <c r="AQ112">
        <v>145467.04999999999</v>
      </c>
      <c r="AR112" t="s">
        <v>1022</v>
      </c>
      <c r="AT112" s="6">
        <f t="shared" si="7"/>
        <v>13.495138127853881</v>
      </c>
    </row>
    <row r="113" spans="1:46" x14ac:dyDescent="0.55000000000000004">
      <c r="A113">
        <v>17.63</v>
      </c>
      <c r="B113">
        <v>26.67</v>
      </c>
      <c r="C113">
        <v>5442.58</v>
      </c>
      <c r="D113">
        <v>7.6</v>
      </c>
      <c r="E113" t="s">
        <v>1270</v>
      </c>
      <c r="F113" t="s">
        <v>1518</v>
      </c>
      <c r="G113" t="s">
        <v>1715</v>
      </c>
      <c r="H113" t="s">
        <v>1876</v>
      </c>
      <c r="I113">
        <v>0</v>
      </c>
      <c r="J113">
        <v>688.13</v>
      </c>
      <c r="K113">
        <f t="shared" si="4"/>
        <v>53.76</v>
      </c>
      <c r="L113">
        <f t="shared" si="5"/>
        <v>57.39</v>
      </c>
      <c r="M113">
        <f t="shared" si="6"/>
        <v>-3.6300000000000026</v>
      </c>
      <c r="N113">
        <v>7.29</v>
      </c>
      <c r="O113">
        <v>88.97</v>
      </c>
      <c r="P113">
        <v>81</v>
      </c>
      <c r="Q113">
        <v>12.8</v>
      </c>
      <c r="R113">
        <v>9.0500000000000007</v>
      </c>
      <c r="S113">
        <v>10.72</v>
      </c>
      <c r="T113">
        <v>6.9</v>
      </c>
      <c r="U113">
        <v>7.91</v>
      </c>
      <c r="V113">
        <v>3483.25</v>
      </c>
      <c r="W113">
        <v>1049.81</v>
      </c>
      <c r="X113">
        <v>1346.07</v>
      </c>
      <c r="Y113">
        <v>773.72</v>
      </c>
      <c r="Z113">
        <v>6.09</v>
      </c>
      <c r="AA113">
        <v>1.56</v>
      </c>
      <c r="AB113">
        <v>4.47</v>
      </c>
      <c r="AC113">
        <v>56.72</v>
      </c>
      <c r="AD113">
        <v>680</v>
      </c>
      <c r="AE113">
        <v>5900</v>
      </c>
      <c r="AF113">
        <v>81.67</v>
      </c>
      <c r="AG113">
        <v>0.59</v>
      </c>
      <c r="AH113">
        <v>11.82</v>
      </c>
      <c r="AI113">
        <v>53.37</v>
      </c>
      <c r="AJ113">
        <v>60</v>
      </c>
      <c r="AK113">
        <v>9</v>
      </c>
      <c r="AL113">
        <v>9</v>
      </c>
      <c r="AM113">
        <v>0.59</v>
      </c>
      <c r="AN113">
        <v>408</v>
      </c>
      <c r="AO113">
        <v>413.3</v>
      </c>
      <c r="AP113">
        <v>327761.21000000002</v>
      </c>
      <c r="AQ113">
        <v>141686.48000000001</v>
      </c>
      <c r="AR113" t="s">
        <v>1023</v>
      </c>
      <c r="AT113" s="6">
        <f t="shared" si="7"/>
        <v>10.620703767123288</v>
      </c>
    </row>
    <row r="114" spans="1:46" x14ac:dyDescent="0.55000000000000004">
      <c r="A114">
        <v>17.68</v>
      </c>
      <c r="B114">
        <v>26.79</v>
      </c>
      <c r="C114">
        <v>5467.22</v>
      </c>
      <c r="D114">
        <v>7.6</v>
      </c>
      <c r="E114" t="s">
        <v>1271</v>
      </c>
      <c r="F114" t="s">
        <v>1519</v>
      </c>
      <c r="G114" t="s">
        <v>1707</v>
      </c>
      <c r="H114" t="s">
        <v>1877</v>
      </c>
      <c r="I114">
        <v>0</v>
      </c>
      <c r="J114">
        <v>767.67</v>
      </c>
      <c r="K114">
        <f t="shared" si="4"/>
        <v>59.46</v>
      </c>
      <c r="L114">
        <f t="shared" si="5"/>
        <v>59.3</v>
      </c>
      <c r="M114">
        <f t="shared" si="6"/>
        <v>0.16000000000000369</v>
      </c>
      <c r="N114">
        <v>7.34</v>
      </c>
      <c r="O114">
        <v>89.07</v>
      </c>
      <c r="P114">
        <v>84</v>
      </c>
      <c r="Q114">
        <v>12.4</v>
      </c>
      <c r="R114">
        <v>9.11</v>
      </c>
      <c r="S114">
        <v>10.65</v>
      </c>
      <c r="T114">
        <v>7.03</v>
      </c>
      <c r="U114">
        <v>7.12</v>
      </c>
      <c r="V114">
        <v>3499.02</v>
      </c>
      <c r="W114">
        <v>1049.3800000000001</v>
      </c>
      <c r="X114">
        <v>1301.06</v>
      </c>
      <c r="Y114">
        <v>763.72</v>
      </c>
      <c r="Z114">
        <v>6.52</v>
      </c>
      <c r="AA114">
        <v>1.55</v>
      </c>
      <c r="AB114">
        <v>4.5</v>
      </c>
      <c r="AC114">
        <v>56.43</v>
      </c>
      <c r="AD114">
        <v>680</v>
      </c>
      <c r="AE114">
        <v>5900</v>
      </c>
      <c r="AF114">
        <v>82.2</v>
      </c>
      <c r="AG114">
        <v>0.59</v>
      </c>
      <c r="AH114">
        <v>13.43</v>
      </c>
      <c r="AI114">
        <v>51.65</v>
      </c>
      <c r="AJ114">
        <v>60</v>
      </c>
      <c r="AK114">
        <v>9</v>
      </c>
      <c r="AL114">
        <v>9</v>
      </c>
      <c r="AM114">
        <v>0.61</v>
      </c>
      <c r="AN114">
        <v>408</v>
      </c>
      <c r="AO114">
        <v>413.47</v>
      </c>
      <c r="AP114">
        <v>374164.33</v>
      </c>
      <c r="AQ114">
        <v>149971.91</v>
      </c>
      <c r="AR114" t="s">
        <v>1024</v>
      </c>
      <c r="AT114" s="6">
        <f t="shared" si="7"/>
        <v>12.796371004566211</v>
      </c>
    </row>
    <row r="115" spans="1:46" x14ac:dyDescent="0.55000000000000004">
      <c r="A115">
        <v>18.22</v>
      </c>
      <c r="B115">
        <v>27.31</v>
      </c>
      <c r="C115">
        <v>5503.85</v>
      </c>
      <c r="D115">
        <v>7.6</v>
      </c>
      <c r="E115" t="s">
        <v>1272</v>
      </c>
      <c r="F115" t="s">
        <v>1520</v>
      </c>
      <c r="G115" t="s">
        <v>1705</v>
      </c>
      <c r="H115" t="s">
        <v>1878</v>
      </c>
      <c r="I115">
        <v>0</v>
      </c>
      <c r="J115">
        <v>799.83</v>
      </c>
      <c r="K115">
        <f t="shared" si="4"/>
        <v>62.08</v>
      </c>
      <c r="L115">
        <f t="shared" si="5"/>
        <v>61.550000000000004</v>
      </c>
      <c r="M115">
        <f t="shared" si="6"/>
        <v>0.52999999999999403</v>
      </c>
      <c r="N115">
        <v>7.36</v>
      </c>
      <c r="O115">
        <v>88.99</v>
      </c>
      <c r="P115">
        <v>80</v>
      </c>
      <c r="Q115">
        <v>13.6</v>
      </c>
      <c r="R115">
        <v>9.09</v>
      </c>
      <c r="S115">
        <v>11.38</v>
      </c>
      <c r="T115">
        <v>6.84</v>
      </c>
      <c r="U115">
        <v>6.88</v>
      </c>
      <c r="V115">
        <v>3522.47</v>
      </c>
      <c r="W115">
        <v>1054.55</v>
      </c>
      <c r="X115">
        <v>1291.5</v>
      </c>
      <c r="Y115">
        <v>763.99</v>
      </c>
      <c r="Z115">
        <v>6.56</v>
      </c>
      <c r="AA115">
        <v>1.56</v>
      </c>
      <c r="AB115">
        <v>4.4800000000000004</v>
      </c>
      <c r="AC115">
        <v>57.07</v>
      </c>
      <c r="AD115">
        <v>680</v>
      </c>
      <c r="AE115">
        <v>5900</v>
      </c>
      <c r="AF115">
        <v>82.04</v>
      </c>
      <c r="AG115">
        <v>0.59</v>
      </c>
      <c r="AH115">
        <v>13.95</v>
      </c>
      <c r="AI115">
        <v>49.76</v>
      </c>
      <c r="AJ115">
        <v>60</v>
      </c>
      <c r="AK115">
        <v>9</v>
      </c>
      <c r="AL115">
        <v>9</v>
      </c>
      <c r="AM115">
        <v>0.63</v>
      </c>
      <c r="AN115">
        <v>408</v>
      </c>
      <c r="AO115">
        <v>413.68</v>
      </c>
      <c r="AP115">
        <v>383742.18</v>
      </c>
      <c r="AQ115">
        <v>161048.63</v>
      </c>
      <c r="AR115" t="s">
        <v>1025</v>
      </c>
      <c r="AT115" s="6">
        <f t="shared" si="7"/>
        <v>12.710819063926939</v>
      </c>
    </row>
    <row r="116" spans="1:46" x14ac:dyDescent="0.55000000000000004">
      <c r="A116">
        <v>17.79</v>
      </c>
      <c r="B116">
        <v>26.9</v>
      </c>
      <c r="C116">
        <v>5477.41</v>
      </c>
      <c r="D116">
        <v>7.6</v>
      </c>
      <c r="E116" t="s">
        <v>1273</v>
      </c>
      <c r="F116" t="s">
        <v>1521</v>
      </c>
      <c r="G116" t="s">
        <v>1695</v>
      </c>
      <c r="H116" t="s">
        <v>1879</v>
      </c>
      <c r="I116">
        <v>0</v>
      </c>
      <c r="J116">
        <v>801.96</v>
      </c>
      <c r="K116">
        <f t="shared" si="4"/>
        <v>62.099999999999994</v>
      </c>
      <c r="L116">
        <f t="shared" si="5"/>
        <v>61.910000000000004</v>
      </c>
      <c r="M116">
        <f t="shared" si="6"/>
        <v>0.18999999999999062</v>
      </c>
      <c r="N116">
        <v>7.36</v>
      </c>
      <c r="O116">
        <v>88.96</v>
      </c>
      <c r="P116">
        <v>81</v>
      </c>
      <c r="Q116">
        <v>13.1</v>
      </c>
      <c r="R116">
        <v>9.11</v>
      </c>
      <c r="S116">
        <v>11.01</v>
      </c>
      <c r="T116">
        <v>6.78</v>
      </c>
      <c r="U116">
        <v>6.83</v>
      </c>
      <c r="V116">
        <v>3505.54</v>
      </c>
      <c r="W116">
        <v>1049.24</v>
      </c>
      <c r="X116">
        <v>1283.22</v>
      </c>
      <c r="Y116">
        <v>759.71</v>
      </c>
      <c r="Z116">
        <v>6.52</v>
      </c>
      <c r="AA116">
        <v>1.55</v>
      </c>
      <c r="AB116">
        <v>4.5</v>
      </c>
      <c r="AC116">
        <v>57.35</v>
      </c>
      <c r="AD116">
        <v>680</v>
      </c>
      <c r="AE116">
        <v>5900</v>
      </c>
      <c r="AF116">
        <v>82.28</v>
      </c>
      <c r="AG116">
        <v>0.59</v>
      </c>
      <c r="AH116">
        <v>14.11</v>
      </c>
      <c r="AI116">
        <v>49.47</v>
      </c>
      <c r="AJ116">
        <v>60</v>
      </c>
      <c r="AK116">
        <v>9</v>
      </c>
      <c r="AL116">
        <v>9</v>
      </c>
      <c r="AM116">
        <v>0.64</v>
      </c>
      <c r="AN116">
        <v>408</v>
      </c>
      <c r="AO116">
        <v>413.72</v>
      </c>
      <c r="AP116">
        <v>380918.77</v>
      </c>
      <c r="AQ116">
        <v>163916.79999999999</v>
      </c>
      <c r="AR116" t="s">
        <v>1026</v>
      </c>
      <c r="AT116" s="6">
        <f t="shared" si="7"/>
        <v>12.385957191780824</v>
      </c>
    </row>
    <row r="117" spans="1:46" x14ac:dyDescent="0.55000000000000004">
      <c r="A117">
        <v>17.760000000000002</v>
      </c>
      <c r="B117">
        <v>26.91</v>
      </c>
      <c r="C117">
        <v>5433.38</v>
      </c>
      <c r="D117">
        <v>7.6</v>
      </c>
      <c r="E117" t="s">
        <v>1274</v>
      </c>
      <c r="F117" t="s">
        <v>1522</v>
      </c>
      <c r="G117" t="s">
        <v>1722</v>
      </c>
      <c r="H117" t="s">
        <v>1880</v>
      </c>
      <c r="I117">
        <v>0</v>
      </c>
      <c r="J117">
        <v>677.04</v>
      </c>
      <c r="K117">
        <f t="shared" si="4"/>
        <v>52.33</v>
      </c>
      <c r="L117">
        <f t="shared" si="5"/>
        <v>57.91</v>
      </c>
      <c r="M117">
        <f t="shared" si="6"/>
        <v>-5.5799999999999983</v>
      </c>
      <c r="N117">
        <v>7.29</v>
      </c>
      <c r="O117">
        <v>89.06</v>
      </c>
      <c r="P117">
        <v>81</v>
      </c>
      <c r="Q117">
        <v>12.9</v>
      </c>
      <c r="R117">
        <v>9.15</v>
      </c>
      <c r="S117">
        <v>10.82</v>
      </c>
      <c r="T117">
        <v>6.94</v>
      </c>
      <c r="U117">
        <v>8.0299999999999994</v>
      </c>
      <c r="V117">
        <v>3477.37</v>
      </c>
      <c r="W117">
        <v>1049.29</v>
      </c>
      <c r="X117">
        <v>1355.08</v>
      </c>
      <c r="Y117">
        <v>775.58</v>
      </c>
      <c r="Z117">
        <v>5.87</v>
      </c>
      <c r="AA117">
        <v>1.57</v>
      </c>
      <c r="AB117">
        <v>4.46</v>
      </c>
      <c r="AC117">
        <v>56.88</v>
      </c>
      <c r="AD117">
        <v>680</v>
      </c>
      <c r="AE117">
        <v>5900</v>
      </c>
      <c r="AF117">
        <v>82.61</v>
      </c>
      <c r="AG117">
        <v>0.59</v>
      </c>
      <c r="AH117">
        <v>11.76</v>
      </c>
      <c r="AI117">
        <v>52.9</v>
      </c>
      <c r="AJ117">
        <v>60</v>
      </c>
      <c r="AK117">
        <v>9</v>
      </c>
      <c r="AL117">
        <v>9</v>
      </c>
      <c r="AM117">
        <v>0.59</v>
      </c>
      <c r="AN117">
        <v>408</v>
      </c>
      <c r="AO117">
        <v>413.35</v>
      </c>
      <c r="AP117">
        <v>303023.99</v>
      </c>
      <c r="AQ117">
        <v>144628.59</v>
      </c>
      <c r="AR117" t="s">
        <v>1027</v>
      </c>
      <c r="AT117" s="6">
        <f t="shared" si="7"/>
        <v>9.0408333333333335</v>
      </c>
    </row>
    <row r="118" spans="1:46" x14ac:dyDescent="0.55000000000000004">
      <c r="A118">
        <v>17.75</v>
      </c>
      <c r="B118">
        <v>26.86</v>
      </c>
      <c r="C118">
        <v>5440.72</v>
      </c>
      <c r="D118">
        <v>7.6</v>
      </c>
      <c r="E118" t="s">
        <v>1275</v>
      </c>
      <c r="F118" t="s">
        <v>1523</v>
      </c>
      <c r="G118" t="s">
        <v>1723</v>
      </c>
      <c r="H118" t="s">
        <v>1881</v>
      </c>
      <c r="I118">
        <v>0</v>
      </c>
      <c r="J118">
        <v>658.39</v>
      </c>
      <c r="K118">
        <f t="shared" si="4"/>
        <v>52.839999999999996</v>
      </c>
      <c r="L118">
        <f t="shared" si="5"/>
        <v>59.64</v>
      </c>
      <c r="M118">
        <f t="shared" si="6"/>
        <v>-6.8000000000000043</v>
      </c>
      <c r="N118">
        <v>7.27</v>
      </c>
      <c r="O118">
        <v>89</v>
      </c>
      <c r="P118">
        <v>79</v>
      </c>
      <c r="Q118">
        <v>13.2</v>
      </c>
      <c r="R118">
        <v>9.11</v>
      </c>
      <c r="S118">
        <v>10.89</v>
      </c>
      <c r="T118">
        <v>6.86</v>
      </c>
      <c r="U118">
        <v>8.26</v>
      </c>
      <c r="V118">
        <v>3482.06</v>
      </c>
      <c r="W118">
        <v>1051.95</v>
      </c>
      <c r="X118">
        <v>1369.69</v>
      </c>
      <c r="Y118">
        <v>779.93</v>
      </c>
      <c r="Z118">
        <v>5.76</v>
      </c>
      <c r="AA118">
        <v>1.58</v>
      </c>
      <c r="AB118">
        <v>4.45</v>
      </c>
      <c r="AC118">
        <v>57.04</v>
      </c>
      <c r="AD118">
        <v>680</v>
      </c>
      <c r="AE118">
        <v>5900</v>
      </c>
      <c r="AF118">
        <v>82.2</v>
      </c>
      <c r="AG118">
        <v>0.59</v>
      </c>
      <c r="AH118">
        <v>11.32</v>
      </c>
      <c r="AI118">
        <v>51.35</v>
      </c>
      <c r="AJ118">
        <v>60</v>
      </c>
      <c r="AK118">
        <v>9</v>
      </c>
      <c r="AL118">
        <v>9</v>
      </c>
      <c r="AM118">
        <v>0.61</v>
      </c>
      <c r="AN118">
        <v>408</v>
      </c>
      <c r="AO118">
        <v>413.51</v>
      </c>
      <c r="AP118">
        <v>301736.63</v>
      </c>
      <c r="AQ118">
        <v>149721.51</v>
      </c>
      <c r="AR118" t="s">
        <v>1028</v>
      </c>
      <c r="AT118" s="6">
        <f t="shared" si="7"/>
        <v>8.6766621004566211</v>
      </c>
    </row>
    <row r="119" spans="1:46" x14ac:dyDescent="0.55000000000000004">
      <c r="A119">
        <v>18.02</v>
      </c>
      <c r="B119">
        <v>27.1</v>
      </c>
      <c r="C119">
        <v>5491.45</v>
      </c>
      <c r="D119">
        <v>7.6</v>
      </c>
      <c r="E119" t="s">
        <v>1276</v>
      </c>
      <c r="F119" t="s">
        <v>1524</v>
      </c>
      <c r="G119" t="s">
        <v>1705</v>
      </c>
      <c r="H119" t="s">
        <v>1882</v>
      </c>
      <c r="I119">
        <v>0</v>
      </c>
      <c r="J119">
        <v>779.5</v>
      </c>
      <c r="K119">
        <f t="shared" si="4"/>
        <v>60.430000000000007</v>
      </c>
      <c r="L119">
        <f t="shared" si="5"/>
        <v>59.660000000000004</v>
      </c>
      <c r="M119">
        <f t="shared" si="6"/>
        <v>0.77000000000000313</v>
      </c>
      <c r="N119">
        <v>7.35</v>
      </c>
      <c r="O119">
        <v>89.02</v>
      </c>
      <c r="P119">
        <v>79</v>
      </c>
      <c r="Q119">
        <v>13.6</v>
      </c>
      <c r="R119">
        <v>9.08</v>
      </c>
      <c r="S119">
        <v>11.28</v>
      </c>
      <c r="T119">
        <v>6.75</v>
      </c>
      <c r="U119">
        <v>7.04</v>
      </c>
      <c r="V119">
        <v>3514.53</v>
      </c>
      <c r="W119">
        <v>1053.3399999999999</v>
      </c>
      <c r="X119">
        <v>1299.99</v>
      </c>
      <c r="Y119">
        <v>765.29</v>
      </c>
      <c r="Z119">
        <v>6.58</v>
      </c>
      <c r="AA119">
        <v>1.56</v>
      </c>
      <c r="AB119">
        <v>4.4800000000000004</v>
      </c>
      <c r="AC119">
        <v>57.38</v>
      </c>
      <c r="AD119">
        <v>680</v>
      </c>
      <c r="AE119">
        <v>5900</v>
      </c>
      <c r="AF119">
        <v>81.97</v>
      </c>
      <c r="AG119">
        <v>0.59</v>
      </c>
      <c r="AH119">
        <v>13.56</v>
      </c>
      <c r="AI119">
        <v>51.35</v>
      </c>
      <c r="AJ119">
        <v>60</v>
      </c>
      <c r="AK119">
        <v>9</v>
      </c>
      <c r="AL119">
        <v>9</v>
      </c>
      <c r="AM119">
        <v>0.61</v>
      </c>
      <c r="AN119">
        <v>408</v>
      </c>
      <c r="AO119">
        <v>413.51</v>
      </c>
      <c r="AP119">
        <v>381889.8</v>
      </c>
      <c r="AQ119">
        <v>151560.35</v>
      </c>
      <c r="AR119" t="s">
        <v>1029</v>
      </c>
      <c r="AT119" s="6">
        <f t="shared" si="7"/>
        <v>13.14665810502283</v>
      </c>
    </row>
    <row r="120" spans="1:46" x14ac:dyDescent="0.55000000000000004">
      <c r="A120">
        <v>17.8</v>
      </c>
      <c r="B120">
        <v>26.88</v>
      </c>
      <c r="C120">
        <v>5457.63</v>
      </c>
      <c r="D120">
        <v>7.6</v>
      </c>
      <c r="E120" t="s">
        <v>1277</v>
      </c>
      <c r="F120" t="s">
        <v>1525</v>
      </c>
      <c r="G120" t="s">
        <v>1690</v>
      </c>
      <c r="H120" t="s">
        <v>1883</v>
      </c>
      <c r="I120">
        <v>0</v>
      </c>
      <c r="J120">
        <v>750.61</v>
      </c>
      <c r="K120">
        <f t="shared" si="4"/>
        <v>58.260000000000005</v>
      </c>
      <c r="L120">
        <f t="shared" si="5"/>
        <v>58.550000000000004</v>
      </c>
      <c r="M120">
        <f t="shared" si="6"/>
        <v>-0.28999999999999915</v>
      </c>
      <c r="N120">
        <v>7.33</v>
      </c>
      <c r="O120">
        <v>89.04</v>
      </c>
      <c r="P120">
        <v>85</v>
      </c>
      <c r="Q120">
        <v>12.5</v>
      </c>
      <c r="R120">
        <v>9.08</v>
      </c>
      <c r="S120">
        <v>10.85</v>
      </c>
      <c r="T120">
        <v>6.95</v>
      </c>
      <c r="U120">
        <v>7.27</v>
      </c>
      <c r="V120">
        <v>3492.88</v>
      </c>
      <c r="W120">
        <v>1048.67</v>
      </c>
      <c r="X120">
        <v>1309.6199999999999</v>
      </c>
      <c r="Y120">
        <v>765.29</v>
      </c>
      <c r="Z120">
        <v>6.47</v>
      </c>
      <c r="AA120">
        <v>1.55</v>
      </c>
      <c r="AB120">
        <v>4.49</v>
      </c>
      <c r="AC120">
        <v>56.64</v>
      </c>
      <c r="AD120">
        <v>680</v>
      </c>
      <c r="AE120">
        <v>5900</v>
      </c>
      <c r="AF120">
        <v>81.93</v>
      </c>
      <c r="AG120">
        <v>0.59</v>
      </c>
      <c r="AH120">
        <v>13.07</v>
      </c>
      <c r="AI120">
        <v>52.31</v>
      </c>
      <c r="AJ120">
        <v>60</v>
      </c>
      <c r="AK120">
        <v>9</v>
      </c>
      <c r="AL120">
        <v>9</v>
      </c>
      <c r="AM120">
        <v>0.6</v>
      </c>
      <c r="AN120">
        <v>408</v>
      </c>
      <c r="AO120">
        <v>413.41</v>
      </c>
      <c r="AP120">
        <v>367456.34</v>
      </c>
      <c r="AQ120">
        <v>145661.82</v>
      </c>
      <c r="AR120" t="s">
        <v>1030</v>
      </c>
      <c r="AT120" s="6">
        <f t="shared" si="7"/>
        <v>12.659504566210046</v>
      </c>
    </row>
    <row r="121" spans="1:46" x14ac:dyDescent="0.55000000000000004">
      <c r="A121">
        <v>18.239999999999998</v>
      </c>
      <c r="B121">
        <v>27.33</v>
      </c>
      <c r="C121">
        <v>5520.24</v>
      </c>
      <c r="D121">
        <v>7.6</v>
      </c>
      <c r="E121" t="s">
        <v>1278</v>
      </c>
      <c r="F121" t="s">
        <v>1526</v>
      </c>
      <c r="G121" t="s">
        <v>1724</v>
      </c>
      <c r="H121" t="s">
        <v>1884</v>
      </c>
      <c r="I121">
        <v>0</v>
      </c>
      <c r="J121">
        <v>765.7</v>
      </c>
      <c r="K121">
        <f t="shared" si="4"/>
        <v>59.55</v>
      </c>
      <c r="L121">
        <f t="shared" si="5"/>
        <v>58.55</v>
      </c>
      <c r="M121">
        <f t="shared" si="6"/>
        <v>1</v>
      </c>
      <c r="N121">
        <v>7.34</v>
      </c>
      <c r="O121">
        <v>89</v>
      </c>
      <c r="P121">
        <v>80</v>
      </c>
      <c r="Q121">
        <v>13.8</v>
      </c>
      <c r="R121">
        <v>9.09</v>
      </c>
      <c r="S121">
        <v>11.58</v>
      </c>
      <c r="T121">
        <v>6.67</v>
      </c>
      <c r="U121">
        <v>7.21</v>
      </c>
      <c r="V121">
        <v>3532.95</v>
      </c>
      <c r="W121">
        <v>1059.8</v>
      </c>
      <c r="X121">
        <v>1315.73</v>
      </c>
      <c r="Y121">
        <v>771.72</v>
      </c>
      <c r="Z121">
        <v>6.61</v>
      </c>
      <c r="AA121">
        <v>1.57</v>
      </c>
      <c r="AB121">
        <v>4.46</v>
      </c>
      <c r="AC121">
        <v>57.68</v>
      </c>
      <c r="AD121">
        <v>680</v>
      </c>
      <c r="AE121">
        <v>5900</v>
      </c>
      <c r="AF121">
        <v>82.03</v>
      </c>
      <c r="AG121">
        <v>0.59</v>
      </c>
      <c r="AH121">
        <v>13.21</v>
      </c>
      <c r="AI121">
        <v>52.31</v>
      </c>
      <c r="AJ121">
        <v>60</v>
      </c>
      <c r="AK121">
        <v>9</v>
      </c>
      <c r="AL121">
        <v>9</v>
      </c>
      <c r="AM121">
        <v>0.6</v>
      </c>
      <c r="AN121">
        <v>408</v>
      </c>
      <c r="AO121">
        <v>413.4</v>
      </c>
      <c r="AP121">
        <v>381941.69</v>
      </c>
      <c r="AQ121">
        <v>145023.06</v>
      </c>
      <c r="AR121" t="s">
        <v>1031</v>
      </c>
      <c r="AT121" s="6">
        <f t="shared" si="7"/>
        <v>13.522752853881279</v>
      </c>
    </row>
    <row r="122" spans="1:46" x14ac:dyDescent="0.55000000000000004">
      <c r="A122">
        <v>17.39</v>
      </c>
      <c r="B122">
        <v>26.52</v>
      </c>
      <c r="C122">
        <v>5459.09</v>
      </c>
      <c r="D122">
        <v>7.6</v>
      </c>
      <c r="E122" t="s">
        <v>1279</v>
      </c>
      <c r="F122" t="s">
        <v>1527</v>
      </c>
      <c r="G122" t="s">
        <v>1696</v>
      </c>
      <c r="H122" t="s">
        <v>1848</v>
      </c>
      <c r="I122">
        <v>0</v>
      </c>
      <c r="J122">
        <v>671.81</v>
      </c>
      <c r="K122">
        <f t="shared" si="4"/>
        <v>53.1</v>
      </c>
      <c r="L122">
        <f t="shared" si="5"/>
        <v>60.39</v>
      </c>
      <c r="M122">
        <f t="shared" si="6"/>
        <v>-7.2899999999999991</v>
      </c>
      <c r="N122">
        <v>7.29</v>
      </c>
      <c r="O122">
        <v>88.99</v>
      </c>
      <c r="P122">
        <v>84</v>
      </c>
      <c r="Q122">
        <v>11.2</v>
      </c>
      <c r="R122">
        <v>9.1300000000000008</v>
      </c>
      <c r="S122">
        <v>9.49</v>
      </c>
      <c r="T122">
        <v>7.9</v>
      </c>
      <c r="U122">
        <v>8.1300000000000008</v>
      </c>
      <c r="V122">
        <v>3493.82</v>
      </c>
      <c r="W122">
        <v>1054.98</v>
      </c>
      <c r="X122">
        <v>1367.77</v>
      </c>
      <c r="Y122">
        <v>781.04</v>
      </c>
      <c r="Z122">
        <v>5.72</v>
      </c>
      <c r="AA122">
        <v>1.56</v>
      </c>
      <c r="AB122">
        <v>4.47</v>
      </c>
      <c r="AC122">
        <v>53.59</v>
      </c>
      <c r="AD122">
        <v>680</v>
      </c>
      <c r="AE122">
        <v>5900</v>
      </c>
      <c r="AF122">
        <v>82.4</v>
      </c>
      <c r="AG122">
        <v>0.59</v>
      </c>
      <c r="AH122">
        <v>11.56</v>
      </c>
      <c r="AI122">
        <v>50.71</v>
      </c>
      <c r="AJ122">
        <v>60</v>
      </c>
      <c r="AK122">
        <v>9</v>
      </c>
      <c r="AL122">
        <v>9</v>
      </c>
      <c r="AM122">
        <v>0.62</v>
      </c>
      <c r="AN122">
        <v>408</v>
      </c>
      <c r="AO122">
        <v>413.58</v>
      </c>
      <c r="AP122">
        <v>293814.42</v>
      </c>
      <c r="AQ122">
        <v>152836.13</v>
      </c>
      <c r="AR122" t="s">
        <v>2010</v>
      </c>
      <c r="AT122" s="6">
        <f t="shared" si="7"/>
        <v>8.046706050228309</v>
      </c>
    </row>
    <row r="123" spans="1:46" x14ac:dyDescent="0.55000000000000004">
      <c r="A123">
        <v>19.329999999999998</v>
      </c>
      <c r="B123">
        <v>28.4</v>
      </c>
      <c r="C123">
        <v>5521.66</v>
      </c>
      <c r="D123">
        <v>7.6</v>
      </c>
      <c r="E123" t="s">
        <v>1280</v>
      </c>
      <c r="F123" t="s">
        <v>1528</v>
      </c>
      <c r="G123" t="s">
        <v>1725</v>
      </c>
      <c r="H123" t="s">
        <v>1885</v>
      </c>
      <c r="I123">
        <v>0</v>
      </c>
      <c r="J123">
        <v>699.23</v>
      </c>
      <c r="K123">
        <f t="shared" si="4"/>
        <v>55.199999999999996</v>
      </c>
      <c r="L123">
        <f t="shared" si="5"/>
        <v>62.19</v>
      </c>
      <c r="M123">
        <f t="shared" si="6"/>
        <v>-6.990000000000002</v>
      </c>
      <c r="N123">
        <v>7.3</v>
      </c>
      <c r="O123">
        <v>88.95</v>
      </c>
      <c r="P123">
        <v>59</v>
      </c>
      <c r="Q123">
        <v>18.7</v>
      </c>
      <c r="R123">
        <v>9.08</v>
      </c>
      <c r="S123">
        <v>13.72</v>
      </c>
      <c r="T123">
        <v>5.61</v>
      </c>
      <c r="U123">
        <v>7.9</v>
      </c>
      <c r="V123">
        <v>3533.86</v>
      </c>
      <c r="W123">
        <v>1064.55</v>
      </c>
      <c r="X123">
        <v>1359.87</v>
      </c>
      <c r="Y123">
        <v>783.57</v>
      </c>
      <c r="Z123">
        <v>5.77</v>
      </c>
      <c r="AA123">
        <v>1.61</v>
      </c>
      <c r="AB123">
        <v>4.38</v>
      </c>
      <c r="AC123">
        <v>61.8</v>
      </c>
      <c r="AD123">
        <v>680</v>
      </c>
      <c r="AE123">
        <v>5900</v>
      </c>
      <c r="AF123">
        <v>81.93</v>
      </c>
      <c r="AG123">
        <v>0.59</v>
      </c>
      <c r="AH123">
        <v>11.88</v>
      </c>
      <c r="AI123">
        <v>49.25</v>
      </c>
      <c r="AJ123">
        <v>60</v>
      </c>
      <c r="AK123">
        <v>9</v>
      </c>
      <c r="AL123">
        <v>9</v>
      </c>
      <c r="AM123">
        <v>0.64</v>
      </c>
      <c r="AN123">
        <v>408</v>
      </c>
      <c r="AO123">
        <v>413.74</v>
      </c>
      <c r="AP123">
        <v>304266.90000000002</v>
      </c>
      <c r="AQ123">
        <v>162437.51</v>
      </c>
      <c r="AR123" t="s">
        <v>1032</v>
      </c>
      <c r="AT123" s="6">
        <f t="shared" si="7"/>
        <v>8.0952848173515992</v>
      </c>
    </row>
    <row r="124" spans="1:46" x14ac:dyDescent="0.55000000000000004">
      <c r="A124">
        <v>18.95</v>
      </c>
      <c r="B124">
        <v>27.98</v>
      </c>
      <c r="C124">
        <v>5518.17</v>
      </c>
      <c r="D124">
        <v>7.6</v>
      </c>
      <c r="E124" t="s">
        <v>1281</v>
      </c>
      <c r="F124" t="s">
        <v>1529</v>
      </c>
      <c r="G124" t="s">
        <v>1726</v>
      </c>
      <c r="H124" t="s">
        <v>1886</v>
      </c>
      <c r="I124">
        <v>0</v>
      </c>
      <c r="J124">
        <v>666.24</v>
      </c>
      <c r="K124">
        <f t="shared" si="4"/>
        <v>52.39</v>
      </c>
      <c r="L124">
        <f t="shared" si="5"/>
        <v>59.22</v>
      </c>
      <c r="M124">
        <f t="shared" si="6"/>
        <v>-6.8299999999999983</v>
      </c>
      <c r="N124">
        <v>7.28</v>
      </c>
      <c r="O124">
        <v>89.07</v>
      </c>
      <c r="P124">
        <v>61</v>
      </c>
      <c r="Q124">
        <v>18.2</v>
      </c>
      <c r="R124">
        <v>9.0299999999999994</v>
      </c>
      <c r="S124">
        <v>13.51</v>
      </c>
      <c r="T124">
        <v>5.44</v>
      </c>
      <c r="U124">
        <v>8.2799999999999994</v>
      </c>
      <c r="V124">
        <v>3531.63</v>
      </c>
      <c r="W124">
        <v>1066.71</v>
      </c>
      <c r="X124">
        <v>1385.99</v>
      </c>
      <c r="Y124">
        <v>790.35</v>
      </c>
      <c r="Z124">
        <v>5.75</v>
      </c>
      <c r="AA124">
        <v>1.61</v>
      </c>
      <c r="AB124">
        <v>4.38</v>
      </c>
      <c r="AC124">
        <v>62.43</v>
      </c>
      <c r="AD124">
        <v>680</v>
      </c>
      <c r="AE124">
        <v>5900</v>
      </c>
      <c r="AF124">
        <v>81.510000000000005</v>
      </c>
      <c r="AG124">
        <v>0.59</v>
      </c>
      <c r="AH124">
        <v>11.19</v>
      </c>
      <c r="AI124">
        <v>51.72</v>
      </c>
      <c r="AJ124">
        <v>60</v>
      </c>
      <c r="AK124">
        <v>9</v>
      </c>
      <c r="AL124">
        <v>9</v>
      </c>
      <c r="AM124">
        <v>0.61</v>
      </c>
      <c r="AN124">
        <v>408</v>
      </c>
      <c r="AO124">
        <v>413.47</v>
      </c>
      <c r="AP124">
        <v>294822.68</v>
      </c>
      <c r="AQ124">
        <v>148579.57999999999</v>
      </c>
      <c r="AR124" t="s">
        <v>1033</v>
      </c>
      <c r="AT124" s="6">
        <f t="shared" si="7"/>
        <v>8.3472089041095892</v>
      </c>
    </row>
    <row r="125" spans="1:46" x14ac:dyDescent="0.55000000000000004">
      <c r="A125">
        <v>18.43</v>
      </c>
      <c r="B125">
        <v>27.48</v>
      </c>
      <c r="C125">
        <v>5508.55</v>
      </c>
      <c r="D125">
        <v>7.6</v>
      </c>
      <c r="E125" t="s">
        <v>1282</v>
      </c>
      <c r="F125" t="s">
        <v>1530</v>
      </c>
      <c r="G125" t="s">
        <v>1687</v>
      </c>
      <c r="H125" t="s">
        <v>1887</v>
      </c>
      <c r="I125">
        <v>0</v>
      </c>
      <c r="J125">
        <v>719.87</v>
      </c>
      <c r="K125">
        <f t="shared" si="4"/>
        <v>56.39</v>
      </c>
      <c r="L125">
        <f t="shared" si="5"/>
        <v>64.22</v>
      </c>
      <c r="M125">
        <f t="shared" si="6"/>
        <v>-7.8299999999999983</v>
      </c>
      <c r="N125">
        <v>7.31</v>
      </c>
      <c r="O125">
        <v>88.93</v>
      </c>
      <c r="P125">
        <v>65</v>
      </c>
      <c r="Q125">
        <v>17.100000000000001</v>
      </c>
      <c r="R125">
        <v>9.0500000000000007</v>
      </c>
      <c r="S125">
        <v>12.99</v>
      </c>
      <c r="T125">
        <v>5.44</v>
      </c>
      <c r="U125">
        <v>7.65</v>
      </c>
      <c r="V125">
        <v>3525.47</v>
      </c>
      <c r="W125">
        <v>1060.71</v>
      </c>
      <c r="X125">
        <v>1343.39</v>
      </c>
      <c r="Y125">
        <v>778.25</v>
      </c>
      <c r="Z125">
        <v>5.71</v>
      </c>
      <c r="AA125">
        <v>1.59</v>
      </c>
      <c r="AB125">
        <v>4.43</v>
      </c>
      <c r="AC125">
        <v>62.47</v>
      </c>
      <c r="AD125">
        <v>680</v>
      </c>
      <c r="AE125">
        <v>5900</v>
      </c>
      <c r="AF125">
        <v>81.7</v>
      </c>
      <c r="AG125">
        <v>0.59</v>
      </c>
      <c r="AH125">
        <v>12.28</v>
      </c>
      <c r="AI125">
        <v>47.7</v>
      </c>
      <c r="AJ125">
        <v>60</v>
      </c>
      <c r="AK125">
        <v>9</v>
      </c>
      <c r="AL125">
        <v>9</v>
      </c>
      <c r="AM125">
        <v>0.66</v>
      </c>
      <c r="AN125">
        <v>408</v>
      </c>
      <c r="AO125">
        <v>413.93</v>
      </c>
      <c r="AP125">
        <v>298534.34999999998</v>
      </c>
      <c r="AQ125">
        <v>172337.87</v>
      </c>
      <c r="AR125" t="s">
        <v>1034</v>
      </c>
      <c r="AT125" s="6">
        <f t="shared" si="7"/>
        <v>7.2029954337899529</v>
      </c>
    </row>
    <row r="126" spans="1:46" x14ac:dyDescent="0.55000000000000004">
      <c r="A126">
        <v>17.84</v>
      </c>
      <c r="B126">
        <v>26.89</v>
      </c>
      <c r="C126">
        <v>5494.65</v>
      </c>
      <c r="D126">
        <v>7.6</v>
      </c>
      <c r="E126" t="s">
        <v>1283</v>
      </c>
      <c r="F126" t="s">
        <v>1531</v>
      </c>
      <c r="G126" t="s">
        <v>1727</v>
      </c>
      <c r="H126" t="s">
        <v>1888</v>
      </c>
      <c r="I126">
        <v>0</v>
      </c>
      <c r="J126">
        <v>670.89</v>
      </c>
      <c r="K126">
        <f t="shared" si="4"/>
        <v>52.56</v>
      </c>
      <c r="L126">
        <f t="shared" si="5"/>
        <v>59.75</v>
      </c>
      <c r="M126">
        <f t="shared" si="6"/>
        <v>-7.1899999999999977</v>
      </c>
      <c r="N126">
        <v>7.28</v>
      </c>
      <c r="O126">
        <v>88.96</v>
      </c>
      <c r="P126">
        <v>71</v>
      </c>
      <c r="Q126">
        <v>15.1</v>
      </c>
      <c r="R126">
        <v>9.0500000000000007</v>
      </c>
      <c r="S126">
        <v>11.83</v>
      </c>
      <c r="T126">
        <v>6.01</v>
      </c>
      <c r="U126">
        <v>8.19</v>
      </c>
      <c r="V126">
        <v>3516.57</v>
      </c>
      <c r="W126">
        <v>1061.8</v>
      </c>
      <c r="X126">
        <v>1376.53</v>
      </c>
      <c r="Y126">
        <v>786.05</v>
      </c>
      <c r="Z126">
        <v>5.72</v>
      </c>
      <c r="AA126">
        <v>1.59</v>
      </c>
      <c r="AB126">
        <v>4.43</v>
      </c>
      <c r="AC126">
        <v>60.07</v>
      </c>
      <c r="AD126">
        <v>680</v>
      </c>
      <c r="AE126">
        <v>5900</v>
      </c>
      <c r="AF126">
        <v>81.66</v>
      </c>
      <c r="AG126">
        <v>0.59</v>
      </c>
      <c r="AH126">
        <v>11.36</v>
      </c>
      <c r="AI126">
        <v>51.27</v>
      </c>
      <c r="AJ126">
        <v>60</v>
      </c>
      <c r="AK126">
        <v>9</v>
      </c>
      <c r="AL126">
        <v>9</v>
      </c>
      <c r="AM126">
        <v>0.61</v>
      </c>
      <c r="AN126">
        <v>408</v>
      </c>
      <c r="AO126">
        <v>413.52</v>
      </c>
      <c r="AP126">
        <v>291641.51</v>
      </c>
      <c r="AQ126">
        <v>151442.65</v>
      </c>
      <c r="AR126" t="s">
        <v>2011</v>
      </c>
      <c r="AT126" s="6">
        <f t="shared" si="7"/>
        <v>8.0022180365296816</v>
      </c>
    </row>
    <row r="127" spans="1:46" x14ac:dyDescent="0.55000000000000004">
      <c r="A127">
        <v>17.510000000000002</v>
      </c>
      <c r="B127">
        <v>26.53</v>
      </c>
      <c r="C127">
        <v>5490.93</v>
      </c>
      <c r="D127">
        <v>7.59</v>
      </c>
      <c r="E127" t="s">
        <v>1284</v>
      </c>
      <c r="F127" t="s">
        <v>1532</v>
      </c>
      <c r="G127" t="s">
        <v>1714</v>
      </c>
      <c r="H127" t="s">
        <v>1889</v>
      </c>
      <c r="I127">
        <v>0</v>
      </c>
      <c r="J127">
        <v>625.86</v>
      </c>
      <c r="K127">
        <f t="shared" si="4"/>
        <v>50.36</v>
      </c>
      <c r="L127">
        <f t="shared" si="5"/>
        <v>57.150000000000006</v>
      </c>
      <c r="M127">
        <f t="shared" si="6"/>
        <v>-6.7900000000000063</v>
      </c>
      <c r="N127">
        <v>7.25</v>
      </c>
      <c r="O127">
        <v>89.02</v>
      </c>
      <c r="P127">
        <v>72</v>
      </c>
      <c r="Q127">
        <v>14.3</v>
      </c>
      <c r="R127">
        <v>9.0299999999999994</v>
      </c>
      <c r="S127">
        <v>11.19</v>
      </c>
      <c r="T127">
        <v>6.32</v>
      </c>
      <c r="U127">
        <v>8.77</v>
      </c>
      <c r="V127">
        <v>3514.2</v>
      </c>
      <c r="W127">
        <v>1064.33</v>
      </c>
      <c r="X127">
        <v>1408.82</v>
      </c>
      <c r="Y127">
        <v>794.11</v>
      </c>
      <c r="Z127">
        <v>5.73</v>
      </c>
      <c r="AA127">
        <v>1.58</v>
      </c>
      <c r="AB127">
        <v>4.43</v>
      </c>
      <c r="AC127">
        <v>58.82</v>
      </c>
      <c r="AD127">
        <v>680</v>
      </c>
      <c r="AE127">
        <v>5900</v>
      </c>
      <c r="AF127">
        <v>81.489999999999995</v>
      </c>
      <c r="AG127">
        <v>0.59</v>
      </c>
      <c r="AH127">
        <v>10.48</v>
      </c>
      <c r="AI127">
        <v>53.61</v>
      </c>
      <c r="AJ127">
        <v>60</v>
      </c>
      <c r="AK127">
        <v>9</v>
      </c>
      <c r="AL127">
        <v>9</v>
      </c>
      <c r="AM127">
        <v>0.59</v>
      </c>
      <c r="AN127">
        <v>408</v>
      </c>
      <c r="AO127">
        <v>413.27</v>
      </c>
      <c r="AP127">
        <v>293280.05</v>
      </c>
      <c r="AQ127">
        <v>139572.24</v>
      </c>
      <c r="AR127" t="s">
        <v>2012</v>
      </c>
      <c r="AT127" s="6">
        <f t="shared" si="7"/>
        <v>8.7732768264840182</v>
      </c>
    </row>
    <row r="128" spans="1:46" x14ac:dyDescent="0.55000000000000004">
      <c r="A128">
        <v>19.84</v>
      </c>
      <c r="B128">
        <v>28.93</v>
      </c>
      <c r="C128">
        <v>5519.37</v>
      </c>
      <c r="D128">
        <v>7.6</v>
      </c>
      <c r="E128" t="s">
        <v>1285</v>
      </c>
      <c r="F128" t="s">
        <v>1533</v>
      </c>
      <c r="G128" t="s">
        <v>1717</v>
      </c>
      <c r="H128" t="s">
        <v>1890</v>
      </c>
      <c r="I128">
        <v>0</v>
      </c>
      <c r="J128">
        <v>782.27</v>
      </c>
      <c r="K128">
        <f t="shared" si="4"/>
        <v>60.73</v>
      </c>
      <c r="L128">
        <f t="shared" si="5"/>
        <v>67.56</v>
      </c>
      <c r="M128">
        <f t="shared" si="6"/>
        <v>-6.8300000000000054</v>
      </c>
      <c r="N128">
        <v>7.34</v>
      </c>
      <c r="O128">
        <v>88.93</v>
      </c>
      <c r="P128">
        <v>51</v>
      </c>
      <c r="Q128">
        <v>20.399999999999999</v>
      </c>
      <c r="R128">
        <v>9.09</v>
      </c>
      <c r="S128">
        <v>14.18</v>
      </c>
      <c r="T128">
        <v>5.66</v>
      </c>
      <c r="U128">
        <v>7.06</v>
      </c>
      <c r="V128">
        <v>3532.39</v>
      </c>
      <c r="W128">
        <v>1058.27</v>
      </c>
      <c r="X128">
        <v>1303.1400000000001</v>
      </c>
      <c r="Y128">
        <v>768.16</v>
      </c>
      <c r="Z128">
        <v>5.84</v>
      </c>
      <c r="AA128">
        <v>1.6</v>
      </c>
      <c r="AB128">
        <v>4.41</v>
      </c>
      <c r="AC128">
        <v>61.6</v>
      </c>
      <c r="AD128">
        <v>680</v>
      </c>
      <c r="AE128">
        <v>5900</v>
      </c>
      <c r="AF128">
        <v>82.04</v>
      </c>
      <c r="AG128">
        <v>0.59</v>
      </c>
      <c r="AH128">
        <v>13.55</v>
      </c>
      <c r="AI128">
        <v>45.34</v>
      </c>
      <c r="AJ128">
        <v>60</v>
      </c>
      <c r="AK128">
        <v>9</v>
      </c>
      <c r="AL128">
        <v>9</v>
      </c>
      <c r="AM128">
        <v>0.69</v>
      </c>
      <c r="AN128">
        <v>408</v>
      </c>
      <c r="AO128">
        <v>414.24</v>
      </c>
      <c r="AP128">
        <v>318666.86</v>
      </c>
      <c r="AQ128">
        <v>192333.3</v>
      </c>
      <c r="AR128" t="s">
        <v>1035</v>
      </c>
      <c r="AT128" s="6">
        <f t="shared" si="7"/>
        <v>7.2108196347031965</v>
      </c>
    </row>
    <row r="129" spans="1:46" x14ac:dyDescent="0.55000000000000004">
      <c r="A129">
        <v>19.62</v>
      </c>
      <c r="B129">
        <v>28.66</v>
      </c>
      <c r="C129">
        <v>5521.98</v>
      </c>
      <c r="D129">
        <v>7.6</v>
      </c>
      <c r="E129" t="s">
        <v>1286</v>
      </c>
      <c r="F129" t="s">
        <v>1534</v>
      </c>
      <c r="G129" t="s">
        <v>1706</v>
      </c>
      <c r="H129" t="s">
        <v>1891</v>
      </c>
      <c r="I129">
        <v>0</v>
      </c>
      <c r="J129">
        <v>754.68</v>
      </c>
      <c r="K129">
        <f t="shared" si="4"/>
        <v>58.01</v>
      </c>
      <c r="L129">
        <f t="shared" si="5"/>
        <v>65.14</v>
      </c>
      <c r="M129">
        <f t="shared" si="6"/>
        <v>-7.1300000000000026</v>
      </c>
      <c r="N129">
        <v>7.33</v>
      </c>
      <c r="O129">
        <v>88.94</v>
      </c>
      <c r="P129">
        <v>55</v>
      </c>
      <c r="Q129">
        <v>19.399999999999999</v>
      </c>
      <c r="R129">
        <v>9.0500000000000007</v>
      </c>
      <c r="S129">
        <v>13.83</v>
      </c>
      <c r="T129">
        <v>5.78</v>
      </c>
      <c r="U129">
        <v>7.32</v>
      </c>
      <c r="V129">
        <v>3534.07</v>
      </c>
      <c r="W129">
        <v>1060.56</v>
      </c>
      <c r="X129">
        <v>1320.92</v>
      </c>
      <c r="Y129">
        <v>773.13</v>
      </c>
      <c r="Z129">
        <v>5.79</v>
      </c>
      <c r="AA129">
        <v>1.6</v>
      </c>
      <c r="AB129">
        <v>4.4000000000000004</v>
      </c>
      <c r="AC129">
        <v>61.01</v>
      </c>
      <c r="AD129">
        <v>680</v>
      </c>
      <c r="AE129">
        <v>5900</v>
      </c>
      <c r="AF129">
        <v>81.680000000000007</v>
      </c>
      <c r="AG129">
        <v>0.59</v>
      </c>
      <c r="AH129">
        <v>12.93</v>
      </c>
      <c r="AI129">
        <v>47.02</v>
      </c>
      <c r="AJ129">
        <v>60</v>
      </c>
      <c r="AK129">
        <v>9</v>
      </c>
      <c r="AL129">
        <v>9</v>
      </c>
      <c r="AM129">
        <v>0.67</v>
      </c>
      <c r="AN129">
        <v>408</v>
      </c>
      <c r="AO129">
        <v>414.01</v>
      </c>
      <c r="AP129">
        <v>306778.61</v>
      </c>
      <c r="AQ129">
        <v>181161.85</v>
      </c>
      <c r="AR129" t="s">
        <v>1036</v>
      </c>
      <c r="AT129" s="6">
        <f t="shared" si="7"/>
        <v>7.1699063926940632</v>
      </c>
    </row>
    <row r="130" spans="1:46" x14ac:dyDescent="0.55000000000000004">
      <c r="A130">
        <v>20.170000000000002</v>
      </c>
      <c r="B130">
        <v>29.24</v>
      </c>
      <c r="C130">
        <v>5529.8</v>
      </c>
      <c r="D130">
        <v>7.6</v>
      </c>
      <c r="E130" t="s">
        <v>1287</v>
      </c>
      <c r="F130" t="s">
        <v>1535</v>
      </c>
      <c r="G130" t="s">
        <v>1728</v>
      </c>
      <c r="H130" t="s">
        <v>1892</v>
      </c>
      <c r="I130">
        <v>0</v>
      </c>
      <c r="J130">
        <v>818.07</v>
      </c>
      <c r="K130">
        <f t="shared" si="4"/>
        <v>63.53</v>
      </c>
      <c r="L130">
        <f t="shared" si="5"/>
        <v>70.040000000000006</v>
      </c>
      <c r="M130">
        <f t="shared" si="6"/>
        <v>-6.5100000000000051</v>
      </c>
      <c r="N130">
        <v>7.36</v>
      </c>
      <c r="O130">
        <v>88.85</v>
      </c>
      <c r="P130">
        <v>48</v>
      </c>
      <c r="Q130">
        <v>21.5</v>
      </c>
      <c r="R130">
        <v>9.07</v>
      </c>
      <c r="S130">
        <v>14.71</v>
      </c>
      <c r="T130">
        <v>5.46</v>
      </c>
      <c r="U130">
        <v>6.76</v>
      </c>
      <c r="V130">
        <v>3539.07</v>
      </c>
      <c r="W130">
        <v>1058.0999999999999</v>
      </c>
      <c r="X130">
        <v>1284.74</v>
      </c>
      <c r="Y130">
        <v>764.01</v>
      </c>
      <c r="Z130">
        <v>5.9</v>
      </c>
      <c r="AA130">
        <v>1.6</v>
      </c>
      <c r="AB130">
        <v>4.41</v>
      </c>
      <c r="AC130">
        <v>62.4</v>
      </c>
      <c r="AD130">
        <v>680</v>
      </c>
      <c r="AE130">
        <v>5900</v>
      </c>
      <c r="AF130">
        <v>81.84</v>
      </c>
      <c r="AG130">
        <v>0.59</v>
      </c>
      <c r="AH130">
        <v>14.21</v>
      </c>
      <c r="AI130">
        <v>43.73</v>
      </c>
      <c r="AJ130">
        <v>60</v>
      </c>
      <c r="AK130">
        <v>9</v>
      </c>
      <c r="AL130">
        <v>9</v>
      </c>
      <c r="AM130">
        <v>0.72</v>
      </c>
      <c r="AN130">
        <v>408</v>
      </c>
      <c r="AO130">
        <v>414.47</v>
      </c>
      <c r="AP130">
        <v>328192.7</v>
      </c>
      <c r="AQ130">
        <v>206284.26</v>
      </c>
      <c r="AR130" t="s">
        <v>1037</v>
      </c>
      <c r="AT130" s="6">
        <f t="shared" si="7"/>
        <v>6.9582442922374428</v>
      </c>
    </row>
    <row r="131" spans="1:46" x14ac:dyDescent="0.55000000000000004">
      <c r="A131">
        <v>18.12</v>
      </c>
      <c r="B131">
        <v>27.18</v>
      </c>
      <c r="C131">
        <v>5499.03</v>
      </c>
      <c r="D131">
        <v>7.59</v>
      </c>
      <c r="E131" t="s">
        <v>1288</v>
      </c>
      <c r="F131" t="s">
        <v>1536</v>
      </c>
      <c r="G131" t="s">
        <v>1711</v>
      </c>
      <c r="H131" t="s">
        <v>1893</v>
      </c>
      <c r="I131">
        <v>0</v>
      </c>
      <c r="J131">
        <v>669.98</v>
      </c>
      <c r="K131">
        <f t="shared" ref="K131:K194" si="8">IF(E131=0,0,
VALUE(MID(E131,2,FIND(",",E131)-2))+
VALUE(MID(F131,2,FIND(",",F131)-2))+
VALUE(MID(G131,2,FIND(",",G131)-2))
)</f>
        <v>52.97</v>
      </c>
      <c r="L131">
        <f t="shared" ref="L131:L194" si="9">IF(E131=0,0,
VALUE(MID(E131,FIND(",",E131)+1,FIND("]",E131)-FIND(",",E131)-1))+
VALUE(MID(F131,FIND(",",F131)+1,FIND("]",F131)-FIND(",",F131)-1))+
VALUE(MID(G131,FIND(",",G131)+1,FIND("]",G131)-FIND(",",G131)-1))
)</f>
        <v>60.230000000000004</v>
      </c>
      <c r="M131">
        <f t="shared" ref="M131:M194" si="10">(K131-L131)</f>
        <v>-7.2600000000000051</v>
      </c>
      <c r="N131">
        <v>7.28</v>
      </c>
      <c r="O131">
        <v>88.99</v>
      </c>
      <c r="P131">
        <v>68</v>
      </c>
      <c r="Q131">
        <v>16.2</v>
      </c>
      <c r="R131">
        <v>9.06</v>
      </c>
      <c r="S131">
        <v>12.51</v>
      </c>
      <c r="T131">
        <v>5.61</v>
      </c>
      <c r="U131">
        <v>8.2100000000000009</v>
      </c>
      <c r="V131">
        <v>3519.38</v>
      </c>
      <c r="W131">
        <v>1062.21</v>
      </c>
      <c r="X131">
        <v>1374.59</v>
      </c>
      <c r="Y131">
        <v>785.66</v>
      </c>
      <c r="Z131">
        <v>5.72</v>
      </c>
      <c r="AA131">
        <v>1.58</v>
      </c>
      <c r="AB131">
        <v>4.43</v>
      </c>
      <c r="AC131">
        <v>61.78</v>
      </c>
      <c r="AD131">
        <v>680</v>
      </c>
      <c r="AE131">
        <v>5900</v>
      </c>
      <c r="AF131">
        <v>81.81</v>
      </c>
      <c r="AG131">
        <v>0.59</v>
      </c>
      <c r="AH131">
        <v>11.35</v>
      </c>
      <c r="AI131">
        <v>50.86</v>
      </c>
      <c r="AJ131">
        <v>60</v>
      </c>
      <c r="AK131">
        <v>9</v>
      </c>
      <c r="AL131">
        <v>9</v>
      </c>
      <c r="AM131">
        <v>0.62</v>
      </c>
      <c r="AN131">
        <v>408</v>
      </c>
      <c r="AO131">
        <v>413.56</v>
      </c>
      <c r="AP131">
        <v>295618.37</v>
      </c>
      <c r="AQ131">
        <v>154587.4</v>
      </c>
      <c r="AR131" t="s">
        <v>1038</v>
      </c>
      <c r="AT131" s="6">
        <f t="shared" ref="AT131:AT194" si="11">(AP131-AQ131)/(365*24*2)</f>
        <v>8.0497128995433798</v>
      </c>
    </row>
    <row r="132" spans="1:46" x14ac:dyDescent="0.55000000000000004">
      <c r="A132">
        <v>17.43</v>
      </c>
      <c r="B132">
        <v>26.51</v>
      </c>
      <c r="C132">
        <v>5486.24</v>
      </c>
      <c r="D132">
        <v>7.61</v>
      </c>
      <c r="E132" t="s">
        <v>1289</v>
      </c>
      <c r="F132" t="s">
        <v>1470</v>
      </c>
      <c r="G132" t="s">
        <v>1704</v>
      </c>
      <c r="H132" t="s">
        <v>1894</v>
      </c>
      <c r="I132">
        <v>0</v>
      </c>
      <c r="J132">
        <v>662.21</v>
      </c>
      <c r="K132">
        <f t="shared" si="8"/>
        <v>52.14</v>
      </c>
      <c r="L132">
        <f t="shared" si="9"/>
        <v>59.26</v>
      </c>
      <c r="M132">
        <f t="shared" si="10"/>
        <v>-7.1199999999999974</v>
      </c>
      <c r="N132">
        <v>7.28</v>
      </c>
      <c r="O132">
        <v>88.98</v>
      </c>
      <c r="P132">
        <v>78</v>
      </c>
      <c r="Q132">
        <v>12.7</v>
      </c>
      <c r="R132">
        <v>9.08</v>
      </c>
      <c r="S132">
        <v>10.31</v>
      </c>
      <c r="T132">
        <v>7.12</v>
      </c>
      <c r="U132">
        <v>8.2799999999999994</v>
      </c>
      <c r="V132">
        <v>3511.19</v>
      </c>
      <c r="W132">
        <v>1060.49</v>
      </c>
      <c r="X132">
        <v>1378.45</v>
      </c>
      <c r="Y132">
        <v>785.76</v>
      </c>
      <c r="Z132">
        <v>5.72</v>
      </c>
      <c r="AA132">
        <v>1.58</v>
      </c>
      <c r="AB132">
        <v>4.4400000000000004</v>
      </c>
      <c r="AC132">
        <v>56.06</v>
      </c>
      <c r="AD132">
        <v>680</v>
      </c>
      <c r="AE132">
        <v>5900</v>
      </c>
      <c r="AF132">
        <v>81.96</v>
      </c>
      <c r="AG132">
        <v>0.59</v>
      </c>
      <c r="AH132">
        <v>11.25</v>
      </c>
      <c r="AI132">
        <v>51.69</v>
      </c>
      <c r="AJ132">
        <v>60</v>
      </c>
      <c r="AK132">
        <v>9</v>
      </c>
      <c r="AL132">
        <v>9</v>
      </c>
      <c r="AM132">
        <v>0.61</v>
      </c>
      <c r="AN132">
        <v>408</v>
      </c>
      <c r="AO132">
        <v>413.47</v>
      </c>
      <c r="AP132">
        <v>292937.46999999997</v>
      </c>
      <c r="AQ132">
        <v>150246.32999999999</v>
      </c>
      <c r="AR132" t="s">
        <v>1039</v>
      </c>
      <c r="AT132" s="6">
        <f t="shared" si="11"/>
        <v>8.144471461187214</v>
      </c>
    </row>
    <row r="133" spans="1:46" x14ac:dyDescent="0.55000000000000004">
      <c r="A133">
        <v>20.23</v>
      </c>
      <c r="B133">
        <v>29.31</v>
      </c>
      <c r="C133">
        <v>5529.39</v>
      </c>
      <c r="D133">
        <v>7.6</v>
      </c>
      <c r="E133" t="s">
        <v>1290</v>
      </c>
      <c r="F133" t="s">
        <v>1537</v>
      </c>
      <c r="G133" t="s">
        <v>1724</v>
      </c>
      <c r="H133" t="s">
        <v>1895</v>
      </c>
      <c r="I133">
        <v>0</v>
      </c>
      <c r="J133">
        <v>809.67</v>
      </c>
      <c r="K133">
        <f t="shared" si="8"/>
        <v>62.74</v>
      </c>
      <c r="L133">
        <f t="shared" si="9"/>
        <v>68.58</v>
      </c>
      <c r="M133">
        <f t="shared" si="10"/>
        <v>-5.8399999999999963</v>
      </c>
      <c r="N133">
        <v>7.37</v>
      </c>
      <c r="O133">
        <v>89.06</v>
      </c>
      <c r="P133">
        <v>47</v>
      </c>
      <c r="Q133">
        <v>21.8</v>
      </c>
      <c r="R133">
        <v>9.08</v>
      </c>
      <c r="S133">
        <v>14.82</v>
      </c>
      <c r="T133">
        <v>5.41</v>
      </c>
      <c r="U133">
        <v>6.83</v>
      </c>
      <c r="V133">
        <v>3538.81</v>
      </c>
      <c r="W133">
        <v>1059.1400000000001</v>
      </c>
      <c r="X133">
        <v>1293.95</v>
      </c>
      <c r="Y133">
        <v>766.69</v>
      </c>
      <c r="Z133">
        <v>5.95</v>
      </c>
      <c r="AA133">
        <v>1.6</v>
      </c>
      <c r="AB133">
        <v>4.3899999999999997</v>
      </c>
      <c r="AC133">
        <v>62.67</v>
      </c>
      <c r="AD133">
        <v>680</v>
      </c>
      <c r="AE133">
        <v>5900</v>
      </c>
      <c r="AF133">
        <v>81.98</v>
      </c>
      <c r="AG133">
        <v>0.59</v>
      </c>
      <c r="AH133">
        <v>14.06</v>
      </c>
      <c r="AI133">
        <v>44.66</v>
      </c>
      <c r="AJ133">
        <v>60</v>
      </c>
      <c r="AK133">
        <v>9</v>
      </c>
      <c r="AL133">
        <v>9</v>
      </c>
      <c r="AM133">
        <v>0.7</v>
      </c>
      <c r="AN133">
        <v>408</v>
      </c>
      <c r="AO133">
        <v>414.33</v>
      </c>
      <c r="AP133">
        <v>328900.42</v>
      </c>
      <c r="AQ133">
        <v>195261.99</v>
      </c>
      <c r="AR133" t="s">
        <v>1040</v>
      </c>
      <c r="AT133" s="6">
        <f t="shared" si="11"/>
        <v>7.6277642694063923</v>
      </c>
    </row>
    <row r="134" spans="1:46" x14ac:dyDescent="0.55000000000000004">
      <c r="A134">
        <v>19.79</v>
      </c>
      <c r="B134">
        <v>28.89</v>
      </c>
      <c r="C134">
        <v>5523.22</v>
      </c>
      <c r="D134">
        <v>7.6</v>
      </c>
      <c r="E134" t="s">
        <v>1291</v>
      </c>
      <c r="F134" t="s">
        <v>1538</v>
      </c>
      <c r="G134" t="s">
        <v>1719</v>
      </c>
      <c r="H134" t="s">
        <v>1896</v>
      </c>
      <c r="I134">
        <v>0</v>
      </c>
      <c r="J134">
        <v>758.37</v>
      </c>
      <c r="K134">
        <f t="shared" si="8"/>
        <v>58.640000000000008</v>
      </c>
      <c r="L134">
        <f t="shared" si="9"/>
        <v>65.47</v>
      </c>
      <c r="M134">
        <f t="shared" si="10"/>
        <v>-6.8299999999999912</v>
      </c>
      <c r="N134">
        <v>7.33</v>
      </c>
      <c r="O134">
        <v>88.99</v>
      </c>
      <c r="P134">
        <v>53</v>
      </c>
      <c r="Q134">
        <v>19.899999999999999</v>
      </c>
      <c r="R134">
        <v>9.1</v>
      </c>
      <c r="S134">
        <v>14.01</v>
      </c>
      <c r="T134">
        <v>5.78</v>
      </c>
      <c r="U134">
        <v>7.28</v>
      </c>
      <c r="V134">
        <v>3534.86</v>
      </c>
      <c r="W134">
        <v>1060.72</v>
      </c>
      <c r="X134">
        <v>1320.1</v>
      </c>
      <c r="Y134">
        <v>773.07</v>
      </c>
      <c r="Z134">
        <v>5.82</v>
      </c>
      <c r="AA134">
        <v>1.61</v>
      </c>
      <c r="AB134">
        <v>4.3899999999999997</v>
      </c>
      <c r="AC134">
        <v>61.17</v>
      </c>
      <c r="AD134">
        <v>680</v>
      </c>
      <c r="AE134">
        <v>5900</v>
      </c>
      <c r="AF134">
        <v>82.18</v>
      </c>
      <c r="AG134">
        <v>0.59</v>
      </c>
      <c r="AH134">
        <v>13.08</v>
      </c>
      <c r="AI134">
        <v>46.78</v>
      </c>
      <c r="AJ134">
        <v>60</v>
      </c>
      <c r="AK134">
        <v>9</v>
      </c>
      <c r="AL134">
        <v>9</v>
      </c>
      <c r="AM134">
        <v>0.67</v>
      </c>
      <c r="AN134">
        <v>408</v>
      </c>
      <c r="AO134">
        <v>414.04</v>
      </c>
      <c r="AP134">
        <v>311634.31</v>
      </c>
      <c r="AQ134">
        <v>181147.74</v>
      </c>
      <c r="AR134" t="s">
        <v>1041</v>
      </c>
      <c r="AT134" s="6">
        <f t="shared" si="11"/>
        <v>7.4478635844748862</v>
      </c>
    </row>
    <row r="135" spans="1:46" x14ac:dyDescent="0.55000000000000004">
      <c r="A135">
        <v>17.64</v>
      </c>
      <c r="B135">
        <v>26.79</v>
      </c>
      <c r="C135">
        <v>5456.42</v>
      </c>
      <c r="D135">
        <v>7.6</v>
      </c>
      <c r="E135" t="s">
        <v>1292</v>
      </c>
      <c r="F135" t="s">
        <v>1539</v>
      </c>
      <c r="G135" t="s">
        <v>1729</v>
      </c>
      <c r="H135" t="s">
        <v>1897</v>
      </c>
      <c r="I135">
        <v>0</v>
      </c>
      <c r="J135">
        <v>653.11</v>
      </c>
      <c r="K135">
        <f t="shared" si="8"/>
        <v>51.540000000000006</v>
      </c>
      <c r="L135">
        <f t="shared" si="9"/>
        <v>58.54</v>
      </c>
      <c r="M135">
        <f t="shared" si="10"/>
        <v>-6.9999999999999929</v>
      </c>
      <c r="N135">
        <v>7.27</v>
      </c>
      <c r="O135">
        <v>89</v>
      </c>
      <c r="P135">
        <v>81</v>
      </c>
      <c r="Q135">
        <v>12.4</v>
      </c>
      <c r="R135">
        <v>9.15</v>
      </c>
      <c r="S135">
        <v>10.34</v>
      </c>
      <c r="T135">
        <v>7.31</v>
      </c>
      <c r="U135">
        <v>8.35</v>
      </c>
      <c r="V135">
        <v>3492.11</v>
      </c>
      <c r="W135">
        <v>1054.95</v>
      </c>
      <c r="X135">
        <v>1374.48</v>
      </c>
      <c r="Y135">
        <v>782.22</v>
      </c>
      <c r="Z135">
        <v>5.72</v>
      </c>
      <c r="AA135">
        <v>1.57</v>
      </c>
      <c r="AB135">
        <v>4.45</v>
      </c>
      <c r="AC135">
        <v>55.59</v>
      </c>
      <c r="AD135">
        <v>680</v>
      </c>
      <c r="AE135">
        <v>5900</v>
      </c>
      <c r="AF135">
        <v>82.56</v>
      </c>
      <c r="AG135">
        <v>0.59</v>
      </c>
      <c r="AH135">
        <v>11.23</v>
      </c>
      <c r="AI135">
        <v>52.32</v>
      </c>
      <c r="AJ135">
        <v>60</v>
      </c>
      <c r="AK135">
        <v>9</v>
      </c>
      <c r="AL135">
        <v>9</v>
      </c>
      <c r="AM135">
        <v>0.6</v>
      </c>
      <c r="AN135">
        <v>408</v>
      </c>
      <c r="AO135">
        <v>413.4</v>
      </c>
      <c r="AP135">
        <v>293748.96999999997</v>
      </c>
      <c r="AQ135">
        <v>148846.79</v>
      </c>
      <c r="AR135" t="s">
        <v>1042</v>
      </c>
      <c r="AT135" s="6">
        <f t="shared" si="11"/>
        <v>8.2706723744292212</v>
      </c>
    </row>
    <row r="136" spans="1:46" x14ac:dyDescent="0.55000000000000004">
      <c r="A136">
        <v>20.190000000000001</v>
      </c>
      <c r="B136">
        <v>29.31</v>
      </c>
      <c r="C136">
        <v>5527.99</v>
      </c>
      <c r="D136">
        <v>7.6</v>
      </c>
      <c r="E136" t="s">
        <v>1293</v>
      </c>
      <c r="F136" t="s">
        <v>1540</v>
      </c>
      <c r="G136" t="s">
        <v>1714</v>
      </c>
      <c r="H136" t="s">
        <v>1898</v>
      </c>
      <c r="I136">
        <v>0</v>
      </c>
      <c r="J136">
        <v>842.5</v>
      </c>
      <c r="K136">
        <f t="shared" si="8"/>
        <v>65.94</v>
      </c>
      <c r="L136">
        <f t="shared" si="9"/>
        <v>71.33</v>
      </c>
      <c r="M136">
        <f t="shared" si="10"/>
        <v>-5.3900000000000006</v>
      </c>
      <c r="N136">
        <v>7.38</v>
      </c>
      <c r="O136">
        <v>88.95</v>
      </c>
      <c r="P136">
        <v>47</v>
      </c>
      <c r="Q136">
        <v>22</v>
      </c>
      <c r="R136">
        <v>9.11</v>
      </c>
      <c r="S136">
        <v>14.99</v>
      </c>
      <c r="T136">
        <v>5.21</v>
      </c>
      <c r="U136">
        <v>6.56</v>
      </c>
      <c r="V136">
        <v>3537.91</v>
      </c>
      <c r="W136">
        <v>1056.76</v>
      </c>
      <c r="X136">
        <v>1273.9100000000001</v>
      </c>
      <c r="Y136">
        <v>761.1</v>
      </c>
      <c r="Z136">
        <v>6.01</v>
      </c>
      <c r="AA136">
        <v>1.6</v>
      </c>
      <c r="AB136">
        <v>4.41</v>
      </c>
      <c r="AC136">
        <v>63.65</v>
      </c>
      <c r="AD136">
        <v>680</v>
      </c>
      <c r="AE136">
        <v>5900</v>
      </c>
      <c r="AF136">
        <v>82.28</v>
      </c>
      <c r="AG136">
        <v>0.59</v>
      </c>
      <c r="AH136">
        <v>14.79</v>
      </c>
      <c r="AI136">
        <v>42.94</v>
      </c>
      <c r="AJ136">
        <v>60</v>
      </c>
      <c r="AK136">
        <v>9</v>
      </c>
      <c r="AL136">
        <v>9</v>
      </c>
      <c r="AM136">
        <v>0.73</v>
      </c>
      <c r="AN136">
        <v>408</v>
      </c>
      <c r="AO136">
        <v>414.58</v>
      </c>
      <c r="AP136">
        <v>343197.65</v>
      </c>
      <c r="AQ136">
        <v>210619.97</v>
      </c>
      <c r="AR136" t="s">
        <v>1043</v>
      </c>
      <c r="AT136" s="6">
        <f t="shared" si="11"/>
        <v>7.5672191780821931</v>
      </c>
    </row>
    <row r="137" spans="1:46" x14ac:dyDescent="0.55000000000000004">
      <c r="A137">
        <v>17.670000000000002</v>
      </c>
      <c r="B137">
        <v>26.82</v>
      </c>
      <c r="C137">
        <v>5446.1</v>
      </c>
      <c r="D137">
        <v>7.6</v>
      </c>
      <c r="E137" t="s">
        <v>1294</v>
      </c>
      <c r="F137" t="s">
        <v>1541</v>
      </c>
      <c r="G137" t="s">
        <v>1687</v>
      </c>
      <c r="H137" t="s">
        <v>1894</v>
      </c>
      <c r="I137">
        <v>0</v>
      </c>
      <c r="J137">
        <v>655.73</v>
      </c>
      <c r="K137">
        <f t="shared" si="8"/>
        <v>52.15</v>
      </c>
      <c r="L137">
        <f t="shared" si="9"/>
        <v>59.269999999999996</v>
      </c>
      <c r="M137">
        <f t="shared" si="10"/>
        <v>-7.1199999999999974</v>
      </c>
      <c r="N137">
        <v>7.28</v>
      </c>
      <c r="O137">
        <v>89</v>
      </c>
      <c r="P137">
        <v>81</v>
      </c>
      <c r="Q137">
        <v>12.6</v>
      </c>
      <c r="R137">
        <v>9.14</v>
      </c>
      <c r="S137">
        <v>10.53</v>
      </c>
      <c r="T137">
        <v>7.14</v>
      </c>
      <c r="U137">
        <v>8.31</v>
      </c>
      <c r="V137">
        <v>3485.5</v>
      </c>
      <c r="W137">
        <v>1053.69</v>
      </c>
      <c r="X137">
        <v>1376.67</v>
      </c>
      <c r="Y137">
        <v>782.39</v>
      </c>
      <c r="Z137">
        <v>5.72</v>
      </c>
      <c r="AA137">
        <v>1.58</v>
      </c>
      <c r="AB137">
        <v>4.4400000000000004</v>
      </c>
      <c r="AC137">
        <v>56.14</v>
      </c>
      <c r="AD137">
        <v>680</v>
      </c>
      <c r="AE137">
        <v>5900</v>
      </c>
      <c r="AF137">
        <v>82.54</v>
      </c>
      <c r="AG137">
        <v>0.59</v>
      </c>
      <c r="AH137">
        <v>11.3</v>
      </c>
      <c r="AI137">
        <v>51.68</v>
      </c>
      <c r="AJ137">
        <v>60</v>
      </c>
      <c r="AK137">
        <v>9</v>
      </c>
      <c r="AL137">
        <v>9</v>
      </c>
      <c r="AM137">
        <v>0.61</v>
      </c>
      <c r="AN137">
        <v>408</v>
      </c>
      <c r="AO137">
        <v>413.47</v>
      </c>
      <c r="AP137">
        <v>293322.96000000002</v>
      </c>
      <c r="AQ137">
        <v>147526.07</v>
      </c>
      <c r="AR137" t="s">
        <v>1044</v>
      </c>
      <c r="AT137" s="6">
        <f t="shared" si="11"/>
        <v>8.3217402968036538</v>
      </c>
    </row>
    <row r="138" spans="1:46" x14ac:dyDescent="0.55000000000000004">
      <c r="A138">
        <v>20.239999999999998</v>
      </c>
      <c r="B138">
        <v>29.35</v>
      </c>
      <c r="C138">
        <v>5529.74</v>
      </c>
      <c r="D138">
        <v>7.6</v>
      </c>
      <c r="E138" t="s">
        <v>1295</v>
      </c>
      <c r="F138" t="s">
        <v>1542</v>
      </c>
      <c r="G138" t="s">
        <v>1704</v>
      </c>
      <c r="H138" t="s">
        <v>1899</v>
      </c>
      <c r="I138">
        <v>0</v>
      </c>
      <c r="J138">
        <v>812.02</v>
      </c>
      <c r="K138">
        <f t="shared" si="8"/>
        <v>63.03</v>
      </c>
      <c r="L138">
        <f t="shared" si="9"/>
        <v>68.39</v>
      </c>
      <c r="M138">
        <f t="shared" si="10"/>
        <v>-5.3599999999999994</v>
      </c>
      <c r="N138">
        <v>7.36</v>
      </c>
      <c r="O138">
        <v>88.97</v>
      </c>
      <c r="P138">
        <v>47</v>
      </c>
      <c r="Q138">
        <v>22</v>
      </c>
      <c r="R138">
        <v>9.1</v>
      </c>
      <c r="S138">
        <v>14.99</v>
      </c>
      <c r="T138">
        <v>5.26</v>
      </c>
      <c r="U138">
        <v>6.81</v>
      </c>
      <c r="V138">
        <v>3539.03</v>
      </c>
      <c r="W138">
        <v>1058.73</v>
      </c>
      <c r="X138">
        <v>1290.24</v>
      </c>
      <c r="Y138">
        <v>765.59</v>
      </c>
      <c r="Z138">
        <v>5.99</v>
      </c>
      <c r="AA138">
        <v>1.6</v>
      </c>
      <c r="AB138">
        <v>4.4000000000000004</v>
      </c>
      <c r="AC138">
        <v>63.4</v>
      </c>
      <c r="AD138">
        <v>680</v>
      </c>
      <c r="AE138">
        <v>5900</v>
      </c>
      <c r="AF138">
        <v>82.18</v>
      </c>
      <c r="AG138">
        <v>0.59</v>
      </c>
      <c r="AH138">
        <v>14.14</v>
      </c>
      <c r="AI138">
        <v>44.79</v>
      </c>
      <c r="AJ138">
        <v>60</v>
      </c>
      <c r="AK138">
        <v>9</v>
      </c>
      <c r="AL138">
        <v>9</v>
      </c>
      <c r="AM138">
        <v>0.7</v>
      </c>
      <c r="AN138">
        <v>408</v>
      </c>
      <c r="AO138">
        <v>414.31</v>
      </c>
      <c r="AP138">
        <v>335460.08</v>
      </c>
      <c r="AQ138">
        <v>196074</v>
      </c>
      <c r="AR138" t="s">
        <v>1045</v>
      </c>
      <c r="AT138" s="6">
        <f t="shared" si="11"/>
        <v>7.9558264840182655</v>
      </c>
    </row>
    <row r="139" spans="1:46" x14ac:dyDescent="0.55000000000000004">
      <c r="A139">
        <v>17.39</v>
      </c>
      <c r="B139">
        <v>26.49</v>
      </c>
      <c r="C139">
        <v>5474.92</v>
      </c>
      <c r="D139">
        <v>7.59</v>
      </c>
      <c r="E139" t="s">
        <v>1296</v>
      </c>
      <c r="F139" t="s">
        <v>1543</v>
      </c>
      <c r="G139" t="s">
        <v>1720</v>
      </c>
      <c r="H139" t="s">
        <v>1900</v>
      </c>
      <c r="I139">
        <v>0</v>
      </c>
      <c r="J139">
        <v>640.58000000000004</v>
      </c>
      <c r="K139">
        <f t="shared" si="8"/>
        <v>51.05</v>
      </c>
      <c r="L139">
        <f t="shared" si="9"/>
        <v>56.6</v>
      </c>
      <c r="M139">
        <f t="shared" si="10"/>
        <v>-5.5500000000000043</v>
      </c>
      <c r="N139">
        <v>7.27</v>
      </c>
      <c r="O139">
        <v>89</v>
      </c>
      <c r="P139">
        <v>81</v>
      </c>
      <c r="Q139">
        <v>12</v>
      </c>
      <c r="R139">
        <v>9.1</v>
      </c>
      <c r="S139">
        <v>9.9499999999999993</v>
      </c>
      <c r="T139">
        <v>7.44</v>
      </c>
      <c r="U139">
        <v>8.5500000000000007</v>
      </c>
      <c r="V139">
        <v>3503.95</v>
      </c>
      <c r="W139">
        <v>1060.43</v>
      </c>
      <c r="X139">
        <v>1395.66</v>
      </c>
      <c r="Y139">
        <v>789.59</v>
      </c>
      <c r="Z139">
        <v>6.76</v>
      </c>
      <c r="AA139">
        <v>1.57</v>
      </c>
      <c r="AB139">
        <v>4.45</v>
      </c>
      <c r="AC139">
        <v>55.02</v>
      </c>
      <c r="AD139">
        <v>680</v>
      </c>
      <c r="AE139">
        <v>5900</v>
      </c>
      <c r="AF139">
        <v>82.12</v>
      </c>
      <c r="AG139">
        <v>0.59</v>
      </c>
      <c r="AH139">
        <v>10.88</v>
      </c>
      <c r="AI139">
        <v>62.45</v>
      </c>
      <c r="AJ139">
        <v>60</v>
      </c>
      <c r="AK139">
        <v>9</v>
      </c>
      <c r="AL139">
        <v>9</v>
      </c>
      <c r="AM139">
        <v>0.5</v>
      </c>
      <c r="AN139">
        <v>408</v>
      </c>
      <c r="AO139">
        <v>412.53</v>
      </c>
      <c r="AP139">
        <v>291814.18</v>
      </c>
      <c r="AQ139">
        <v>191250.85</v>
      </c>
      <c r="AR139" t="s">
        <v>1046</v>
      </c>
      <c r="AT139" s="6">
        <f t="shared" si="11"/>
        <v>5.7399160958904103</v>
      </c>
    </row>
    <row r="140" spans="1:46" x14ac:dyDescent="0.55000000000000004">
      <c r="A140">
        <v>20.010000000000002</v>
      </c>
      <c r="B140">
        <v>29.05</v>
      </c>
      <c r="C140">
        <v>5522.29</v>
      </c>
      <c r="D140">
        <v>7.6</v>
      </c>
      <c r="E140" t="s">
        <v>1297</v>
      </c>
      <c r="F140" t="s">
        <v>1544</v>
      </c>
      <c r="G140" t="s">
        <v>1722</v>
      </c>
      <c r="H140" t="s">
        <v>1901</v>
      </c>
      <c r="I140">
        <v>0</v>
      </c>
      <c r="J140">
        <v>777.36</v>
      </c>
      <c r="K140">
        <f t="shared" si="8"/>
        <v>59.559999999999995</v>
      </c>
      <c r="L140">
        <f t="shared" si="9"/>
        <v>65.8</v>
      </c>
      <c r="M140">
        <f t="shared" si="10"/>
        <v>-6.240000000000002</v>
      </c>
      <c r="N140">
        <v>7.34</v>
      </c>
      <c r="O140">
        <v>89.05</v>
      </c>
      <c r="P140">
        <v>49</v>
      </c>
      <c r="Q140">
        <v>21</v>
      </c>
      <c r="R140">
        <v>9.0399999999999991</v>
      </c>
      <c r="S140">
        <v>14.42</v>
      </c>
      <c r="T140">
        <v>5.59</v>
      </c>
      <c r="U140">
        <v>7.1</v>
      </c>
      <c r="V140">
        <v>3534.26</v>
      </c>
      <c r="W140">
        <v>1059.3599999999999</v>
      </c>
      <c r="X140">
        <v>1308.3900000000001</v>
      </c>
      <c r="Y140">
        <v>769.87</v>
      </c>
      <c r="Z140">
        <v>5.88</v>
      </c>
      <c r="AA140">
        <v>1.6</v>
      </c>
      <c r="AB140">
        <v>4.4000000000000004</v>
      </c>
      <c r="AC140">
        <v>61.78</v>
      </c>
      <c r="AD140">
        <v>680</v>
      </c>
      <c r="AE140">
        <v>5900</v>
      </c>
      <c r="AF140">
        <v>81.61</v>
      </c>
      <c r="AG140">
        <v>0.59</v>
      </c>
      <c r="AH140">
        <v>13.37</v>
      </c>
      <c r="AI140">
        <v>46.54</v>
      </c>
      <c r="AJ140">
        <v>60</v>
      </c>
      <c r="AK140">
        <v>9</v>
      </c>
      <c r="AL140">
        <v>9</v>
      </c>
      <c r="AM140">
        <v>0.67</v>
      </c>
      <c r="AN140">
        <v>408</v>
      </c>
      <c r="AO140">
        <v>414.07</v>
      </c>
      <c r="AP140">
        <v>316816.71000000002</v>
      </c>
      <c r="AQ140">
        <v>184246.49</v>
      </c>
      <c r="AR140" t="s">
        <v>1047</v>
      </c>
      <c r="AT140" s="6">
        <f t="shared" si="11"/>
        <v>7.5667933789954356</v>
      </c>
    </row>
    <row r="141" spans="1:46" x14ac:dyDescent="0.55000000000000004">
      <c r="A141">
        <v>17.41</v>
      </c>
      <c r="B141">
        <v>26.51</v>
      </c>
      <c r="C141">
        <v>5462.56</v>
      </c>
      <c r="D141">
        <v>7.61</v>
      </c>
      <c r="E141" t="s">
        <v>1298</v>
      </c>
      <c r="F141" t="s">
        <v>1545</v>
      </c>
      <c r="G141" t="s">
        <v>1730</v>
      </c>
      <c r="H141" t="s">
        <v>1833</v>
      </c>
      <c r="I141">
        <v>0</v>
      </c>
      <c r="J141">
        <v>628.55999999999995</v>
      </c>
      <c r="K141">
        <f t="shared" si="8"/>
        <v>50.29</v>
      </c>
      <c r="L141">
        <f t="shared" si="9"/>
        <v>57.07</v>
      </c>
      <c r="M141">
        <f t="shared" si="10"/>
        <v>-6.7800000000000011</v>
      </c>
      <c r="N141">
        <v>7.25</v>
      </c>
      <c r="O141">
        <v>89.04</v>
      </c>
      <c r="P141">
        <v>83</v>
      </c>
      <c r="Q141">
        <v>11.9</v>
      </c>
      <c r="R141">
        <v>9.1</v>
      </c>
      <c r="S141">
        <v>10.06</v>
      </c>
      <c r="T141">
        <v>7.34</v>
      </c>
      <c r="U141">
        <v>8.69</v>
      </c>
      <c r="V141">
        <v>3496.04</v>
      </c>
      <c r="W141">
        <v>1058.24</v>
      </c>
      <c r="X141">
        <v>1396.64</v>
      </c>
      <c r="Y141">
        <v>788.56</v>
      </c>
      <c r="Z141">
        <v>5.73</v>
      </c>
      <c r="AA141">
        <v>1.59</v>
      </c>
      <c r="AB141">
        <v>4.43</v>
      </c>
      <c r="AC141">
        <v>55.34</v>
      </c>
      <c r="AD141">
        <v>680</v>
      </c>
      <c r="AE141">
        <v>5900</v>
      </c>
      <c r="AF141">
        <v>82.15</v>
      </c>
      <c r="AG141">
        <v>0.59</v>
      </c>
      <c r="AH141">
        <v>10.68</v>
      </c>
      <c r="AI141">
        <v>53.67</v>
      </c>
      <c r="AJ141">
        <v>60</v>
      </c>
      <c r="AK141">
        <v>9</v>
      </c>
      <c r="AL141">
        <v>9</v>
      </c>
      <c r="AM141">
        <v>0.59</v>
      </c>
      <c r="AN141">
        <v>408</v>
      </c>
      <c r="AO141">
        <v>413.27</v>
      </c>
      <c r="AP141">
        <v>293339.68</v>
      </c>
      <c r="AQ141">
        <v>141044.21</v>
      </c>
      <c r="AR141" t="s">
        <v>1048</v>
      </c>
      <c r="AT141" s="6">
        <f t="shared" si="11"/>
        <v>8.6926638127853888</v>
      </c>
    </row>
    <row r="142" spans="1:46" x14ac:dyDescent="0.55000000000000004">
      <c r="A142">
        <v>18.93</v>
      </c>
      <c r="B142">
        <v>28.07</v>
      </c>
      <c r="C142">
        <v>5452.5</v>
      </c>
      <c r="D142">
        <v>7.6</v>
      </c>
      <c r="E142" t="s">
        <v>1299</v>
      </c>
      <c r="F142" t="s">
        <v>1546</v>
      </c>
      <c r="G142" t="s">
        <v>1731</v>
      </c>
      <c r="H142" t="s">
        <v>1902</v>
      </c>
      <c r="I142">
        <v>0</v>
      </c>
      <c r="J142">
        <v>654.98</v>
      </c>
      <c r="K142">
        <f t="shared" si="8"/>
        <v>60.16</v>
      </c>
      <c r="L142">
        <f t="shared" si="9"/>
        <v>64.160000000000011</v>
      </c>
      <c r="M142">
        <f t="shared" si="10"/>
        <v>-4.0000000000000142</v>
      </c>
      <c r="N142">
        <v>7.23</v>
      </c>
      <c r="O142">
        <v>89.04</v>
      </c>
      <c r="P142">
        <v>57</v>
      </c>
      <c r="Q142">
        <v>17.899999999999999</v>
      </c>
      <c r="R142">
        <v>9.14</v>
      </c>
      <c r="S142">
        <v>12.76</v>
      </c>
      <c r="T142">
        <v>6.17</v>
      </c>
      <c r="U142">
        <v>8.32</v>
      </c>
      <c r="V142">
        <v>3489.6</v>
      </c>
      <c r="W142">
        <v>1049.8399999999999</v>
      </c>
      <c r="X142">
        <v>1341.4</v>
      </c>
      <c r="Y142">
        <v>771.45</v>
      </c>
      <c r="Z142">
        <v>6.09</v>
      </c>
      <c r="AA142">
        <v>1.59</v>
      </c>
      <c r="AB142">
        <v>4.42</v>
      </c>
      <c r="AC142">
        <v>59.68</v>
      </c>
      <c r="AD142">
        <v>680</v>
      </c>
      <c r="AE142">
        <v>5900</v>
      </c>
      <c r="AF142">
        <v>82.49</v>
      </c>
      <c r="AG142">
        <v>0.59</v>
      </c>
      <c r="AH142">
        <v>11.26</v>
      </c>
      <c r="AI142">
        <v>47.73</v>
      </c>
      <c r="AJ142">
        <v>60</v>
      </c>
      <c r="AK142">
        <v>9</v>
      </c>
      <c r="AL142">
        <v>9</v>
      </c>
      <c r="AM142">
        <v>0.66</v>
      </c>
      <c r="AN142">
        <v>408</v>
      </c>
      <c r="AO142">
        <v>413.92</v>
      </c>
      <c r="AP142">
        <v>393424.77</v>
      </c>
      <c r="AQ142">
        <v>171840.39</v>
      </c>
      <c r="AR142" t="s">
        <v>1049</v>
      </c>
      <c r="AT142" s="6">
        <f t="shared" si="11"/>
        <v>12.647510273972603</v>
      </c>
    </row>
    <row r="143" spans="1:46" x14ac:dyDescent="0.55000000000000004">
      <c r="A143">
        <v>18.850000000000001</v>
      </c>
      <c r="B143">
        <v>27.98</v>
      </c>
      <c r="C143">
        <v>5489.32</v>
      </c>
      <c r="D143">
        <v>7.59</v>
      </c>
      <c r="E143" t="s">
        <v>1300</v>
      </c>
      <c r="F143" t="s">
        <v>1547</v>
      </c>
      <c r="G143" t="s">
        <v>1686</v>
      </c>
      <c r="H143" t="s">
        <v>1903</v>
      </c>
      <c r="I143">
        <v>0</v>
      </c>
      <c r="J143">
        <v>657.33</v>
      </c>
      <c r="K143">
        <f t="shared" si="8"/>
        <v>60.019999999999996</v>
      </c>
      <c r="L143">
        <f t="shared" si="9"/>
        <v>62.160000000000004</v>
      </c>
      <c r="M143">
        <f t="shared" si="10"/>
        <v>-2.1400000000000077</v>
      </c>
      <c r="N143">
        <v>7.23</v>
      </c>
      <c r="O143">
        <v>89.03</v>
      </c>
      <c r="P143">
        <v>66</v>
      </c>
      <c r="Q143">
        <v>16.8</v>
      </c>
      <c r="R143">
        <v>9.1300000000000008</v>
      </c>
      <c r="S143">
        <v>12.83</v>
      </c>
      <c r="T143">
        <v>6.02</v>
      </c>
      <c r="U143">
        <v>8.35</v>
      </c>
      <c r="V143">
        <v>3513.17</v>
      </c>
      <c r="W143">
        <v>1056.31</v>
      </c>
      <c r="X143">
        <v>1345.5</v>
      </c>
      <c r="Y143">
        <v>775.18</v>
      </c>
      <c r="Z143">
        <v>6.28</v>
      </c>
      <c r="AA143">
        <v>1.58</v>
      </c>
      <c r="AB143">
        <v>4.42</v>
      </c>
      <c r="AC143">
        <v>60.27</v>
      </c>
      <c r="AD143">
        <v>680</v>
      </c>
      <c r="AE143">
        <v>5900</v>
      </c>
      <c r="AF143">
        <v>82.4</v>
      </c>
      <c r="AG143">
        <v>0.59</v>
      </c>
      <c r="AH143">
        <v>11.21</v>
      </c>
      <c r="AI143">
        <v>49.28</v>
      </c>
      <c r="AJ143">
        <v>60</v>
      </c>
      <c r="AK143">
        <v>9</v>
      </c>
      <c r="AL143">
        <v>9</v>
      </c>
      <c r="AM143">
        <v>0.64</v>
      </c>
      <c r="AN143">
        <v>408</v>
      </c>
      <c r="AO143">
        <v>413.74</v>
      </c>
      <c r="AP143">
        <v>409362.82</v>
      </c>
      <c r="AQ143">
        <v>164457.01</v>
      </c>
      <c r="AR143" t="s">
        <v>1050</v>
      </c>
      <c r="AT143" s="6">
        <f t="shared" si="11"/>
        <v>13.978642123287671</v>
      </c>
    </row>
    <row r="144" spans="1:46" x14ac:dyDescent="0.55000000000000004">
      <c r="A144">
        <v>18.75</v>
      </c>
      <c r="B144">
        <v>27.92</v>
      </c>
      <c r="C144">
        <v>5446.06</v>
      </c>
      <c r="D144">
        <v>7.6</v>
      </c>
      <c r="E144" t="s">
        <v>1301</v>
      </c>
      <c r="F144" t="s">
        <v>1548</v>
      </c>
      <c r="G144" t="s">
        <v>1705</v>
      </c>
      <c r="H144" t="s">
        <v>1904</v>
      </c>
      <c r="I144">
        <v>0</v>
      </c>
      <c r="J144">
        <v>646.67999999999995</v>
      </c>
      <c r="K144">
        <f t="shared" si="8"/>
        <v>59.89</v>
      </c>
      <c r="L144">
        <f t="shared" si="9"/>
        <v>64.75</v>
      </c>
      <c r="M144">
        <f t="shared" si="10"/>
        <v>-4.8599999999999994</v>
      </c>
      <c r="N144">
        <v>7.22</v>
      </c>
      <c r="O144">
        <v>89.02</v>
      </c>
      <c r="P144">
        <v>56</v>
      </c>
      <c r="Q144">
        <v>17.7</v>
      </c>
      <c r="R144">
        <v>9.17</v>
      </c>
      <c r="S144">
        <v>12.46</v>
      </c>
      <c r="T144">
        <v>6.29</v>
      </c>
      <c r="U144">
        <v>8.42</v>
      </c>
      <c r="V144">
        <v>3485.48</v>
      </c>
      <c r="W144">
        <v>1048.5</v>
      </c>
      <c r="X144">
        <v>1340.84</v>
      </c>
      <c r="Y144">
        <v>770.5</v>
      </c>
      <c r="Z144">
        <v>6.01</v>
      </c>
      <c r="AA144">
        <v>1.58</v>
      </c>
      <c r="AB144">
        <v>4.43</v>
      </c>
      <c r="AC144">
        <v>59.32</v>
      </c>
      <c r="AD144">
        <v>680</v>
      </c>
      <c r="AE144">
        <v>5900</v>
      </c>
      <c r="AF144">
        <v>82.77</v>
      </c>
      <c r="AG144">
        <v>0.59</v>
      </c>
      <c r="AH144">
        <v>11.15</v>
      </c>
      <c r="AI144">
        <v>47.3</v>
      </c>
      <c r="AJ144">
        <v>60</v>
      </c>
      <c r="AK144">
        <v>9</v>
      </c>
      <c r="AL144">
        <v>9</v>
      </c>
      <c r="AM144">
        <v>0.66</v>
      </c>
      <c r="AN144">
        <v>408</v>
      </c>
      <c r="AO144">
        <v>413.98</v>
      </c>
      <c r="AP144">
        <v>389143.14</v>
      </c>
      <c r="AQ144">
        <v>177088.88</v>
      </c>
      <c r="AR144" t="s">
        <v>1051</v>
      </c>
      <c r="AT144" s="6">
        <f t="shared" si="11"/>
        <v>12.103553652968037</v>
      </c>
    </row>
    <row r="145" spans="1:46" x14ac:dyDescent="0.55000000000000004">
      <c r="A145">
        <v>18.57</v>
      </c>
      <c r="B145">
        <v>27.72</v>
      </c>
      <c r="C145">
        <v>5448.35</v>
      </c>
      <c r="D145">
        <v>7.6</v>
      </c>
      <c r="E145" t="s">
        <v>1302</v>
      </c>
      <c r="F145" t="s">
        <v>1549</v>
      </c>
      <c r="G145" t="s">
        <v>1709</v>
      </c>
      <c r="H145" t="s">
        <v>1905</v>
      </c>
      <c r="I145">
        <v>0</v>
      </c>
      <c r="J145">
        <v>639.36</v>
      </c>
      <c r="K145">
        <f t="shared" si="8"/>
        <v>59.599999999999994</v>
      </c>
      <c r="L145">
        <f t="shared" si="9"/>
        <v>65.37</v>
      </c>
      <c r="M145">
        <f t="shared" si="10"/>
        <v>-5.7700000000000102</v>
      </c>
      <c r="N145">
        <v>7.21</v>
      </c>
      <c r="O145">
        <v>89.01</v>
      </c>
      <c r="P145">
        <v>57</v>
      </c>
      <c r="Q145">
        <v>17.399999999999999</v>
      </c>
      <c r="R145">
        <v>9.15</v>
      </c>
      <c r="S145">
        <v>12.31</v>
      </c>
      <c r="T145">
        <v>6.26</v>
      </c>
      <c r="U145">
        <v>8.52</v>
      </c>
      <c r="V145">
        <v>3486.94</v>
      </c>
      <c r="W145">
        <v>1049.68</v>
      </c>
      <c r="X145">
        <v>1348.41</v>
      </c>
      <c r="Y145">
        <v>772.73</v>
      </c>
      <c r="Z145">
        <v>5.93</v>
      </c>
      <c r="AA145">
        <v>1.58</v>
      </c>
      <c r="AB145">
        <v>4.43</v>
      </c>
      <c r="AC145">
        <v>59.39</v>
      </c>
      <c r="AD145">
        <v>680</v>
      </c>
      <c r="AE145">
        <v>5900</v>
      </c>
      <c r="AF145">
        <v>82.58</v>
      </c>
      <c r="AG145">
        <v>0.59</v>
      </c>
      <c r="AH145">
        <v>10.98</v>
      </c>
      <c r="AI145">
        <v>46.85</v>
      </c>
      <c r="AJ145">
        <v>60</v>
      </c>
      <c r="AK145">
        <v>9</v>
      </c>
      <c r="AL145">
        <v>9</v>
      </c>
      <c r="AM145">
        <v>0.67</v>
      </c>
      <c r="AN145">
        <v>408</v>
      </c>
      <c r="AO145">
        <v>414.03</v>
      </c>
      <c r="AP145">
        <v>380947.24</v>
      </c>
      <c r="AQ145">
        <v>178721.91</v>
      </c>
      <c r="AR145" t="s">
        <v>1052</v>
      </c>
      <c r="AT145" s="6">
        <f t="shared" si="11"/>
        <v>11.542541666666667</v>
      </c>
    </row>
    <row r="146" spans="1:46" x14ac:dyDescent="0.55000000000000004">
      <c r="A146">
        <v>20.2</v>
      </c>
      <c r="B146">
        <v>29.37</v>
      </c>
      <c r="C146">
        <v>5503.18</v>
      </c>
      <c r="D146">
        <v>7.6</v>
      </c>
      <c r="E146" t="s">
        <v>1303</v>
      </c>
      <c r="F146" t="s">
        <v>1550</v>
      </c>
      <c r="G146" t="s">
        <v>1716</v>
      </c>
      <c r="H146" t="s">
        <v>1906</v>
      </c>
      <c r="I146">
        <v>0</v>
      </c>
      <c r="J146">
        <v>748.88</v>
      </c>
      <c r="K146">
        <f t="shared" si="8"/>
        <v>67.260000000000005</v>
      </c>
      <c r="L146">
        <f t="shared" si="9"/>
        <v>71.760000000000005</v>
      </c>
      <c r="M146">
        <f t="shared" si="10"/>
        <v>-4.5</v>
      </c>
      <c r="N146">
        <v>7.28</v>
      </c>
      <c r="O146">
        <v>88.99</v>
      </c>
      <c r="P146">
        <v>49</v>
      </c>
      <c r="Q146">
        <v>21.7</v>
      </c>
      <c r="R146">
        <v>9.17</v>
      </c>
      <c r="S146">
        <v>15.02</v>
      </c>
      <c r="T146">
        <v>5.18</v>
      </c>
      <c r="U146">
        <v>7.35</v>
      </c>
      <c r="V146">
        <v>3522.03</v>
      </c>
      <c r="W146">
        <v>1053.0999999999999</v>
      </c>
      <c r="X146">
        <v>1289.44</v>
      </c>
      <c r="Y146">
        <v>761.65</v>
      </c>
      <c r="Z146">
        <v>6.09</v>
      </c>
      <c r="AA146">
        <v>1.6</v>
      </c>
      <c r="AB146">
        <v>4.4000000000000004</v>
      </c>
      <c r="AC146">
        <v>63.92</v>
      </c>
      <c r="AD146">
        <v>680</v>
      </c>
      <c r="AE146">
        <v>5900</v>
      </c>
      <c r="AF146">
        <v>82.77</v>
      </c>
      <c r="AG146">
        <v>0.59</v>
      </c>
      <c r="AH146">
        <v>13.04</v>
      </c>
      <c r="AI146">
        <v>42.68</v>
      </c>
      <c r="AJ146">
        <v>60</v>
      </c>
      <c r="AK146">
        <v>9</v>
      </c>
      <c r="AL146">
        <v>9</v>
      </c>
      <c r="AM146">
        <v>0.74</v>
      </c>
      <c r="AN146">
        <v>408</v>
      </c>
      <c r="AO146">
        <v>414.62</v>
      </c>
      <c r="AP146">
        <v>409039.28</v>
      </c>
      <c r="AQ146">
        <v>213580.7</v>
      </c>
      <c r="AR146" t="s">
        <v>1053</v>
      </c>
      <c r="AT146" s="6">
        <f t="shared" si="11"/>
        <v>11.156311643835618</v>
      </c>
    </row>
    <row r="147" spans="1:46" x14ac:dyDescent="0.55000000000000004">
      <c r="A147">
        <v>19.41</v>
      </c>
      <c r="B147">
        <v>28.55</v>
      </c>
      <c r="C147">
        <v>5508.54</v>
      </c>
      <c r="D147">
        <v>7.6</v>
      </c>
      <c r="E147" t="s">
        <v>1304</v>
      </c>
      <c r="F147" t="s">
        <v>1551</v>
      </c>
      <c r="G147" t="s">
        <v>1711</v>
      </c>
      <c r="H147" t="s">
        <v>1907</v>
      </c>
      <c r="I147">
        <v>0</v>
      </c>
      <c r="J147">
        <v>627.86</v>
      </c>
      <c r="K147">
        <f t="shared" si="8"/>
        <v>58.78</v>
      </c>
      <c r="L147">
        <f t="shared" si="9"/>
        <v>60.680000000000007</v>
      </c>
      <c r="M147">
        <f t="shared" si="10"/>
        <v>-1.9000000000000057</v>
      </c>
      <c r="N147">
        <v>7.2</v>
      </c>
      <c r="O147">
        <v>89.04</v>
      </c>
      <c r="P147">
        <v>64</v>
      </c>
      <c r="Q147">
        <v>17.5</v>
      </c>
      <c r="R147">
        <v>9.14</v>
      </c>
      <c r="S147">
        <v>13.24</v>
      </c>
      <c r="T147">
        <v>6.17</v>
      </c>
      <c r="U147">
        <v>8.77</v>
      </c>
      <c r="V147">
        <v>3525.47</v>
      </c>
      <c r="W147">
        <v>1061.8</v>
      </c>
      <c r="X147">
        <v>1369.68</v>
      </c>
      <c r="Y147">
        <v>782.76</v>
      </c>
      <c r="Z147">
        <v>6.3</v>
      </c>
      <c r="AA147">
        <v>1.61</v>
      </c>
      <c r="AB147">
        <v>4.38</v>
      </c>
      <c r="AC147">
        <v>59.72</v>
      </c>
      <c r="AD147">
        <v>680</v>
      </c>
      <c r="AE147">
        <v>5900</v>
      </c>
      <c r="AF147">
        <v>82.51</v>
      </c>
      <c r="AG147">
        <v>0.59</v>
      </c>
      <c r="AH147">
        <v>10.61</v>
      </c>
      <c r="AI147">
        <v>50.48</v>
      </c>
      <c r="AJ147">
        <v>60</v>
      </c>
      <c r="AK147">
        <v>9</v>
      </c>
      <c r="AL147">
        <v>9</v>
      </c>
      <c r="AM147">
        <v>0.62</v>
      </c>
      <c r="AN147">
        <v>408</v>
      </c>
      <c r="AO147">
        <v>413.6</v>
      </c>
      <c r="AP147">
        <v>412874.74</v>
      </c>
      <c r="AQ147">
        <v>156793.51999999999</v>
      </c>
      <c r="AR147" t="s">
        <v>1054</v>
      </c>
      <c r="AT147" s="6">
        <f t="shared" si="11"/>
        <v>14.61650799086758</v>
      </c>
    </row>
    <row r="148" spans="1:46" x14ac:dyDescent="0.55000000000000004">
      <c r="A148">
        <v>20.309999999999999</v>
      </c>
      <c r="B148">
        <v>29.44</v>
      </c>
      <c r="C148">
        <v>5511.54</v>
      </c>
      <c r="D148">
        <v>7.6</v>
      </c>
      <c r="E148" t="s">
        <v>1305</v>
      </c>
      <c r="F148" t="s">
        <v>1552</v>
      </c>
      <c r="G148" t="s">
        <v>1717</v>
      </c>
      <c r="H148" t="s">
        <v>1908</v>
      </c>
      <c r="I148">
        <v>0</v>
      </c>
      <c r="J148">
        <v>722</v>
      </c>
      <c r="K148">
        <f t="shared" si="8"/>
        <v>65.199999999999989</v>
      </c>
      <c r="L148">
        <f t="shared" si="9"/>
        <v>69.59</v>
      </c>
      <c r="M148">
        <f t="shared" si="10"/>
        <v>-4.3900000000000148</v>
      </c>
      <c r="N148">
        <v>7.26</v>
      </c>
      <c r="O148">
        <v>89.02</v>
      </c>
      <c r="P148">
        <v>47</v>
      </c>
      <c r="Q148">
        <v>22.1</v>
      </c>
      <c r="R148">
        <v>9.1300000000000008</v>
      </c>
      <c r="S148">
        <v>15.07</v>
      </c>
      <c r="T148">
        <v>5.23</v>
      </c>
      <c r="U148">
        <v>7.63</v>
      </c>
      <c r="V148">
        <v>3527.38</v>
      </c>
      <c r="W148">
        <v>1056.1500000000001</v>
      </c>
      <c r="X148">
        <v>1306.3800000000001</v>
      </c>
      <c r="Y148">
        <v>766.65</v>
      </c>
      <c r="Z148">
        <v>6.09</v>
      </c>
      <c r="AA148">
        <v>1.61</v>
      </c>
      <c r="AB148">
        <v>4.3899999999999997</v>
      </c>
      <c r="AC148">
        <v>63.57</v>
      </c>
      <c r="AD148">
        <v>680</v>
      </c>
      <c r="AE148">
        <v>5900</v>
      </c>
      <c r="AF148">
        <v>82.44</v>
      </c>
      <c r="AG148">
        <v>0.59</v>
      </c>
      <c r="AH148">
        <v>12.43</v>
      </c>
      <c r="AI148">
        <v>44.01</v>
      </c>
      <c r="AJ148">
        <v>60</v>
      </c>
      <c r="AK148">
        <v>9</v>
      </c>
      <c r="AL148">
        <v>9</v>
      </c>
      <c r="AM148">
        <v>0.71</v>
      </c>
      <c r="AN148">
        <v>408</v>
      </c>
      <c r="AO148">
        <v>414.42</v>
      </c>
      <c r="AP148">
        <v>406029.34</v>
      </c>
      <c r="AQ148">
        <v>202499.53</v>
      </c>
      <c r="AR148" t="s">
        <v>1055</v>
      </c>
      <c r="AT148" s="6">
        <f t="shared" si="11"/>
        <v>11.616998287671235</v>
      </c>
    </row>
    <row r="149" spans="1:46" x14ac:dyDescent="0.55000000000000004">
      <c r="A149">
        <v>19.190000000000001</v>
      </c>
      <c r="B149">
        <v>28.38</v>
      </c>
      <c r="C149">
        <v>5504.65</v>
      </c>
      <c r="D149">
        <v>7.6</v>
      </c>
      <c r="E149" t="s">
        <v>1306</v>
      </c>
      <c r="F149" t="s">
        <v>1553</v>
      </c>
      <c r="G149" t="s">
        <v>1711</v>
      </c>
      <c r="H149" t="s">
        <v>1909</v>
      </c>
      <c r="I149">
        <v>0</v>
      </c>
      <c r="J149">
        <v>681.47</v>
      </c>
      <c r="K149">
        <f t="shared" si="8"/>
        <v>62.36999999999999</v>
      </c>
      <c r="L149">
        <f t="shared" si="9"/>
        <v>64.8</v>
      </c>
      <c r="M149">
        <f t="shared" si="10"/>
        <v>-2.4300000000000068</v>
      </c>
      <c r="N149">
        <v>7.24</v>
      </c>
      <c r="O149">
        <v>88.97</v>
      </c>
      <c r="P149">
        <v>66</v>
      </c>
      <c r="Q149">
        <v>17.100000000000001</v>
      </c>
      <c r="R149">
        <v>9.18</v>
      </c>
      <c r="S149">
        <v>13.11</v>
      </c>
      <c r="T149">
        <v>6.08</v>
      </c>
      <c r="U149">
        <v>8.08</v>
      </c>
      <c r="V149">
        <v>3522.98</v>
      </c>
      <c r="W149">
        <v>1057.3499999999999</v>
      </c>
      <c r="X149">
        <v>1330.54</v>
      </c>
      <c r="Y149">
        <v>772.38</v>
      </c>
      <c r="Z149">
        <v>6.26</v>
      </c>
      <c r="AA149">
        <v>1.59</v>
      </c>
      <c r="AB149">
        <v>4.42</v>
      </c>
      <c r="AC149">
        <v>60.16</v>
      </c>
      <c r="AD149">
        <v>680</v>
      </c>
      <c r="AE149">
        <v>5900</v>
      </c>
      <c r="AF149">
        <v>82.9</v>
      </c>
      <c r="AG149">
        <v>0.59</v>
      </c>
      <c r="AH149">
        <v>11.71</v>
      </c>
      <c r="AI149">
        <v>47.27</v>
      </c>
      <c r="AJ149">
        <v>60</v>
      </c>
      <c r="AK149">
        <v>9</v>
      </c>
      <c r="AL149">
        <v>9</v>
      </c>
      <c r="AM149">
        <v>0.66</v>
      </c>
      <c r="AN149">
        <v>408</v>
      </c>
      <c r="AO149">
        <v>413.98</v>
      </c>
      <c r="AP149">
        <v>416604.21</v>
      </c>
      <c r="AQ149">
        <v>177489.8</v>
      </c>
      <c r="AR149" t="s">
        <v>1056</v>
      </c>
      <c r="AT149" s="6">
        <f t="shared" si="11"/>
        <v>13.648082762557079</v>
      </c>
    </row>
    <row r="150" spans="1:46" x14ac:dyDescent="0.55000000000000004">
      <c r="A150">
        <v>19.649999999999999</v>
      </c>
      <c r="B150">
        <v>28.81</v>
      </c>
      <c r="C150">
        <v>5512.56</v>
      </c>
      <c r="D150">
        <v>7.6</v>
      </c>
      <c r="E150" t="s">
        <v>1307</v>
      </c>
      <c r="F150" t="s">
        <v>1554</v>
      </c>
      <c r="G150" t="s">
        <v>1719</v>
      </c>
      <c r="H150" t="s">
        <v>1910</v>
      </c>
      <c r="I150">
        <v>0</v>
      </c>
      <c r="J150">
        <v>707.96</v>
      </c>
      <c r="K150">
        <f t="shared" si="8"/>
        <v>64.22</v>
      </c>
      <c r="L150">
        <f t="shared" si="9"/>
        <v>67.5</v>
      </c>
      <c r="M150">
        <f t="shared" si="10"/>
        <v>-3.2800000000000011</v>
      </c>
      <c r="N150">
        <v>7.26</v>
      </c>
      <c r="O150">
        <v>88.98</v>
      </c>
      <c r="P150">
        <v>61</v>
      </c>
      <c r="Q150">
        <v>18.5</v>
      </c>
      <c r="R150">
        <v>9.16</v>
      </c>
      <c r="S150">
        <v>13.79</v>
      </c>
      <c r="T150">
        <v>5.86</v>
      </c>
      <c r="U150">
        <v>7.79</v>
      </c>
      <c r="V150">
        <v>3528.04</v>
      </c>
      <c r="W150">
        <v>1057.23</v>
      </c>
      <c r="X150">
        <v>1315.57</v>
      </c>
      <c r="Y150">
        <v>769.13</v>
      </c>
      <c r="Z150">
        <v>6.18</v>
      </c>
      <c r="AA150">
        <v>1.59</v>
      </c>
      <c r="AB150">
        <v>4.41</v>
      </c>
      <c r="AC150">
        <v>60.98</v>
      </c>
      <c r="AD150">
        <v>680</v>
      </c>
      <c r="AE150">
        <v>5900</v>
      </c>
      <c r="AF150">
        <v>82.71</v>
      </c>
      <c r="AG150">
        <v>0.59</v>
      </c>
      <c r="AH150">
        <v>12.19</v>
      </c>
      <c r="AI150">
        <v>45.38</v>
      </c>
      <c r="AJ150">
        <v>60</v>
      </c>
      <c r="AK150">
        <v>9</v>
      </c>
      <c r="AL150">
        <v>9</v>
      </c>
      <c r="AM150">
        <v>0.69</v>
      </c>
      <c r="AN150">
        <v>408</v>
      </c>
      <c r="AO150">
        <v>414.23</v>
      </c>
      <c r="AP150">
        <v>413190.78</v>
      </c>
      <c r="AQ150">
        <v>191394.39</v>
      </c>
      <c r="AR150" t="s">
        <v>1057</v>
      </c>
      <c r="AT150" s="6">
        <f t="shared" si="11"/>
        <v>12.659611301369864</v>
      </c>
    </row>
    <row r="151" spans="1:46" x14ac:dyDescent="0.55000000000000004">
      <c r="A151">
        <v>20.29</v>
      </c>
      <c r="B151">
        <v>29.39</v>
      </c>
      <c r="C151">
        <v>5528.58</v>
      </c>
      <c r="D151">
        <v>7.6</v>
      </c>
      <c r="E151" t="s">
        <v>1308</v>
      </c>
      <c r="F151" t="s">
        <v>1555</v>
      </c>
      <c r="G151" t="s">
        <v>1717</v>
      </c>
      <c r="H151" t="s">
        <v>1911</v>
      </c>
      <c r="I151">
        <v>0</v>
      </c>
      <c r="J151">
        <v>752.96</v>
      </c>
      <c r="K151">
        <f t="shared" si="8"/>
        <v>67.25</v>
      </c>
      <c r="L151">
        <f t="shared" si="9"/>
        <v>72.349999999999994</v>
      </c>
      <c r="M151">
        <f t="shared" si="10"/>
        <v>-5.0999999999999943</v>
      </c>
      <c r="N151">
        <v>7.29</v>
      </c>
      <c r="O151">
        <v>89.09</v>
      </c>
      <c r="P151">
        <v>47</v>
      </c>
      <c r="Q151">
        <v>22.2</v>
      </c>
      <c r="R151">
        <v>9.1</v>
      </c>
      <c r="S151">
        <v>15.16</v>
      </c>
      <c r="T151">
        <v>5.13</v>
      </c>
      <c r="U151">
        <v>7.34</v>
      </c>
      <c r="V151">
        <v>3538.29</v>
      </c>
      <c r="W151">
        <v>1057.9000000000001</v>
      </c>
      <c r="X151">
        <v>1294.29</v>
      </c>
      <c r="Y151">
        <v>764.95</v>
      </c>
      <c r="Z151">
        <v>6.04</v>
      </c>
      <c r="AA151">
        <v>1.6</v>
      </c>
      <c r="AB151">
        <v>4.4000000000000004</v>
      </c>
      <c r="AC151">
        <v>63.96</v>
      </c>
      <c r="AD151">
        <v>680</v>
      </c>
      <c r="AE151">
        <v>5900</v>
      </c>
      <c r="AF151">
        <v>82.18</v>
      </c>
      <c r="AG151">
        <v>0.59</v>
      </c>
      <c r="AH151">
        <v>12.96</v>
      </c>
      <c r="AI151">
        <v>42.34</v>
      </c>
      <c r="AJ151">
        <v>60</v>
      </c>
      <c r="AK151">
        <v>9</v>
      </c>
      <c r="AL151">
        <v>9</v>
      </c>
      <c r="AM151">
        <v>0.74</v>
      </c>
      <c r="AN151">
        <v>408</v>
      </c>
      <c r="AO151">
        <v>414.68</v>
      </c>
      <c r="AP151">
        <v>401667.56</v>
      </c>
      <c r="AQ151">
        <v>216428.35</v>
      </c>
      <c r="AR151" t="s">
        <v>1058</v>
      </c>
      <c r="AT151" s="6">
        <f t="shared" si="11"/>
        <v>10.573014269406393</v>
      </c>
    </row>
    <row r="152" spans="1:46" x14ac:dyDescent="0.55000000000000004">
      <c r="A152">
        <v>19.04</v>
      </c>
      <c r="B152">
        <v>28.2</v>
      </c>
      <c r="C152">
        <v>5466.25</v>
      </c>
      <c r="D152">
        <v>7.6</v>
      </c>
      <c r="E152" t="s">
        <v>1309</v>
      </c>
      <c r="F152" t="s">
        <v>1556</v>
      </c>
      <c r="G152" t="s">
        <v>1732</v>
      </c>
      <c r="H152" t="s">
        <v>1912</v>
      </c>
      <c r="I152">
        <v>0</v>
      </c>
      <c r="J152">
        <v>682.68</v>
      </c>
      <c r="K152">
        <f t="shared" si="8"/>
        <v>62.879999999999995</v>
      </c>
      <c r="L152">
        <f t="shared" si="9"/>
        <v>66.64</v>
      </c>
      <c r="M152">
        <f t="shared" si="10"/>
        <v>-3.7600000000000051</v>
      </c>
      <c r="N152">
        <v>7.24</v>
      </c>
      <c r="O152">
        <v>88.97</v>
      </c>
      <c r="P152">
        <v>58</v>
      </c>
      <c r="Q152">
        <v>18</v>
      </c>
      <c r="R152">
        <v>9.17</v>
      </c>
      <c r="S152">
        <v>12.97</v>
      </c>
      <c r="T152">
        <v>6.07</v>
      </c>
      <c r="U152">
        <v>8.01</v>
      </c>
      <c r="V152">
        <v>3498.4</v>
      </c>
      <c r="W152">
        <v>1049.8699999999999</v>
      </c>
      <c r="X152">
        <v>1320.25</v>
      </c>
      <c r="Y152">
        <v>766.72</v>
      </c>
      <c r="Z152">
        <v>6.13</v>
      </c>
      <c r="AA152">
        <v>1.58</v>
      </c>
      <c r="AB152">
        <v>4.43</v>
      </c>
      <c r="AC152">
        <v>60.18</v>
      </c>
      <c r="AD152">
        <v>680</v>
      </c>
      <c r="AE152">
        <v>5900</v>
      </c>
      <c r="AF152">
        <v>82.77</v>
      </c>
      <c r="AG152">
        <v>0.59</v>
      </c>
      <c r="AH152">
        <v>11.81</v>
      </c>
      <c r="AI152">
        <v>45.97</v>
      </c>
      <c r="AJ152">
        <v>60</v>
      </c>
      <c r="AK152">
        <v>9</v>
      </c>
      <c r="AL152">
        <v>9</v>
      </c>
      <c r="AM152">
        <v>0.68</v>
      </c>
      <c r="AN152">
        <v>408</v>
      </c>
      <c r="AO152">
        <v>414.15</v>
      </c>
      <c r="AP152">
        <v>408510.33</v>
      </c>
      <c r="AQ152">
        <v>185878.49</v>
      </c>
      <c r="AR152" t="s">
        <v>1059</v>
      </c>
      <c r="AT152" s="6">
        <f t="shared" si="11"/>
        <v>12.707296803652969</v>
      </c>
    </row>
    <row r="153" spans="1:46" x14ac:dyDescent="0.55000000000000004">
      <c r="A153">
        <v>19.989999999999998</v>
      </c>
      <c r="B153">
        <v>29.16</v>
      </c>
      <c r="C153">
        <v>5504.83</v>
      </c>
      <c r="D153">
        <v>7.6</v>
      </c>
      <c r="E153" t="s">
        <v>1310</v>
      </c>
      <c r="F153" t="s">
        <v>1557</v>
      </c>
      <c r="G153" t="s">
        <v>1704</v>
      </c>
      <c r="H153" t="s">
        <v>1913</v>
      </c>
      <c r="I153">
        <v>0</v>
      </c>
      <c r="J153">
        <v>710.9</v>
      </c>
      <c r="K153">
        <f t="shared" si="8"/>
        <v>64.599999999999994</v>
      </c>
      <c r="L153">
        <f t="shared" si="9"/>
        <v>67.69</v>
      </c>
      <c r="M153">
        <f t="shared" si="10"/>
        <v>-3.0900000000000034</v>
      </c>
      <c r="N153">
        <v>7.26</v>
      </c>
      <c r="O153">
        <v>89.07</v>
      </c>
      <c r="P153">
        <v>53</v>
      </c>
      <c r="Q153">
        <v>20.9</v>
      </c>
      <c r="R153">
        <v>9.16</v>
      </c>
      <c r="S153">
        <v>14.88</v>
      </c>
      <c r="T153">
        <v>5.1100000000000003</v>
      </c>
      <c r="U153">
        <v>7.74</v>
      </c>
      <c r="V153">
        <v>3523.09</v>
      </c>
      <c r="W153">
        <v>1055.47</v>
      </c>
      <c r="X153">
        <v>1311.19</v>
      </c>
      <c r="Y153">
        <v>767.35</v>
      </c>
      <c r="Z153">
        <v>6.68</v>
      </c>
      <c r="AA153">
        <v>1.6</v>
      </c>
      <c r="AB153">
        <v>4.4000000000000004</v>
      </c>
      <c r="AC153">
        <v>64.19</v>
      </c>
      <c r="AD153">
        <v>680</v>
      </c>
      <c r="AE153">
        <v>5900</v>
      </c>
      <c r="AF153">
        <v>82.71</v>
      </c>
      <c r="AG153">
        <v>0.59</v>
      </c>
      <c r="AH153">
        <v>12.26</v>
      </c>
      <c r="AI153">
        <v>48.73</v>
      </c>
      <c r="AJ153">
        <v>60</v>
      </c>
      <c r="AK153">
        <v>9</v>
      </c>
      <c r="AL153">
        <v>9</v>
      </c>
      <c r="AM153">
        <v>0.64</v>
      </c>
      <c r="AN153">
        <v>408</v>
      </c>
      <c r="AO153">
        <v>413.8</v>
      </c>
      <c r="AP153">
        <v>409369.84</v>
      </c>
      <c r="AQ153">
        <v>228373.24</v>
      </c>
      <c r="AR153" t="s">
        <v>1060</v>
      </c>
      <c r="AT153" s="6">
        <f t="shared" si="11"/>
        <v>10.330856164383563</v>
      </c>
    </row>
    <row r="154" spans="1:46" x14ac:dyDescent="0.55000000000000004">
      <c r="A154">
        <v>18.89</v>
      </c>
      <c r="B154">
        <v>28.02</v>
      </c>
      <c r="C154">
        <v>5486.95</v>
      </c>
      <c r="D154">
        <v>7.6</v>
      </c>
      <c r="E154" t="s">
        <v>1311</v>
      </c>
      <c r="F154" t="s">
        <v>1558</v>
      </c>
      <c r="G154" t="s">
        <v>1733</v>
      </c>
      <c r="H154" t="s">
        <v>1914</v>
      </c>
      <c r="I154">
        <v>0</v>
      </c>
      <c r="J154">
        <v>654.28</v>
      </c>
      <c r="K154">
        <f t="shared" si="8"/>
        <v>61.089999999999996</v>
      </c>
      <c r="L154">
        <f t="shared" si="9"/>
        <v>63.61</v>
      </c>
      <c r="M154">
        <f t="shared" si="10"/>
        <v>-2.5200000000000031</v>
      </c>
      <c r="N154">
        <v>7.23</v>
      </c>
      <c r="O154">
        <v>89.01</v>
      </c>
      <c r="P154">
        <v>63</v>
      </c>
      <c r="Q154">
        <v>17.399999999999999</v>
      </c>
      <c r="R154">
        <v>9.1300000000000008</v>
      </c>
      <c r="S154">
        <v>13.03</v>
      </c>
      <c r="T154">
        <v>5.86</v>
      </c>
      <c r="U154">
        <v>8.39</v>
      </c>
      <c r="V154">
        <v>3511.65</v>
      </c>
      <c r="W154">
        <v>1056.28</v>
      </c>
      <c r="X154">
        <v>1348.62</v>
      </c>
      <c r="Y154">
        <v>775.89</v>
      </c>
      <c r="Z154">
        <v>6.24</v>
      </c>
      <c r="AA154">
        <v>1.6</v>
      </c>
      <c r="AB154">
        <v>4.41</v>
      </c>
      <c r="AC154">
        <v>60.88</v>
      </c>
      <c r="AD154">
        <v>680</v>
      </c>
      <c r="AE154">
        <v>5900</v>
      </c>
      <c r="AF154">
        <v>82.39</v>
      </c>
      <c r="AG154">
        <v>0.59</v>
      </c>
      <c r="AH154">
        <v>11.15</v>
      </c>
      <c r="AI154">
        <v>48.15</v>
      </c>
      <c r="AJ154">
        <v>60</v>
      </c>
      <c r="AK154">
        <v>9</v>
      </c>
      <c r="AL154">
        <v>9</v>
      </c>
      <c r="AM154">
        <v>0.65</v>
      </c>
      <c r="AN154">
        <v>408</v>
      </c>
      <c r="AO154">
        <v>413.87</v>
      </c>
      <c r="AP154">
        <v>413859.21</v>
      </c>
      <c r="AQ154">
        <v>167698.18</v>
      </c>
      <c r="AR154" t="s">
        <v>1061</v>
      </c>
      <c r="AT154" s="6">
        <f t="shared" si="11"/>
        <v>14.050287100456623</v>
      </c>
    </row>
    <row r="155" spans="1:46" x14ac:dyDescent="0.55000000000000004">
      <c r="A155">
        <v>18.97</v>
      </c>
      <c r="B155">
        <v>28.14</v>
      </c>
      <c r="C155">
        <v>5496.56</v>
      </c>
      <c r="D155">
        <v>7.6</v>
      </c>
      <c r="E155" t="s">
        <v>1312</v>
      </c>
      <c r="F155" t="s">
        <v>1559</v>
      </c>
      <c r="G155" t="s">
        <v>1696</v>
      </c>
      <c r="H155" t="s">
        <v>1915</v>
      </c>
      <c r="I155">
        <v>0</v>
      </c>
      <c r="J155">
        <v>675.84</v>
      </c>
      <c r="K155">
        <f t="shared" si="8"/>
        <v>62.42</v>
      </c>
      <c r="L155">
        <f t="shared" si="9"/>
        <v>64.849999999999994</v>
      </c>
      <c r="M155">
        <f t="shared" si="10"/>
        <v>-2.4299999999999926</v>
      </c>
      <c r="N155">
        <v>7.24</v>
      </c>
      <c r="O155">
        <v>89</v>
      </c>
      <c r="P155">
        <v>66</v>
      </c>
      <c r="Q155">
        <v>16.8</v>
      </c>
      <c r="R155">
        <v>9.17</v>
      </c>
      <c r="S155">
        <v>12.83</v>
      </c>
      <c r="T155">
        <v>6.14</v>
      </c>
      <c r="U155">
        <v>8.1300000000000008</v>
      </c>
      <c r="V155">
        <v>3517.8</v>
      </c>
      <c r="W155">
        <v>1056.49</v>
      </c>
      <c r="X155">
        <v>1334.68</v>
      </c>
      <c r="Y155">
        <v>772.96</v>
      </c>
      <c r="Z155">
        <v>6.26</v>
      </c>
      <c r="AA155">
        <v>1.59</v>
      </c>
      <c r="AB155">
        <v>4.42</v>
      </c>
      <c r="AC155">
        <v>59.91</v>
      </c>
      <c r="AD155">
        <v>680</v>
      </c>
      <c r="AE155">
        <v>5900</v>
      </c>
      <c r="AF155">
        <v>82.8</v>
      </c>
      <c r="AG155">
        <v>0.59</v>
      </c>
      <c r="AH155">
        <v>11.61</v>
      </c>
      <c r="AI155">
        <v>47.23</v>
      </c>
      <c r="AJ155">
        <v>60</v>
      </c>
      <c r="AK155">
        <v>9</v>
      </c>
      <c r="AL155">
        <v>9</v>
      </c>
      <c r="AM155">
        <v>0.67</v>
      </c>
      <c r="AN155">
        <v>408</v>
      </c>
      <c r="AO155">
        <v>413.99</v>
      </c>
      <c r="AP155">
        <v>417635.25</v>
      </c>
      <c r="AQ155">
        <v>175174.81</v>
      </c>
      <c r="AR155" t="s">
        <v>1062</v>
      </c>
      <c r="AT155" s="6">
        <f t="shared" si="11"/>
        <v>13.839066210045662</v>
      </c>
    </row>
    <row r="156" spans="1:46" x14ac:dyDescent="0.55000000000000004">
      <c r="A156">
        <v>19.190000000000001</v>
      </c>
      <c r="B156">
        <v>28.31</v>
      </c>
      <c r="C156">
        <v>5481.6</v>
      </c>
      <c r="D156">
        <v>7.6</v>
      </c>
      <c r="E156" t="s">
        <v>1313</v>
      </c>
      <c r="F156" t="s">
        <v>1560</v>
      </c>
      <c r="G156" t="s">
        <v>1734</v>
      </c>
      <c r="H156" t="s">
        <v>1916</v>
      </c>
      <c r="I156">
        <v>0</v>
      </c>
      <c r="J156">
        <v>658.95</v>
      </c>
      <c r="K156">
        <f t="shared" si="8"/>
        <v>60.7</v>
      </c>
      <c r="L156">
        <f t="shared" si="9"/>
        <v>63.6</v>
      </c>
      <c r="M156">
        <f t="shared" si="10"/>
        <v>-2.8999999999999986</v>
      </c>
      <c r="N156">
        <v>7.23</v>
      </c>
      <c r="O156">
        <v>89</v>
      </c>
      <c r="P156">
        <v>59</v>
      </c>
      <c r="Q156">
        <v>18.100000000000001</v>
      </c>
      <c r="R156">
        <v>9.1199999999999992</v>
      </c>
      <c r="S156">
        <v>13.18</v>
      </c>
      <c r="T156">
        <v>6</v>
      </c>
      <c r="U156">
        <v>8.32</v>
      </c>
      <c r="V156">
        <v>3508.23</v>
      </c>
      <c r="W156">
        <v>1055.06</v>
      </c>
      <c r="X156">
        <v>1344.97</v>
      </c>
      <c r="Y156">
        <v>774.6</v>
      </c>
      <c r="Z156">
        <v>6.2</v>
      </c>
      <c r="AA156">
        <v>1.6</v>
      </c>
      <c r="AB156">
        <v>4.41</v>
      </c>
      <c r="AC156">
        <v>60.31</v>
      </c>
      <c r="AD156">
        <v>680</v>
      </c>
      <c r="AE156">
        <v>5900</v>
      </c>
      <c r="AF156">
        <v>82.35</v>
      </c>
      <c r="AG156">
        <v>0.59</v>
      </c>
      <c r="AH156">
        <v>11.25</v>
      </c>
      <c r="AI156">
        <v>48.16</v>
      </c>
      <c r="AJ156">
        <v>60</v>
      </c>
      <c r="AK156">
        <v>9</v>
      </c>
      <c r="AL156">
        <v>9</v>
      </c>
      <c r="AM156">
        <v>0.65</v>
      </c>
      <c r="AN156">
        <v>408</v>
      </c>
      <c r="AO156">
        <v>413.87</v>
      </c>
      <c r="AP156">
        <v>405827.82</v>
      </c>
      <c r="AQ156">
        <v>168762.17</v>
      </c>
      <c r="AR156" t="s">
        <v>1063</v>
      </c>
      <c r="AT156" s="6">
        <f t="shared" si="11"/>
        <v>13.531144406392693</v>
      </c>
    </row>
    <row r="157" spans="1:46" x14ac:dyDescent="0.55000000000000004">
      <c r="A157">
        <v>19.53</v>
      </c>
      <c r="B157">
        <v>28.68</v>
      </c>
      <c r="C157">
        <v>5512.07</v>
      </c>
      <c r="D157">
        <v>7.6</v>
      </c>
      <c r="E157" t="s">
        <v>1314</v>
      </c>
      <c r="F157" t="s">
        <v>1561</v>
      </c>
      <c r="G157" t="s">
        <v>1735</v>
      </c>
      <c r="H157" t="s">
        <v>1917</v>
      </c>
      <c r="I157">
        <v>0</v>
      </c>
      <c r="J157">
        <v>694.86</v>
      </c>
      <c r="K157">
        <f t="shared" si="8"/>
        <v>63.84</v>
      </c>
      <c r="L157">
        <f t="shared" si="9"/>
        <v>66.83</v>
      </c>
      <c r="M157">
        <f t="shared" si="10"/>
        <v>-2.9899999999999949</v>
      </c>
      <c r="N157">
        <v>7.25</v>
      </c>
      <c r="O157">
        <v>89.03</v>
      </c>
      <c r="P157">
        <v>64</v>
      </c>
      <c r="Q157">
        <v>17.8</v>
      </c>
      <c r="R157">
        <v>9.15</v>
      </c>
      <c r="S157">
        <v>13.51</v>
      </c>
      <c r="T157">
        <v>6.02</v>
      </c>
      <c r="U157">
        <v>7.93</v>
      </c>
      <c r="V157">
        <v>3527.72</v>
      </c>
      <c r="W157">
        <v>1058.51</v>
      </c>
      <c r="X157">
        <v>1327.79</v>
      </c>
      <c r="Y157">
        <v>772.51</v>
      </c>
      <c r="Z157">
        <v>6.21</v>
      </c>
      <c r="AA157">
        <v>1.6</v>
      </c>
      <c r="AB157">
        <v>4.4000000000000004</v>
      </c>
      <c r="AC157">
        <v>60.32</v>
      </c>
      <c r="AD157">
        <v>680</v>
      </c>
      <c r="AE157">
        <v>5900</v>
      </c>
      <c r="AF157">
        <v>82.6</v>
      </c>
      <c r="AG157">
        <v>0.59</v>
      </c>
      <c r="AH157">
        <v>11.91</v>
      </c>
      <c r="AI157">
        <v>45.84</v>
      </c>
      <c r="AJ157">
        <v>60</v>
      </c>
      <c r="AK157">
        <v>9</v>
      </c>
      <c r="AL157">
        <v>9</v>
      </c>
      <c r="AM157">
        <v>0.69</v>
      </c>
      <c r="AN157">
        <v>408</v>
      </c>
      <c r="AO157">
        <v>414.17</v>
      </c>
      <c r="AP157">
        <v>415146.19</v>
      </c>
      <c r="AQ157">
        <v>183769.15</v>
      </c>
      <c r="AR157" t="s">
        <v>1064</v>
      </c>
      <c r="AT157" s="6">
        <f t="shared" si="11"/>
        <v>13.206452054794521</v>
      </c>
    </row>
    <row r="158" spans="1:46" x14ac:dyDescent="0.55000000000000004">
      <c r="A158">
        <v>20.04</v>
      </c>
      <c r="B158">
        <v>29.18</v>
      </c>
      <c r="C158">
        <v>5511.91</v>
      </c>
      <c r="D158">
        <v>7.6</v>
      </c>
      <c r="E158" t="s">
        <v>1315</v>
      </c>
      <c r="F158" t="s">
        <v>1562</v>
      </c>
      <c r="G158" t="s">
        <v>1732</v>
      </c>
      <c r="H158" t="s">
        <v>1918</v>
      </c>
      <c r="I158">
        <v>0</v>
      </c>
      <c r="J158">
        <v>689.09</v>
      </c>
      <c r="K158">
        <f t="shared" si="8"/>
        <v>62.709999999999994</v>
      </c>
      <c r="L158">
        <f t="shared" si="9"/>
        <v>66.2</v>
      </c>
      <c r="M158">
        <f t="shared" si="10"/>
        <v>-3.4900000000000091</v>
      </c>
      <c r="N158">
        <v>7.25</v>
      </c>
      <c r="O158">
        <v>89.03</v>
      </c>
      <c r="P158">
        <v>57</v>
      </c>
      <c r="Q158">
        <v>19.7</v>
      </c>
      <c r="R158">
        <v>9.14</v>
      </c>
      <c r="S158">
        <v>14.36</v>
      </c>
      <c r="T158">
        <v>5.68</v>
      </c>
      <c r="U158">
        <v>8</v>
      </c>
      <c r="V158">
        <v>3527.62</v>
      </c>
      <c r="W158">
        <v>1058.54</v>
      </c>
      <c r="X158">
        <v>1329.29</v>
      </c>
      <c r="Y158">
        <v>772.75</v>
      </c>
      <c r="Z158">
        <v>6.16</v>
      </c>
      <c r="AA158">
        <v>1.61</v>
      </c>
      <c r="AB158">
        <v>4.38</v>
      </c>
      <c r="AC158">
        <v>61.68</v>
      </c>
      <c r="AD158">
        <v>680</v>
      </c>
      <c r="AE158">
        <v>5900</v>
      </c>
      <c r="AF158">
        <v>82.54</v>
      </c>
      <c r="AG158">
        <v>0.59</v>
      </c>
      <c r="AH158">
        <v>11.79</v>
      </c>
      <c r="AI158">
        <v>46.27</v>
      </c>
      <c r="AJ158">
        <v>60</v>
      </c>
      <c r="AK158">
        <v>9</v>
      </c>
      <c r="AL158">
        <v>9</v>
      </c>
      <c r="AM158">
        <v>0.68</v>
      </c>
      <c r="AN158">
        <v>408</v>
      </c>
      <c r="AO158">
        <v>414.11</v>
      </c>
      <c r="AP158">
        <v>406365.96</v>
      </c>
      <c r="AQ158">
        <v>183706.7</v>
      </c>
      <c r="AR158" t="s">
        <v>1065</v>
      </c>
      <c r="AT158" s="6">
        <f t="shared" si="11"/>
        <v>12.70886187214612</v>
      </c>
    </row>
    <row r="159" spans="1:46" x14ac:dyDescent="0.55000000000000004">
      <c r="A159">
        <v>19.09</v>
      </c>
      <c r="B159">
        <v>28.21</v>
      </c>
      <c r="C159">
        <v>5490.24</v>
      </c>
      <c r="D159">
        <v>7.6</v>
      </c>
      <c r="E159" t="s">
        <v>1316</v>
      </c>
      <c r="F159" t="s">
        <v>1563</v>
      </c>
      <c r="G159" t="s">
        <v>1712</v>
      </c>
      <c r="H159" t="s">
        <v>1919</v>
      </c>
      <c r="I159">
        <v>0</v>
      </c>
      <c r="J159">
        <v>660.39</v>
      </c>
      <c r="K159">
        <f t="shared" si="8"/>
        <v>60.89</v>
      </c>
      <c r="L159">
        <f t="shared" si="9"/>
        <v>63.58</v>
      </c>
      <c r="M159">
        <f t="shared" si="10"/>
        <v>-2.6899999999999977</v>
      </c>
      <c r="N159">
        <v>7.22</v>
      </c>
      <c r="O159">
        <v>88.98</v>
      </c>
      <c r="P159">
        <v>60</v>
      </c>
      <c r="Q159">
        <v>17.8</v>
      </c>
      <c r="R159">
        <v>9.1300000000000008</v>
      </c>
      <c r="S159">
        <v>13.03</v>
      </c>
      <c r="T159">
        <v>6.06</v>
      </c>
      <c r="U159">
        <v>8.31</v>
      </c>
      <c r="V159">
        <v>3513.75</v>
      </c>
      <c r="W159">
        <v>1056.02</v>
      </c>
      <c r="X159">
        <v>1341.72</v>
      </c>
      <c r="Y159">
        <v>774.16</v>
      </c>
      <c r="Z159">
        <v>6.22</v>
      </c>
      <c r="AA159">
        <v>1.6</v>
      </c>
      <c r="AB159">
        <v>4.41</v>
      </c>
      <c r="AC159">
        <v>60.11</v>
      </c>
      <c r="AD159">
        <v>680</v>
      </c>
      <c r="AE159">
        <v>5900</v>
      </c>
      <c r="AF159">
        <v>82.38</v>
      </c>
      <c r="AG159">
        <v>0.59</v>
      </c>
      <c r="AH159">
        <v>11.26</v>
      </c>
      <c r="AI159">
        <v>48.18</v>
      </c>
      <c r="AJ159">
        <v>60</v>
      </c>
      <c r="AK159">
        <v>9</v>
      </c>
      <c r="AL159">
        <v>9</v>
      </c>
      <c r="AM159">
        <v>0.65</v>
      </c>
      <c r="AN159">
        <v>408</v>
      </c>
      <c r="AO159">
        <v>413.87</v>
      </c>
      <c r="AP159">
        <v>410463.41</v>
      </c>
      <c r="AQ159">
        <v>171176.16</v>
      </c>
      <c r="AR159" t="s">
        <v>1066</v>
      </c>
      <c r="AT159" s="6">
        <f t="shared" si="11"/>
        <v>13.657948059360729</v>
      </c>
    </row>
    <row r="160" spans="1:46" x14ac:dyDescent="0.55000000000000004">
      <c r="A160">
        <v>20.29</v>
      </c>
      <c r="B160">
        <v>29.44</v>
      </c>
      <c r="C160">
        <v>5506.99</v>
      </c>
      <c r="D160">
        <v>7.6</v>
      </c>
      <c r="E160" t="s">
        <v>1317</v>
      </c>
      <c r="F160" t="s">
        <v>1564</v>
      </c>
      <c r="G160" t="s">
        <v>1695</v>
      </c>
      <c r="H160" t="s">
        <v>1920</v>
      </c>
      <c r="I160">
        <v>0</v>
      </c>
      <c r="J160">
        <v>736.96</v>
      </c>
      <c r="K160">
        <f t="shared" si="8"/>
        <v>66.58</v>
      </c>
      <c r="L160">
        <f t="shared" si="9"/>
        <v>71.05</v>
      </c>
      <c r="M160">
        <f t="shared" si="10"/>
        <v>-4.4699999999999989</v>
      </c>
      <c r="N160">
        <v>7.27</v>
      </c>
      <c r="O160">
        <v>88.97</v>
      </c>
      <c r="P160">
        <v>48</v>
      </c>
      <c r="Q160">
        <v>22</v>
      </c>
      <c r="R160">
        <v>9.15</v>
      </c>
      <c r="S160">
        <v>15.13</v>
      </c>
      <c r="T160">
        <v>5.16</v>
      </c>
      <c r="U160">
        <v>7.47</v>
      </c>
      <c r="V160">
        <v>3524.47</v>
      </c>
      <c r="W160">
        <v>1054.3900000000001</v>
      </c>
      <c r="X160">
        <v>1296.3599999999999</v>
      </c>
      <c r="Y160">
        <v>763.69</v>
      </c>
      <c r="Z160">
        <v>6.09</v>
      </c>
      <c r="AA160">
        <v>1.6</v>
      </c>
      <c r="AB160">
        <v>4.4000000000000004</v>
      </c>
      <c r="AC160">
        <v>63.97</v>
      </c>
      <c r="AD160">
        <v>680</v>
      </c>
      <c r="AE160">
        <v>5900</v>
      </c>
      <c r="AF160">
        <v>82.64</v>
      </c>
      <c r="AG160">
        <v>0.59</v>
      </c>
      <c r="AH160">
        <v>12.77</v>
      </c>
      <c r="AI160">
        <v>43.11</v>
      </c>
      <c r="AJ160">
        <v>60</v>
      </c>
      <c r="AK160">
        <v>9</v>
      </c>
      <c r="AL160">
        <v>9</v>
      </c>
      <c r="AM160">
        <v>0.73</v>
      </c>
      <c r="AN160">
        <v>408</v>
      </c>
      <c r="AO160">
        <v>414.56</v>
      </c>
      <c r="AP160">
        <v>409434</v>
      </c>
      <c r="AQ160">
        <v>209730.45</v>
      </c>
      <c r="AR160" t="s">
        <v>1067</v>
      </c>
      <c r="AT160" s="6">
        <f t="shared" si="11"/>
        <v>11.398604452054794</v>
      </c>
    </row>
    <row r="161" spans="1:46" x14ac:dyDescent="0.55000000000000004">
      <c r="A161">
        <v>19.89</v>
      </c>
      <c r="B161">
        <v>29.04</v>
      </c>
      <c r="C161">
        <v>5513.39</v>
      </c>
      <c r="D161">
        <v>7.6</v>
      </c>
      <c r="E161" t="s">
        <v>1318</v>
      </c>
      <c r="F161" t="s">
        <v>1565</v>
      </c>
      <c r="G161" t="s">
        <v>1720</v>
      </c>
      <c r="H161" t="s">
        <v>1921</v>
      </c>
      <c r="I161">
        <v>0</v>
      </c>
      <c r="J161">
        <v>686.97</v>
      </c>
      <c r="K161">
        <f t="shared" si="8"/>
        <v>62.78</v>
      </c>
      <c r="L161">
        <f t="shared" si="9"/>
        <v>66.039999999999992</v>
      </c>
      <c r="M161">
        <f t="shared" si="10"/>
        <v>-3.2599999999999909</v>
      </c>
      <c r="N161">
        <v>7.24</v>
      </c>
      <c r="O161">
        <v>89</v>
      </c>
      <c r="P161">
        <v>59</v>
      </c>
      <c r="Q161">
        <v>19.100000000000001</v>
      </c>
      <c r="R161">
        <v>9.16</v>
      </c>
      <c r="S161">
        <v>14.08</v>
      </c>
      <c r="T161">
        <v>5.81</v>
      </c>
      <c r="U161">
        <v>8.0299999999999994</v>
      </c>
      <c r="V161">
        <v>3528.57</v>
      </c>
      <c r="W161">
        <v>1058.9100000000001</v>
      </c>
      <c r="X161">
        <v>1330.69</v>
      </c>
      <c r="Y161">
        <v>773.2</v>
      </c>
      <c r="Z161">
        <v>6.18</v>
      </c>
      <c r="AA161">
        <v>1.61</v>
      </c>
      <c r="AB161">
        <v>4.38</v>
      </c>
      <c r="AC161">
        <v>61.18</v>
      </c>
      <c r="AD161">
        <v>680</v>
      </c>
      <c r="AE161">
        <v>5900</v>
      </c>
      <c r="AF161">
        <v>82.66</v>
      </c>
      <c r="AG161">
        <v>0.59</v>
      </c>
      <c r="AH161">
        <v>11.77</v>
      </c>
      <c r="AI161">
        <v>46.38</v>
      </c>
      <c r="AJ161">
        <v>60</v>
      </c>
      <c r="AK161">
        <v>9</v>
      </c>
      <c r="AL161">
        <v>9</v>
      </c>
      <c r="AM161">
        <v>0.68</v>
      </c>
      <c r="AN161">
        <v>408</v>
      </c>
      <c r="AO161">
        <v>414.1</v>
      </c>
      <c r="AP161">
        <v>409648.95</v>
      </c>
      <c r="AQ161">
        <v>182627.5</v>
      </c>
      <c r="AR161" t="s">
        <v>1068</v>
      </c>
      <c r="AT161" s="6">
        <f t="shared" si="11"/>
        <v>12.957845319634703</v>
      </c>
    </row>
    <row r="162" spans="1:46" x14ac:dyDescent="0.55000000000000004">
      <c r="A162">
        <v>19.350000000000001</v>
      </c>
      <c r="B162">
        <v>28.44</v>
      </c>
      <c r="C162">
        <v>5509.73</v>
      </c>
      <c r="D162">
        <v>7.59</v>
      </c>
      <c r="E162" t="s">
        <v>1319</v>
      </c>
      <c r="F162" t="s">
        <v>1566</v>
      </c>
      <c r="G162" t="s">
        <v>1734</v>
      </c>
      <c r="H162" t="s">
        <v>1922</v>
      </c>
      <c r="I162">
        <v>0</v>
      </c>
      <c r="J162">
        <v>639.9</v>
      </c>
      <c r="K162">
        <f t="shared" si="8"/>
        <v>59.959999999999994</v>
      </c>
      <c r="L162">
        <f t="shared" si="9"/>
        <v>65.09</v>
      </c>
      <c r="M162">
        <f t="shared" si="10"/>
        <v>-5.1300000000000097</v>
      </c>
      <c r="N162">
        <v>7.21</v>
      </c>
      <c r="O162">
        <v>89</v>
      </c>
      <c r="P162">
        <v>43</v>
      </c>
      <c r="Q162">
        <v>20.7</v>
      </c>
      <c r="R162">
        <v>9.09</v>
      </c>
      <c r="S162">
        <v>13.32</v>
      </c>
      <c r="T162">
        <v>6.03</v>
      </c>
      <c r="U162">
        <v>8.61</v>
      </c>
      <c r="V162">
        <v>3526.23</v>
      </c>
      <c r="W162">
        <v>1061.52</v>
      </c>
      <c r="X162">
        <v>1363.57</v>
      </c>
      <c r="Y162">
        <v>781.45</v>
      </c>
      <c r="Z162">
        <v>6.91</v>
      </c>
      <c r="AA162">
        <v>1.6</v>
      </c>
      <c r="AB162">
        <v>4.3899999999999997</v>
      </c>
      <c r="AC162">
        <v>60.11</v>
      </c>
      <c r="AD162">
        <v>680</v>
      </c>
      <c r="AE162">
        <v>5900</v>
      </c>
      <c r="AF162">
        <v>82.06</v>
      </c>
      <c r="AG162">
        <v>0.59</v>
      </c>
      <c r="AH162">
        <v>10.78</v>
      </c>
      <c r="AI162">
        <v>54.3</v>
      </c>
      <c r="AJ162">
        <v>60</v>
      </c>
      <c r="AK162">
        <v>9</v>
      </c>
      <c r="AL162">
        <v>9</v>
      </c>
      <c r="AM162">
        <v>0.57999999999999996</v>
      </c>
      <c r="AN162">
        <v>408</v>
      </c>
      <c r="AO162">
        <v>413.21</v>
      </c>
      <c r="AP162">
        <v>374835</v>
      </c>
      <c r="AQ162">
        <v>240630.77</v>
      </c>
      <c r="AR162" t="s">
        <v>1069</v>
      </c>
      <c r="AT162" s="6">
        <f t="shared" si="11"/>
        <v>7.6600587899543386</v>
      </c>
    </row>
    <row r="163" spans="1:46" x14ac:dyDescent="0.55000000000000004">
      <c r="A163">
        <v>18.79</v>
      </c>
      <c r="B163">
        <v>27.88</v>
      </c>
      <c r="C163">
        <v>5463.7</v>
      </c>
      <c r="D163">
        <v>7.6</v>
      </c>
      <c r="E163" t="s">
        <v>1320</v>
      </c>
      <c r="F163" t="s">
        <v>1567</v>
      </c>
      <c r="G163" t="s">
        <v>1736</v>
      </c>
      <c r="H163" t="s">
        <v>1923</v>
      </c>
      <c r="I163">
        <v>0</v>
      </c>
      <c r="J163">
        <v>592.72</v>
      </c>
      <c r="K163">
        <f t="shared" si="8"/>
        <v>56.57</v>
      </c>
      <c r="L163">
        <f t="shared" si="9"/>
        <v>64.150000000000006</v>
      </c>
      <c r="M163">
        <f t="shared" si="10"/>
        <v>-7.5800000000000054</v>
      </c>
      <c r="N163">
        <v>7.18</v>
      </c>
      <c r="O163">
        <v>89.06</v>
      </c>
      <c r="P163">
        <v>49</v>
      </c>
      <c r="Q163">
        <v>18.600000000000001</v>
      </c>
      <c r="R163">
        <v>9.09</v>
      </c>
      <c r="S163">
        <v>12.37</v>
      </c>
      <c r="T163">
        <v>6.42</v>
      </c>
      <c r="U163">
        <v>9.2200000000000006</v>
      </c>
      <c r="V163">
        <v>3496.77</v>
      </c>
      <c r="W163">
        <v>1056.3499999999999</v>
      </c>
      <c r="X163">
        <v>1390.16</v>
      </c>
      <c r="Y163">
        <v>784.72</v>
      </c>
      <c r="Z163">
        <v>5.73</v>
      </c>
      <c r="AA163">
        <v>1.6</v>
      </c>
      <c r="AB163">
        <v>4.3899999999999997</v>
      </c>
      <c r="AC163">
        <v>58.58</v>
      </c>
      <c r="AD163">
        <v>680</v>
      </c>
      <c r="AE163">
        <v>5900</v>
      </c>
      <c r="AF163">
        <v>82.01</v>
      </c>
      <c r="AG163">
        <v>0.59</v>
      </c>
      <c r="AH163">
        <v>9.98</v>
      </c>
      <c r="AI163">
        <v>47.75</v>
      </c>
      <c r="AJ163">
        <v>60</v>
      </c>
      <c r="AK163">
        <v>9</v>
      </c>
      <c r="AL163">
        <v>9</v>
      </c>
      <c r="AM163">
        <v>0.66</v>
      </c>
      <c r="AN163">
        <v>408</v>
      </c>
      <c r="AO163">
        <v>413.92</v>
      </c>
      <c r="AP163">
        <v>357365.57</v>
      </c>
      <c r="AQ163">
        <v>172716.65</v>
      </c>
      <c r="AR163" t="s">
        <v>1070</v>
      </c>
      <c r="AT163" s="6">
        <f t="shared" si="11"/>
        <v>10.53932191780822</v>
      </c>
    </row>
    <row r="164" spans="1:46" x14ac:dyDescent="0.55000000000000004">
      <c r="A164">
        <v>17.89</v>
      </c>
      <c r="B164">
        <v>27.04</v>
      </c>
      <c r="C164">
        <v>5502.87</v>
      </c>
      <c r="D164">
        <v>7.6</v>
      </c>
      <c r="E164" t="s">
        <v>1321</v>
      </c>
      <c r="F164" t="s">
        <v>1568</v>
      </c>
      <c r="G164" t="s">
        <v>1687</v>
      </c>
      <c r="H164" t="s">
        <v>1924</v>
      </c>
      <c r="I164">
        <v>0</v>
      </c>
      <c r="J164">
        <v>564.61</v>
      </c>
      <c r="K164">
        <f t="shared" si="8"/>
        <v>55.45</v>
      </c>
      <c r="L164">
        <f t="shared" si="9"/>
        <v>63.089999999999996</v>
      </c>
      <c r="M164">
        <f t="shared" si="10"/>
        <v>-7.6399999999999935</v>
      </c>
      <c r="N164">
        <v>7.16</v>
      </c>
      <c r="O164">
        <v>89</v>
      </c>
      <c r="P164">
        <v>54</v>
      </c>
      <c r="Q164">
        <v>16.5</v>
      </c>
      <c r="R164">
        <v>9.14</v>
      </c>
      <c r="S164">
        <v>11.16</v>
      </c>
      <c r="T164">
        <v>6.73</v>
      </c>
      <c r="U164">
        <v>9.75</v>
      </c>
      <c r="V164">
        <v>3521.84</v>
      </c>
      <c r="W164">
        <v>1066.27</v>
      </c>
      <c r="X164">
        <v>1424.78</v>
      </c>
      <c r="Y164">
        <v>796.64</v>
      </c>
      <c r="Z164">
        <v>5.71</v>
      </c>
      <c r="AA164">
        <v>1.6</v>
      </c>
      <c r="AB164">
        <v>4.4000000000000004</v>
      </c>
      <c r="AC164">
        <v>57.62</v>
      </c>
      <c r="AD164">
        <v>680</v>
      </c>
      <c r="AE164">
        <v>5900</v>
      </c>
      <c r="AF164">
        <v>82.55</v>
      </c>
      <c r="AG164">
        <v>0.59</v>
      </c>
      <c r="AH164">
        <v>9.44</v>
      </c>
      <c r="AI164">
        <v>48.55</v>
      </c>
      <c r="AJ164">
        <v>60</v>
      </c>
      <c r="AK164">
        <v>9</v>
      </c>
      <c r="AL164">
        <v>9</v>
      </c>
      <c r="AM164">
        <v>0.65</v>
      </c>
      <c r="AN164">
        <v>408</v>
      </c>
      <c r="AO164">
        <v>413.82</v>
      </c>
      <c r="AP164">
        <v>357163.11</v>
      </c>
      <c r="AQ164">
        <v>166701.57999999999</v>
      </c>
      <c r="AR164" t="s">
        <v>1071</v>
      </c>
      <c r="AT164" s="6">
        <f t="shared" si="11"/>
        <v>10.87109189497717</v>
      </c>
    </row>
    <row r="165" spans="1:46" x14ac:dyDescent="0.55000000000000004">
      <c r="A165">
        <v>18.079999999999998</v>
      </c>
      <c r="B165">
        <v>27.21</v>
      </c>
      <c r="C165">
        <v>5518.2</v>
      </c>
      <c r="D165">
        <v>7.61</v>
      </c>
      <c r="E165" t="s">
        <v>1322</v>
      </c>
      <c r="F165" t="s">
        <v>1569</v>
      </c>
      <c r="G165" t="s">
        <v>1721</v>
      </c>
      <c r="H165" t="s">
        <v>1925</v>
      </c>
      <c r="I165">
        <v>0</v>
      </c>
      <c r="J165">
        <v>598.5</v>
      </c>
      <c r="K165">
        <f t="shared" si="8"/>
        <v>56.29</v>
      </c>
      <c r="L165">
        <f t="shared" si="9"/>
        <v>61.28</v>
      </c>
      <c r="M165">
        <f t="shared" si="10"/>
        <v>-4.990000000000002</v>
      </c>
      <c r="N165">
        <v>7.19</v>
      </c>
      <c r="O165">
        <v>88.98</v>
      </c>
      <c r="P165">
        <v>49</v>
      </c>
      <c r="Q165">
        <v>18.2</v>
      </c>
      <c r="R165">
        <v>9.1300000000000008</v>
      </c>
      <c r="S165">
        <v>12.03</v>
      </c>
      <c r="T165">
        <v>6.05</v>
      </c>
      <c r="U165">
        <v>9.2200000000000006</v>
      </c>
      <c r="V165">
        <v>3531.65</v>
      </c>
      <c r="W165">
        <v>1066.24</v>
      </c>
      <c r="X165">
        <v>1397.89</v>
      </c>
      <c r="Y165">
        <v>790.9</v>
      </c>
      <c r="Z165">
        <v>7.35</v>
      </c>
      <c r="AA165">
        <v>1.6</v>
      </c>
      <c r="AB165">
        <v>4.4000000000000004</v>
      </c>
      <c r="AC165">
        <v>60.13</v>
      </c>
      <c r="AD165">
        <v>680</v>
      </c>
      <c r="AE165">
        <v>5900</v>
      </c>
      <c r="AF165">
        <v>82.42</v>
      </c>
      <c r="AG165">
        <v>0.59</v>
      </c>
      <c r="AH165">
        <v>10.029999999999999</v>
      </c>
      <c r="AI165">
        <v>61.52</v>
      </c>
      <c r="AJ165">
        <v>60</v>
      </c>
      <c r="AK165">
        <v>9</v>
      </c>
      <c r="AL165">
        <v>9</v>
      </c>
      <c r="AM165">
        <v>0.51</v>
      </c>
      <c r="AN165">
        <v>408</v>
      </c>
      <c r="AO165">
        <v>412.6</v>
      </c>
      <c r="AP165">
        <v>358265.08</v>
      </c>
      <c r="AQ165">
        <v>245698.33</v>
      </c>
      <c r="AR165" t="s">
        <v>1072</v>
      </c>
      <c r="AT165" s="6">
        <f t="shared" si="11"/>
        <v>6.4250428082191799</v>
      </c>
    </row>
    <row r="166" spans="1:46" x14ac:dyDescent="0.55000000000000004">
      <c r="A166">
        <v>18.010000000000002</v>
      </c>
      <c r="B166">
        <v>27.2</v>
      </c>
      <c r="C166">
        <v>5484.96</v>
      </c>
      <c r="D166">
        <v>7.6</v>
      </c>
      <c r="E166" t="s">
        <v>1323</v>
      </c>
      <c r="F166" t="s">
        <v>1570</v>
      </c>
      <c r="G166" t="s">
        <v>1709</v>
      </c>
      <c r="H166" t="s">
        <v>1926</v>
      </c>
      <c r="I166">
        <v>0</v>
      </c>
      <c r="J166">
        <v>596.91999999999996</v>
      </c>
      <c r="K166">
        <f t="shared" si="8"/>
        <v>56.599999999999994</v>
      </c>
      <c r="L166">
        <f t="shared" si="9"/>
        <v>64.53</v>
      </c>
      <c r="M166">
        <f t="shared" si="10"/>
        <v>-7.9300000000000068</v>
      </c>
      <c r="N166">
        <v>7.19</v>
      </c>
      <c r="O166">
        <v>88.97</v>
      </c>
      <c r="P166">
        <v>54</v>
      </c>
      <c r="Q166">
        <v>16.600000000000001</v>
      </c>
      <c r="R166">
        <v>9.19</v>
      </c>
      <c r="S166">
        <v>11.25</v>
      </c>
      <c r="T166">
        <v>6.76</v>
      </c>
      <c r="U166">
        <v>9.19</v>
      </c>
      <c r="V166">
        <v>3510.37</v>
      </c>
      <c r="W166">
        <v>1060.29</v>
      </c>
      <c r="X166">
        <v>1393.29</v>
      </c>
      <c r="Y166">
        <v>787.28</v>
      </c>
      <c r="Z166">
        <v>5.7</v>
      </c>
      <c r="AA166">
        <v>1.59</v>
      </c>
      <c r="AB166">
        <v>4.42</v>
      </c>
      <c r="AC166">
        <v>57.61</v>
      </c>
      <c r="AD166">
        <v>680</v>
      </c>
      <c r="AE166">
        <v>5900</v>
      </c>
      <c r="AF166">
        <v>82.96</v>
      </c>
      <c r="AG166">
        <v>0.59</v>
      </c>
      <c r="AH166">
        <v>10.130000000000001</v>
      </c>
      <c r="AI166">
        <v>47.47</v>
      </c>
      <c r="AJ166">
        <v>60</v>
      </c>
      <c r="AK166">
        <v>9</v>
      </c>
      <c r="AL166">
        <v>9</v>
      </c>
      <c r="AM166">
        <v>0.66</v>
      </c>
      <c r="AN166">
        <v>408</v>
      </c>
      <c r="AO166">
        <v>413.96</v>
      </c>
      <c r="AP166">
        <v>352644.07</v>
      </c>
      <c r="AQ166">
        <v>174517.17</v>
      </c>
      <c r="AR166" t="s">
        <v>1073</v>
      </c>
      <c r="AT166" s="6">
        <f t="shared" si="11"/>
        <v>10.167060502283105</v>
      </c>
    </row>
    <row r="167" spans="1:46" x14ac:dyDescent="0.55000000000000004">
      <c r="A167">
        <v>19.559999999999999</v>
      </c>
      <c r="B167">
        <v>28.7</v>
      </c>
      <c r="C167">
        <v>5504.43</v>
      </c>
      <c r="D167">
        <v>7.61</v>
      </c>
      <c r="E167" t="s">
        <v>1324</v>
      </c>
      <c r="F167" t="s">
        <v>1571</v>
      </c>
      <c r="G167" t="s">
        <v>1732</v>
      </c>
      <c r="H167" t="s">
        <v>1927</v>
      </c>
      <c r="I167">
        <v>0</v>
      </c>
      <c r="J167">
        <v>665.24</v>
      </c>
      <c r="K167">
        <f t="shared" si="8"/>
        <v>61.320000000000007</v>
      </c>
      <c r="L167">
        <f t="shared" si="9"/>
        <v>64.460000000000008</v>
      </c>
      <c r="M167">
        <f t="shared" si="10"/>
        <v>-3.1400000000000006</v>
      </c>
      <c r="N167">
        <v>7.23</v>
      </c>
      <c r="O167">
        <v>88.97</v>
      </c>
      <c r="P167">
        <v>42</v>
      </c>
      <c r="Q167">
        <v>21.2</v>
      </c>
      <c r="R167">
        <v>9.14</v>
      </c>
      <c r="S167">
        <v>13.59</v>
      </c>
      <c r="T167">
        <v>5.96</v>
      </c>
      <c r="U167">
        <v>8.27</v>
      </c>
      <c r="V167">
        <v>3522.84</v>
      </c>
      <c r="W167">
        <v>1058.52</v>
      </c>
      <c r="X167">
        <v>1342.49</v>
      </c>
      <c r="Y167">
        <v>775.51</v>
      </c>
      <c r="Z167">
        <v>9.0399999999999991</v>
      </c>
      <c r="AA167">
        <v>1.61</v>
      </c>
      <c r="AB167">
        <v>4.3899999999999997</v>
      </c>
      <c r="AC167">
        <v>60.51</v>
      </c>
      <c r="AD167">
        <v>680</v>
      </c>
      <c r="AE167">
        <v>5900</v>
      </c>
      <c r="AF167">
        <v>82.52</v>
      </c>
      <c r="AG167">
        <v>0.59</v>
      </c>
      <c r="AH167">
        <v>11.34</v>
      </c>
      <c r="AI167">
        <v>69.44</v>
      </c>
      <c r="AJ167">
        <v>60</v>
      </c>
      <c r="AK167">
        <v>9</v>
      </c>
      <c r="AL167">
        <v>9</v>
      </c>
      <c r="AM167">
        <v>0.45</v>
      </c>
      <c r="AN167">
        <v>408</v>
      </c>
      <c r="AO167">
        <v>412.07</v>
      </c>
      <c r="AP167">
        <v>375984.01</v>
      </c>
      <c r="AQ167">
        <v>325845.86</v>
      </c>
      <c r="AR167" t="s">
        <v>1074</v>
      </c>
      <c r="AT167" s="6">
        <f t="shared" si="11"/>
        <v>2.8617665525114169</v>
      </c>
    </row>
    <row r="168" spans="1:46" x14ac:dyDescent="0.55000000000000004">
      <c r="A168">
        <v>18.579999999999998</v>
      </c>
      <c r="B168">
        <v>27.68</v>
      </c>
      <c r="C168">
        <v>5458.34</v>
      </c>
      <c r="D168">
        <v>7.6</v>
      </c>
      <c r="E168" t="s">
        <v>1325</v>
      </c>
      <c r="F168" t="s">
        <v>1572</v>
      </c>
      <c r="G168" t="s">
        <v>1723</v>
      </c>
      <c r="H168" t="s">
        <v>1928</v>
      </c>
      <c r="I168">
        <v>0</v>
      </c>
      <c r="J168">
        <v>630.85</v>
      </c>
      <c r="K168">
        <f t="shared" si="8"/>
        <v>58.82</v>
      </c>
      <c r="L168">
        <f t="shared" si="9"/>
        <v>66.13</v>
      </c>
      <c r="M168">
        <f t="shared" si="10"/>
        <v>-7.3099999999999952</v>
      </c>
      <c r="N168">
        <v>7.21</v>
      </c>
      <c r="O168">
        <v>88.96</v>
      </c>
      <c r="P168">
        <v>51</v>
      </c>
      <c r="Q168">
        <v>18.2</v>
      </c>
      <c r="R168">
        <v>9.1</v>
      </c>
      <c r="S168">
        <v>12.28</v>
      </c>
      <c r="T168">
        <v>6.3</v>
      </c>
      <c r="U168">
        <v>8.65</v>
      </c>
      <c r="V168">
        <v>3493.34</v>
      </c>
      <c r="W168">
        <v>1052.42</v>
      </c>
      <c r="X168">
        <v>1358.7</v>
      </c>
      <c r="Y168">
        <v>776.25</v>
      </c>
      <c r="Z168">
        <v>5.78</v>
      </c>
      <c r="AA168">
        <v>1.59</v>
      </c>
      <c r="AB168">
        <v>4.42</v>
      </c>
      <c r="AC168">
        <v>59.07</v>
      </c>
      <c r="AD168">
        <v>680</v>
      </c>
      <c r="AE168">
        <v>5900</v>
      </c>
      <c r="AF168">
        <v>82.14</v>
      </c>
      <c r="AG168">
        <v>0.59</v>
      </c>
      <c r="AH168">
        <v>10.73</v>
      </c>
      <c r="AI168">
        <v>46.33</v>
      </c>
      <c r="AJ168">
        <v>60</v>
      </c>
      <c r="AK168">
        <v>9</v>
      </c>
      <c r="AL168">
        <v>9</v>
      </c>
      <c r="AM168">
        <v>0.68</v>
      </c>
      <c r="AN168">
        <v>408</v>
      </c>
      <c r="AO168">
        <v>414.1</v>
      </c>
      <c r="AP168">
        <v>363861</v>
      </c>
      <c r="AQ168">
        <v>182300.64</v>
      </c>
      <c r="AR168" t="s">
        <v>1075</v>
      </c>
      <c r="AT168" s="6">
        <f t="shared" si="11"/>
        <v>10.363034246575342</v>
      </c>
    </row>
    <row r="169" spans="1:46" x14ac:dyDescent="0.55000000000000004">
      <c r="A169">
        <v>17.739999999999998</v>
      </c>
      <c r="B169">
        <v>26.91</v>
      </c>
      <c r="C169">
        <v>5506.78</v>
      </c>
      <c r="D169">
        <v>7.6</v>
      </c>
      <c r="E169" t="s">
        <v>1326</v>
      </c>
      <c r="F169" t="s">
        <v>1573</v>
      </c>
      <c r="G169" t="s">
        <v>1705</v>
      </c>
      <c r="H169" t="s">
        <v>1929</v>
      </c>
      <c r="I169">
        <v>0</v>
      </c>
      <c r="J169">
        <v>582.21</v>
      </c>
      <c r="K169">
        <f t="shared" si="8"/>
        <v>55.5</v>
      </c>
      <c r="L169">
        <f t="shared" si="9"/>
        <v>63.09</v>
      </c>
      <c r="M169">
        <f t="shared" si="10"/>
        <v>-7.5900000000000034</v>
      </c>
      <c r="N169">
        <v>7.18</v>
      </c>
      <c r="O169">
        <v>88.97</v>
      </c>
      <c r="P169">
        <v>52</v>
      </c>
      <c r="Q169">
        <v>16.7</v>
      </c>
      <c r="R169">
        <v>9.17</v>
      </c>
      <c r="S169">
        <v>11.1</v>
      </c>
      <c r="T169">
        <v>6.64</v>
      </c>
      <c r="U169">
        <v>9.4600000000000009</v>
      </c>
      <c r="V169">
        <v>3524.34</v>
      </c>
      <c r="W169">
        <v>1065.55</v>
      </c>
      <c r="X169">
        <v>1410.23</v>
      </c>
      <c r="Y169">
        <v>793.25</v>
      </c>
      <c r="Z169">
        <v>5.72</v>
      </c>
      <c r="AA169">
        <v>1.59</v>
      </c>
      <c r="AB169">
        <v>4.41</v>
      </c>
      <c r="AC169">
        <v>58</v>
      </c>
      <c r="AD169">
        <v>680</v>
      </c>
      <c r="AE169">
        <v>5900</v>
      </c>
      <c r="AF169">
        <v>82.78</v>
      </c>
      <c r="AG169">
        <v>0.59</v>
      </c>
      <c r="AH169">
        <v>9.7899999999999991</v>
      </c>
      <c r="AI169">
        <v>48.55</v>
      </c>
      <c r="AJ169">
        <v>60</v>
      </c>
      <c r="AK169">
        <v>9</v>
      </c>
      <c r="AL169">
        <v>9</v>
      </c>
      <c r="AM169">
        <v>0.65</v>
      </c>
      <c r="AN169">
        <v>408</v>
      </c>
      <c r="AO169">
        <v>413.82</v>
      </c>
      <c r="AP169">
        <v>352383.94</v>
      </c>
      <c r="AQ169">
        <v>168791.98</v>
      </c>
      <c r="AR169" t="s">
        <v>1076</v>
      </c>
      <c r="AT169" s="6">
        <f t="shared" si="11"/>
        <v>10.47899315068493</v>
      </c>
    </row>
    <row r="170" spans="1:46" x14ac:dyDescent="0.55000000000000004">
      <c r="A170">
        <v>18.190000000000001</v>
      </c>
      <c r="B170">
        <v>27.35</v>
      </c>
      <c r="C170">
        <v>5474.7</v>
      </c>
      <c r="D170">
        <v>7.6</v>
      </c>
      <c r="E170" t="s">
        <v>1327</v>
      </c>
      <c r="F170" t="s">
        <v>1574</v>
      </c>
      <c r="G170" t="s">
        <v>1718</v>
      </c>
      <c r="H170" t="s">
        <v>1930</v>
      </c>
      <c r="I170">
        <v>0</v>
      </c>
      <c r="J170">
        <v>576.42999999999995</v>
      </c>
      <c r="K170">
        <f t="shared" si="8"/>
        <v>55.759999999999991</v>
      </c>
      <c r="L170">
        <f t="shared" si="9"/>
        <v>63.540000000000006</v>
      </c>
      <c r="M170">
        <f t="shared" si="10"/>
        <v>-7.7800000000000153</v>
      </c>
      <c r="N170">
        <v>7.17</v>
      </c>
      <c r="O170">
        <v>89.01</v>
      </c>
      <c r="P170">
        <v>54</v>
      </c>
      <c r="Q170">
        <v>16.7</v>
      </c>
      <c r="R170">
        <v>9.16</v>
      </c>
      <c r="S170">
        <v>11.34</v>
      </c>
      <c r="T170">
        <v>6.85</v>
      </c>
      <c r="U170">
        <v>9.5</v>
      </c>
      <c r="V170">
        <v>3503.81</v>
      </c>
      <c r="W170">
        <v>1059.48</v>
      </c>
      <c r="X170">
        <v>1404.56</v>
      </c>
      <c r="Y170">
        <v>789.11</v>
      </c>
      <c r="Z170">
        <v>5.7</v>
      </c>
      <c r="AA170">
        <v>1.6</v>
      </c>
      <c r="AB170">
        <v>4.4000000000000004</v>
      </c>
      <c r="AC170">
        <v>57.19</v>
      </c>
      <c r="AD170">
        <v>680</v>
      </c>
      <c r="AE170">
        <v>5900</v>
      </c>
      <c r="AF170">
        <v>82.65</v>
      </c>
      <c r="AG170">
        <v>0.59</v>
      </c>
      <c r="AH170">
        <v>9.73</v>
      </c>
      <c r="AI170">
        <v>48.21</v>
      </c>
      <c r="AJ170">
        <v>60</v>
      </c>
      <c r="AK170">
        <v>9</v>
      </c>
      <c r="AL170">
        <v>9</v>
      </c>
      <c r="AM170">
        <v>0.65</v>
      </c>
      <c r="AN170">
        <v>408</v>
      </c>
      <c r="AO170">
        <v>413.87</v>
      </c>
      <c r="AP170">
        <v>355624.59</v>
      </c>
      <c r="AQ170">
        <v>170797.21</v>
      </c>
      <c r="AR170" t="s">
        <v>1077</v>
      </c>
      <c r="AT170" s="6">
        <f t="shared" si="11"/>
        <v>10.549507990867582</v>
      </c>
    </row>
    <row r="171" spans="1:46" x14ac:dyDescent="0.55000000000000004">
      <c r="A171">
        <v>18.989999999999998</v>
      </c>
      <c r="B171">
        <v>28.05</v>
      </c>
      <c r="C171">
        <v>5518.3</v>
      </c>
      <c r="D171">
        <v>7.61</v>
      </c>
      <c r="E171" t="s">
        <v>1328</v>
      </c>
      <c r="F171" t="s">
        <v>1575</v>
      </c>
      <c r="G171" t="s">
        <v>1712</v>
      </c>
      <c r="H171" t="s">
        <v>1931</v>
      </c>
      <c r="I171">
        <v>0</v>
      </c>
      <c r="J171">
        <v>638.48</v>
      </c>
      <c r="K171">
        <f t="shared" si="8"/>
        <v>59.54</v>
      </c>
      <c r="L171">
        <f t="shared" si="9"/>
        <v>66.419999999999987</v>
      </c>
      <c r="M171">
        <f t="shared" si="10"/>
        <v>-6.8799999999999883</v>
      </c>
      <c r="N171">
        <v>7.21</v>
      </c>
      <c r="O171">
        <v>88.94</v>
      </c>
      <c r="P171">
        <v>44</v>
      </c>
      <c r="Q171">
        <v>20.100000000000001</v>
      </c>
      <c r="R171">
        <v>9.06</v>
      </c>
      <c r="S171">
        <v>12.97</v>
      </c>
      <c r="T171">
        <v>6.02</v>
      </c>
      <c r="U171">
        <v>8.64</v>
      </c>
      <c r="V171">
        <v>3531.72</v>
      </c>
      <c r="W171">
        <v>1062.9000000000001</v>
      </c>
      <c r="X171">
        <v>1364.02</v>
      </c>
      <c r="Y171">
        <v>782.07</v>
      </c>
      <c r="Z171">
        <v>5.83</v>
      </c>
      <c r="AA171">
        <v>1.61</v>
      </c>
      <c r="AB171">
        <v>4.3899999999999997</v>
      </c>
      <c r="AC171">
        <v>60.09</v>
      </c>
      <c r="AD171">
        <v>680</v>
      </c>
      <c r="AE171">
        <v>5900</v>
      </c>
      <c r="AF171">
        <v>81.83</v>
      </c>
      <c r="AG171">
        <v>0.59</v>
      </c>
      <c r="AH171">
        <v>10.71</v>
      </c>
      <c r="AI171">
        <v>46.11</v>
      </c>
      <c r="AJ171">
        <v>60</v>
      </c>
      <c r="AK171">
        <v>9</v>
      </c>
      <c r="AL171">
        <v>9</v>
      </c>
      <c r="AM171">
        <v>0.68</v>
      </c>
      <c r="AN171">
        <v>408</v>
      </c>
      <c r="AO171">
        <v>414.13</v>
      </c>
      <c r="AP171">
        <v>372094.45</v>
      </c>
      <c r="AQ171">
        <v>185423.18</v>
      </c>
      <c r="AR171" t="s">
        <v>1078</v>
      </c>
      <c r="AT171" s="6">
        <f t="shared" si="11"/>
        <v>10.654752853881279</v>
      </c>
    </row>
    <row r="172" spans="1:46" x14ac:dyDescent="0.55000000000000004">
      <c r="A172">
        <v>18.77</v>
      </c>
      <c r="B172">
        <v>27.92</v>
      </c>
      <c r="C172">
        <v>5463.48</v>
      </c>
      <c r="D172">
        <v>7.6</v>
      </c>
      <c r="E172" t="s">
        <v>1329</v>
      </c>
      <c r="F172" t="s">
        <v>1576</v>
      </c>
      <c r="G172" t="s">
        <v>1701</v>
      </c>
      <c r="H172" t="s">
        <v>1932</v>
      </c>
      <c r="I172">
        <v>0</v>
      </c>
      <c r="J172">
        <v>603.21</v>
      </c>
      <c r="K172">
        <f t="shared" si="8"/>
        <v>57.25</v>
      </c>
      <c r="L172">
        <f t="shared" si="9"/>
        <v>65.289999999999992</v>
      </c>
      <c r="M172">
        <f t="shared" si="10"/>
        <v>-8.039999999999992</v>
      </c>
      <c r="N172">
        <v>7.19</v>
      </c>
      <c r="O172">
        <v>88.97</v>
      </c>
      <c r="P172">
        <v>49</v>
      </c>
      <c r="Q172">
        <v>18.399999999999999</v>
      </c>
      <c r="R172">
        <v>9.14</v>
      </c>
      <c r="S172">
        <v>12.2</v>
      </c>
      <c r="T172">
        <v>6.58</v>
      </c>
      <c r="U172">
        <v>9.06</v>
      </c>
      <c r="V172">
        <v>3496.63</v>
      </c>
      <c r="W172">
        <v>1055.17</v>
      </c>
      <c r="X172">
        <v>1379.28</v>
      </c>
      <c r="Y172">
        <v>781.78</v>
      </c>
      <c r="Z172">
        <v>5.7</v>
      </c>
      <c r="AA172">
        <v>1.6</v>
      </c>
      <c r="AB172">
        <v>4.4000000000000004</v>
      </c>
      <c r="AC172">
        <v>58.17</v>
      </c>
      <c r="AD172">
        <v>680</v>
      </c>
      <c r="AE172">
        <v>5900</v>
      </c>
      <c r="AF172">
        <v>82.54</v>
      </c>
      <c r="AG172">
        <v>0.59</v>
      </c>
      <c r="AH172">
        <v>10.24</v>
      </c>
      <c r="AI172">
        <v>46.91</v>
      </c>
      <c r="AJ172">
        <v>60</v>
      </c>
      <c r="AK172">
        <v>9</v>
      </c>
      <c r="AL172">
        <v>9</v>
      </c>
      <c r="AM172">
        <v>0.67</v>
      </c>
      <c r="AN172">
        <v>408</v>
      </c>
      <c r="AO172">
        <v>414.03</v>
      </c>
      <c r="AP172">
        <v>355962.63</v>
      </c>
      <c r="AQ172">
        <v>179353.05</v>
      </c>
      <c r="AR172" t="s">
        <v>1079</v>
      </c>
      <c r="AT172" s="6">
        <f t="shared" si="11"/>
        <v>10.080455479452056</v>
      </c>
    </row>
    <row r="173" spans="1:46" x14ac:dyDescent="0.55000000000000004">
      <c r="A173">
        <v>18.579999999999998</v>
      </c>
      <c r="B173">
        <v>27.75</v>
      </c>
      <c r="C173">
        <v>5461.9</v>
      </c>
      <c r="D173">
        <v>7.6</v>
      </c>
      <c r="E173" t="s">
        <v>1330</v>
      </c>
      <c r="F173" t="s">
        <v>1577</v>
      </c>
      <c r="G173" t="s">
        <v>1725</v>
      </c>
      <c r="H173" t="s">
        <v>1933</v>
      </c>
      <c r="I173">
        <v>0</v>
      </c>
      <c r="J173">
        <v>607.79999999999995</v>
      </c>
      <c r="K173">
        <f t="shared" si="8"/>
        <v>57.22</v>
      </c>
      <c r="L173">
        <f t="shared" si="9"/>
        <v>65.25</v>
      </c>
      <c r="M173">
        <f t="shared" si="10"/>
        <v>-8.0300000000000011</v>
      </c>
      <c r="N173">
        <v>7.2</v>
      </c>
      <c r="O173">
        <v>89</v>
      </c>
      <c r="P173">
        <v>50</v>
      </c>
      <c r="Q173">
        <v>18.100000000000001</v>
      </c>
      <c r="R173">
        <v>9.17</v>
      </c>
      <c r="S173">
        <v>12.07</v>
      </c>
      <c r="T173">
        <v>6.52</v>
      </c>
      <c r="U173">
        <v>8.99</v>
      </c>
      <c r="V173">
        <v>3495.62</v>
      </c>
      <c r="W173">
        <v>1055.06</v>
      </c>
      <c r="X173">
        <v>1379.11</v>
      </c>
      <c r="Y173">
        <v>781.87</v>
      </c>
      <c r="Z173">
        <v>5.7</v>
      </c>
      <c r="AA173">
        <v>1.59</v>
      </c>
      <c r="AB173">
        <v>4.41</v>
      </c>
      <c r="AC173">
        <v>58.45</v>
      </c>
      <c r="AD173">
        <v>680</v>
      </c>
      <c r="AE173">
        <v>5900</v>
      </c>
      <c r="AF173">
        <v>82.76</v>
      </c>
      <c r="AG173">
        <v>0.59</v>
      </c>
      <c r="AH173">
        <v>10.36</v>
      </c>
      <c r="AI173">
        <v>46.94</v>
      </c>
      <c r="AJ173">
        <v>60</v>
      </c>
      <c r="AK173">
        <v>9</v>
      </c>
      <c r="AL173">
        <v>9</v>
      </c>
      <c r="AM173">
        <v>0.67</v>
      </c>
      <c r="AN173">
        <v>408</v>
      </c>
      <c r="AO173">
        <v>414.02</v>
      </c>
      <c r="AP173">
        <v>352635.09</v>
      </c>
      <c r="AQ173">
        <v>177795.72</v>
      </c>
      <c r="AR173" t="s">
        <v>1080</v>
      </c>
      <c r="AT173" s="6">
        <f t="shared" si="11"/>
        <v>9.9794160958904126</v>
      </c>
    </row>
    <row r="174" spans="1:46" x14ac:dyDescent="0.55000000000000004">
      <c r="A174">
        <v>17.84</v>
      </c>
      <c r="B174">
        <v>27</v>
      </c>
      <c r="C174">
        <v>5500.62</v>
      </c>
      <c r="D174">
        <v>7.6</v>
      </c>
      <c r="E174" t="s">
        <v>1331</v>
      </c>
      <c r="F174" t="s">
        <v>1578</v>
      </c>
      <c r="G174" t="s">
        <v>1718</v>
      </c>
      <c r="H174" t="s">
        <v>1934</v>
      </c>
      <c r="I174">
        <v>0</v>
      </c>
      <c r="J174">
        <v>570.72</v>
      </c>
      <c r="K174">
        <f t="shared" si="8"/>
        <v>54.759999999999991</v>
      </c>
      <c r="L174">
        <f t="shared" si="9"/>
        <v>62.349999999999994</v>
      </c>
      <c r="M174">
        <f t="shared" si="10"/>
        <v>-7.5900000000000034</v>
      </c>
      <c r="N174">
        <v>7.17</v>
      </c>
      <c r="O174">
        <v>89</v>
      </c>
      <c r="P174">
        <v>54</v>
      </c>
      <c r="Q174">
        <v>16.399999999999999</v>
      </c>
      <c r="R174">
        <v>9.16</v>
      </c>
      <c r="S174">
        <v>11.08</v>
      </c>
      <c r="T174">
        <v>6.77</v>
      </c>
      <c r="U174">
        <v>9.64</v>
      </c>
      <c r="V174">
        <v>3520.4</v>
      </c>
      <c r="W174">
        <v>1065.53</v>
      </c>
      <c r="X174">
        <v>1420.27</v>
      </c>
      <c r="Y174">
        <v>795.42</v>
      </c>
      <c r="Z174">
        <v>5.71</v>
      </c>
      <c r="AA174">
        <v>1.6</v>
      </c>
      <c r="AB174">
        <v>4.41</v>
      </c>
      <c r="AC174">
        <v>57.5</v>
      </c>
      <c r="AD174">
        <v>680</v>
      </c>
      <c r="AE174">
        <v>5900</v>
      </c>
      <c r="AF174">
        <v>82.66</v>
      </c>
      <c r="AG174">
        <v>0.59</v>
      </c>
      <c r="AH174">
        <v>9.57</v>
      </c>
      <c r="AI174">
        <v>49.13</v>
      </c>
      <c r="AJ174">
        <v>60</v>
      </c>
      <c r="AK174">
        <v>9</v>
      </c>
      <c r="AL174">
        <v>9</v>
      </c>
      <c r="AM174">
        <v>0.64</v>
      </c>
      <c r="AN174">
        <v>408</v>
      </c>
      <c r="AO174">
        <v>413.75</v>
      </c>
      <c r="AP174">
        <v>349833.48</v>
      </c>
      <c r="AQ174">
        <v>164821.34</v>
      </c>
      <c r="AR174" t="s">
        <v>1081</v>
      </c>
      <c r="AT174" s="6">
        <f t="shared" si="11"/>
        <v>10.560053652968035</v>
      </c>
    </row>
    <row r="175" spans="1:46" x14ac:dyDescent="0.55000000000000004">
      <c r="A175">
        <v>18.420000000000002</v>
      </c>
      <c r="B175">
        <v>27.59</v>
      </c>
      <c r="C175">
        <v>5464.43</v>
      </c>
      <c r="D175">
        <v>7.6</v>
      </c>
      <c r="E175" t="s">
        <v>1332</v>
      </c>
      <c r="F175" t="s">
        <v>1579</v>
      </c>
      <c r="G175" t="s">
        <v>1718</v>
      </c>
      <c r="H175" t="s">
        <v>1935</v>
      </c>
      <c r="I175">
        <v>0</v>
      </c>
      <c r="J175">
        <v>599.66</v>
      </c>
      <c r="K175">
        <f t="shared" si="8"/>
        <v>57.34</v>
      </c>
      <c r="L175">
        <f t="shared" si="9"/>
        <v>65.400000000000006</v>
      </c>
      <c r="M175">
        <f t="shared" si="10"/>
        <v>-8.0600000000000023</v>
      </c>
      <c r="N175">
        <v>7.18</v>
      </c>
      <c r="O175">
        <v>89</v>
      </c>
      <c r="P175">
        <v>52</v>
      </c>
      <c r="Q175">
        <v>17.5</v>
      </c>
      <c r="R175">
        <v>9.17</v>
      </c>
      <c r="S175">
        <v>11.8</v>
      </c>
      <c r="T175">
        <v>6.62</v>
      </c>
      <c r="U175">
        <v>9.11</v>
      </c>
      <c r="V175">
        <v>3497.24</v>
      </c>
      <c r="W175">
        <v>1055.3599999999999</v>
      </c>
      <c r="X175">
        <v>1380.42</v>
      </c>
      <c r="Y175">
        <v>782.02</v>
      </c>
      <c r="Z175">
        <v>5.7</v>
      </c>
      <c r="AA175">
        <v>1.59</v>
      </c>
      <c r="AB175">
        <v>4.41</v>
      </c>
      <c r="AC175">
        <v>58.07</v>
      </c>
      <c r="AD175">
        <v>680</v>
      </c>
      <c r="AE175">
        <v>5900</v>
      </c>
      <c r="AF175">
        <v>82.79</v>
      </c>
      <c r="AG175">
        <v>0.59</v>
      </c>
      <c r="AH175">
        <v>10.199999999999999</v>
      </c>
      <c r="AI175">
        <v>46.84</v>
      </c>
      <c r="AJ175">
        <v>60</v>
      </c>
      <c r="AK175">
        <v>9</v>
      </c>
      <c r="AL175">
        <v>9</v>
      </c>
      <c r="AM175">
        <v>0.67</v>
      </c>
      <c r="AN175">
        <v>408</v>
      </c>
      <c r="AO175">
        <v>414.04</v>
      </c>
      <c r="AP175">
        <v>358475.09</v>
      </c>
      <c r="AQ175">
        <v>180189.43</v>
      </c>
      <c r="AR175" t="s">
        <v>1082</v>
      </c>
      <c r="AT175" s="6">
        <f t="shared" si="11"/>
        <v>10.176122146118724</v>
      </c>
    </row>
    <row r="176" spans="1:46" x14ac:dyDescent="0.55000000000000004">
      <c r="A176">
        <v>18.57</v>
      </c>
      <c r="B176">
        <v>27.66</v>
      </c>
      <c r="C176">
        <v>5525.41</v>
      </c>
      <c r="D176">
        <v>7.59</v>
      </c>
      <c r="E176" t="s">
        <v>1333</v>
      </c>
      <c r="F176" t="s">
        <v>1580</v>
      </c>
      <c r="G176" t="s">
        <v>1737</v>
      </c>
      <c r="H176" t="s">
        <v>1936</v>
      </c>
      <c r="I176">
        <v>0</v>
      </c>
      <c r="J176">
        <v>599.98</v>
      </c>
      <c r="K176">
        <f t="shared" si="8"/>
        <v>57.44</v>
      </c>
      <c r="L176">
        <f t="shared" si="9"/>
        <v>64.34</v>
      </c>
      <c r="M176">
        <f t="shared" si="10"/>
        <v>-6.9000000000000057</v>
      </c>
      <c r="N176">
        <v>7.19</v>
      </c>
      <c r="O176">
        <v>88.99</v>
      </c>
      <c r="P176">
        <v>47</v>
      </c>
      <c r="Q176">
        <v>19.100000000000001</v>
      </c>
      <c r="R176">
        <v>9.08</v>
      </c>
      <c r="S176">
        <v>12.53</v>
      </c>
      <c r="T176">
        <v>6.04</v>
      </c>
      <c r="U176">
        <v>9.2100000000000009</v>
      </c>
      <c r="V176">
        <v>3536.26</v>
      </c>
      <c r="W176">
        <v>1067.9100000000001</v>
      </c>
      <c r="X176">
        <v>1401.34</v>
      </c>
      <c r="Y176">
        <v>792.53</v>
      </c>
      <c r="Z176">
        <v>5.8</v>
      </c>
      <c r="AA176">
        <v>1.6</v>
      </c>
      <c r="AB176">
        <v>4.3899999999999997</v>
      </c>
      <c r="AC176">
        <v>60.07</v>
      </c>
      <c r="AD176">
        <v>680</v>
      </c>
      <c r="AE176">
        <v>5900</v>
      </c>
      <c r="AF176">
        <v>82</v>
      </c>
      <c r="AG176">
        <v>0.59</v>
      </c>
      <c r="AH176">
        <v>9.99</v>
      </c>
      <c r="AI176">
        <v>47.61</v>
      </c>
      <c r="AJ176">
        <v>60</v>
      </c>
      <c r="AK176">
        <v>9</v>
      </c>
      <c r="AL176">
        <v>9</v>
      </c>
      <c r="AM176">
        <v>0.66</v>
      </c>
      <c r="AN176">
        <v>408</v>
      </c>
      <c r="AO176">
        <v>413.94</v>
      </c>
      <c r="AP176">
        <v>366545.95</v>
      </c>
      <c r="AQ176">
        <v>171601.77</v>
      </c>
      <c r="AR176" t="s">
        <v>1083</v>
      </c>
      <c r="AT176" s="6">
        <f t="shared" si="11"/>
        <v>11.126950913242011</v>
      </c>
    </row>
    <row r="177" spans="1:46" x14ac:dyDescent="0.55000000000000004">
      <c r="A177">
        <v>18.36</v>
      </c>
      <c r="B177">
        <v>27.47</v>
      </c>
      <c r="C177">
        <v>5470.52</v>
      </c>
      <c r="D177">
        <v>7.6</v>
      </c>
      <c r="E177" t="s">
        <v>1334</v>
      </c>
      <c r="F177" t="s">
        <v>1581</v>
      </c>
      <c r="G177" t="s">
        <v>1738</v>
      </c>
      <c r="H177" t="s">
        <v>1937</v>
      </c>
      <c r="I177">
        <v>0</v>
      </c>
      <c r="J177">
        <v>594.30999999999995</v>
      </c>
      <c r="K177">
        <f t="shared" si="8"/>
        <v>56.429999999999993</v>
      </c>
      <c r="L177">
        <f t="shared" si="9"/>
        <v>64.320000000000007</v>
      </c>
      <c r="M177">
        <f t="shared" si="10"/>
        <v>-7.8900000000000148</v>
      </c>
      <c r="N177">
        <v>7.19</v>
      </c>
      <c r="O177">
        <v>89.02</v>
      </c>
      <c r="P177">
        <v>54</v>
      </c>
      <c r="Q177">
        <v>16.8</v>
      </c>
      <c r="R177">
        <v>9.11</v>
      </c>
      <c r="S177">
        <v>11.43</v>
      </c>
      <c r="T177">
        <v>6.93</v>
      </c>
      <c r="U177">
        <v>9.1999999999999993</v>
      </c>
      <c r="V177">
        <v>3501.13</v>
      </c>
      <c r="W177">
        <v>1058.08</v>
      </c>
      <c r="X177">
        <v>1394.51</v>
      </c>
      <c r="Y177">
        <v>786.63</v>
      </c>
      <c r="Z177">
        <v>5.7</v>
      </c>
      <c r="AA177">
        <v>1.6</v>
      </c>
      <c r="AB177">
        <v>4.41</v>
      </c>
      <c r="AC177">
        <v>56.77</v>
      </c>
      <c r="AD177">
        <v>680</v>
      </c>
      <c r="AE177">
        <v>5900</v>
      </c>
      <c r="AF177">
        <v>82.2</v>
      </c>
      <c r="AG177">
        <v>0.59</v>
      </c>
      <c r="AH177">
        <v>10.02</v>
      </c>
      <c r="AI177">
        <v>47.62</v>
      </c>
      <c r="AJ177">
        <v>60</v>
      </c>
      <c r="AK177">
        <v>9</v>
      </c>
      <c r="AL177">
        <v>9</v>
      </c>
      <c r="AM177">
        <v>0.66</v>
      </c>
      <c r="AN177">
        <v>408</v>
      </c>
      <c r="AO177">
        <v>413.94</v>
      </c>
      <c r="AP177">
        <v>351340.26</v>
      </c>
      <c r="AQ177">
        <v>172152.29</v>
      </c>
      <c r="AR177" t="s">
        <v>1084</v>
      </c>
      <c r="AT177" s="6">
        <f t="shared" si="11"/>
        <v>10.227623858447489</v>
      </c>
    </row>
    <row r="178" spans="1:46" x14ac:dyDescent="0.55000000000000004">
      <c r="A178">
        <v>18.54</v>
      </c>
      <c r="B178">
        <v>27.65</v>
      </c>
      <c r="C178">
        <v>5451.44</v>
      </c>
      <c r="D178">
        <v>7.6</v>
      </c>
      <c r="E178" t="s">
        <v>1335</v>
      </c>
      <c r="F178" t="s">
        <v>1582</v>
      </c>
      <c r="G178" t="s">
        <v>1739</v>
      </c>
      <c r="H178" t="s">
        <v>1938</v>
      </c>
      <c r="I178">
        <v>0</v>
      </c>
      <c r="J178">
        <v>598.54</v>
      </c>
      <c r="K178">
        <f t="shared" si="8"/>
        <v>57.34</v>
      </c>
      <c r="L178">
        <f t="shared" si="9"/>
        <v>63.57</v>
      </c>
      <c r="M178">
        <f t="shared" si="10"/>
        <v>-6.2299999999999969</v>
      </c>
      <c r="N178">
        <v>7.18</v>
      </c>
      <c r="O178">
        <v>89.05</v>
      </c>
      <c r="P178">
        <v>55</v>
      </c>
      <c r="Q178">
        <v>17.5</v>
      </c>
      <c r="R178">
        <v>9.11</v>
      </c>
      <c r="S178">
        <v>12.16</v>
      </c>
      <c r="T178">
        <v>6.38</v>
      </c>
      <c r="U178">
        <v>9.11</v>
      </c>
      <c r="V178">
        <v>3488.92</v>
      </c>
      <c r="W178">
        <v>1053.18</v>
      </c>
      <c r="X178">
        <v>1379.81</v>
      </c>
      <c r="Y178">
        <v>780.96</v>
      </c>
      <c r="Z178">
        <v>5.86</v>
      </c>
      <c r="AA178">
        <v>1.6</v>
      </c>
      <c r="AB178">
        <v>4.41</v>
      </c>
      <c r="AC178">
        <v>58.81</v>
      </c>
      <c r="AD178">
        <v>680</v>
      </c>
      <c r="AE178">
        <v>5900</v>
      </c>
      <c r="AF178">
        <v>82.22</v>
      </c>
      <c r="AG178">
        <v>0.59</v>
      </c>
      <c r="AH178">
        <v>10.14</v>
      </c>
      <c r="AI178">
        <v>48.18</v>
      </c>
      <c r="AJ178">
        <v>60</v>
      </c>
      <c r="AK178">
        <v>9</v>
      </c>
      <c r="AL178">
        <v>9</v>
      </c>
      <c r="AM178">
        <v>0.65</v>
      </c>
      <c r="AN178">
        <v>408</v>
      </c>
      <c r="AO178">
        <v>413.87</v>
      </c>
      <c r="AP178">
        <v>373931.74</v>
      </c>
      <c r="AQ178">
        <v>169911.57</v>
      </c>
      <c r="AR178" t="s">
        <v>1085</v>
      </c>
      <c r="AT178" s="6">
        <f t="shared" si="11"/>
        <v>11.644986872146118</v>
      </c>
    </row>
    <row r="179" spans="1:46" x14ac:dyDescent="0.55000000000000004">
      <c r="A179">
        <v>17.8</v>
      </c>
      <c r="B179">
        <v>26.94</v>
      </c>
      <c r="C179">
        <v>5514.23</v>
      </c>
      <c r="D179">
        <v>7.6</v>
      </c>
      <c r="E179" t="s">
        <v>1336</v>
      </c>
      <c r="F179" t="s">
        <v>1583</v>
      </c>
      <c r="G179" t="s">
        <v>1723</v>
      </c>
      <c r="H179" t="s">
        <v>1939</v>
      </c>
      <c r="I179">
        <v>0</v>
      </c>
      <c r="J179">
        <v>580.14</v>
      </c>
      <c r="K179">
        <f t="shared" si="8"/>
        <v>56.029999999999994</v>
      </c>
      <c r="L179">
        <f t="shared" si="9"/>
        <v>63.54</v>
      </c>
      <c r="M179">
        <f t="shared" si="10"/>
        <v>-7.5100000000000051</v>
      </c>
      <c r="N179">
        <v>7.17</v>
      </c>
      <c r="O179">
        <v>89.01</v>
      </c>
      <c r="P179">
        <v>52</v>
      </c>
      <c r="Q179">
        <v>16.7</v>
      </c>
      <c r="R179">
        <v>9.14</v>
      </c>
      <c r="S179">
        <v>11.1</v>
      </c>
      <c r="T179">
        <v>6.7</v>
      </c>
      <c r="U179">
        <v>9.5</v>
      </c>
      <c r="V179">
        <v>3529.1</v>
      </c>
      <c r="W179">
        <v>1067.17</v>
      </c>
      <c r="X179">
        <v>1414</v>
      </c>
      <c r="Y179">
        <v>794.8</v>
      </c>
      <c r="Z179">
        <v>5.73</v>
      </c>
      <c r="AA179">
        <v>1.6</v>
      </c>
      <c r="AB179">
        <v>4.41</v>
      </c>
      <c r="AC179">
        <v>57.69</v>
      </c>
      <c r="AD179">
        <v>680</v>
      </c>
      <c r="AE179">
        <v>5900</v>
      </c>
      <c r="AF179">
        <v>82.51</v>
      </c>
      <c r="AG179">
        <v>0.59</v>
      </c>
      <c r="AH179">
        <v>9.6999999999999993</v>
      </c>
      <c r="AI179">
        <v>48.21</v>
      </c>
      <c r="AJ179">
        <v>60</v>
      </c>
      <c r="AK179">
        <v>9</v>
      </c>
      <c r="AL179">
        <v>9</v>
      </c>
      <c r="AM179">
        <v>0.65</v>
      </c>
      <c r="AN179">
        <v>408</v>
      </c>
      <c r="AO179">
        <v>413.86</v>
      </c>
      <c r="AP179">
        <v>357762.12</v>
      </c>
      <c r="AQ179">
        <v>169281.69</v>
      </c>
      <c r="AR179" t="s">
        <v>1086</v>
      </c>
      <c r="AT179" s="6">
        <f t="shared" si="11"/>
        <v>10.758015410958905</v>
      </c>
    </row>
    <row r="180" spans="1:46" x14ac:dyDescent="0.55000000000000004">
      <c r="A180">
        <v>17.899999999999999</v>
      </c>
      <c r="B180">
        <v>27.06</v>
      </c>
      <c r="C180">
        <v>5492.65</v>
      </c>
      <c r="D180">
        <v>7.6</v>
      </c>
      <c r="E180" t="s">
        <v>1337</v>
      </c>
      <c r="F180" t="s">
        <v>1584</v>
      </c>
      <c r="G180" t="s">
        <v>1723</v>
      </c>
      <c r="H180" t="s">
        <v>1940</v>
      </c>
      <c r="I180">
        <v>0</v>
      </c>
      <c r="J180">
        <v>566.92999999999995</v>
      </c>
      <c r="K180">
        <f t="shared" si="8"/>
        <v>55.559999999999995</v>
      </c>
      <c r="L180">
        <f t="shared" si="9"/>
        <v>63.31</v>
      </c>
      <c r="M180">
        <f t="shared" si="10"/>
        <v>-7.7500000000000071</v>
      </c>
      <c r="N180">
        <v>7.16</v>
      </c>
      <c r="O180">
        <v>89.04</v>
      </c>
      <c r="P180">
        <v>54</v>
      </c>
      <c r="Q180">
        <v>16.5</v>
      </c>
      <c r="R180">
        <v>9.15</v>
      </c>
      <c r="S180">
        <v>11.16</v>
      </c>
      <c r="T180">
        <v>6.74</v>
      </c>
      <c r="U180">
        <v>9.69</v>
      </c>
      <c r="V180">
        <v>3515.3</v>
      </c>
      <c r="W180">
        <v>1063.96</v>
      </c>
      <c r="X180">
        <v>1419.11</v>
      </c>
      <c r="Y180">
        <v>794.33</v>
      </c>
      <c r="Z180">
        <v>5.71</v>
      </c>
      <c r="AA180">
        <v>1.6</v>
      </c>
      <c r="AB180">
        <v>4.4000000000000004</v>
      </c>
      <c r="AC180">
        <v>57.59</v>
      </c>
      <c r="AD180">
        <v>680</v>
      </c>
      <c r="AE180">
        <v>5900</v>
      </c>
      <c r="AF180">
        <v>82.63</v>
      </c>
      <c r="AG180">
        <v>0.59</v>
      </c>
      <c r="AH180">
        <v>9.51</v>
      </c>
      <c r="AI180">
        <v>48.39</v>
      </c>
      <c r="AJ180">
        <v>60</v>
      </c>
      <c r="AK180">
        <v>9</v>
      </c>
      <c r="AL180">
        <v>9</v>
      </c>
      <c r="AM180">
        <v>0.65</v>
      </c>
      <c r="AN180">
        <v>408</v>
      </c>
      <c r="AO180">
        <v>413.84</v>
      </c>
      <c r="AP180">
        <v>356838.86</v>
      </c>
      <c r="AQ180">
        <v>168161.4</v>
      </c>
      <c r="AR180" t="s">
        <v>1087</v>
      </c>
      <c r="AT180" s="6">
        <f t="shared" si="11"/>
        <v>10.769261415525113</v>
      </c>
    </row>
    <row r="181" spans="1:46" x14ac:dyDescent="0.55000000000000004">
      <c r="A181">
        <v>17.920000000000002</v>
      </c>
      <c r="B181">
        <v>27.08</v>
      </c>
      <c r="C181">
        <v>5509.56</v>
      </c>
      <c r="D181">
        <v>7.59</v>
      </c>
      <c r="E181" t="s">
        <v>1338</v>
      </c>
      <c r="F181" t="s">
        <v>1585</v>
      </c>
      <c r="G181" t="s">
        <v>1731</v>
      </c>
      <c r="H181" t="s">
        <v>1941</v>
      </c>
      <c r="I181">
        <v>0</v>
      </c>
      <c r="J181">
        <v>577.44000000000005</v>
      </c>
      <c r="K181">
        <f t="shared" si="8"/>
        <v>56.14</v>
      </c>
      <c r="L181">
        <f t="shared" si="9"/>
        <v>62.620000000000005</v>
      </c>
      <c r="M181">
        <f t="shared" si="10"/>
        <v>-6.480000000000004</v>
      </c>
      <c r="N181">
        <v>7.17</v>
      </c>
      <c r="O181">
        <v>88.99</v>
      </c>
      <c r="P181">
        <v>51</v>
      </c>
      <c r="Q181">
        <v>17.3</v>
      </c>
      <c r="R181">
        <v>9.16</v>
      </c>
      <c r="S181">
        <v>11.5</v>
      </c>
      <c r="T181">
        <v>6.42</v>
      </c>
      <c r="U181">
        <v>9.5399999999999991</v>
      </c>
      <c r="V181">
        <v>3526.12</v>
      </c>
      <c r="W181">
        <v>1066.48</v>
      </c>
      <c r="X181">
        <v>1415.08</v>
      </c>
      <c r="Y181">
        <v>794.7</v>
      </c>
      <c r="Z181">
        <v>6.28</v>
      </c>
      <c r="AA181">
        <v>1.59</v>
      </c>
      <c r="AB181">
        <v>4.41</v>
      </c>
      <c r="AC181">
        <v>58.82</v>
      </c>
      <c r="AD181">
        <v>680</v>
      </c>
      <c r="AE181">
        <v>5900</v>
      </c>
      <c r="AF181">
        <v>82.72</v>
      </c>
      <c r="AG181">
        <v>0.59</v>
      </c>
      <c r="AH181">
        <v>9.68</v>
      </c>
      <c r="AI181">
        <v>52.67</v>
      </c>
      <c r="AJ181">
        <v>60</v>
      </c>
      <c r="AK181">
        <v>9</v>
      </c>
      <c r="AL181">
        <v>9</v>
      </c>
      <c r="AM181">
        <v>0.6</v>
      </c>
      <c r="AN181">
        <v>408</v>
      </c>
      <c r="AO181">
        <v>413.37</v>
      </c>
      <c r="AP181">
        <v>361277.9</v>
      </c>
      <c r="AQ181">
        <v>197286.22</v>
      </c>
      <c r="AR181" t="s">
        <v>1088</v>
      </c>
      <c r="AT181" s="6">
        <f t="shared" si="11"/>
        <v>9.3602557077625583</v>
      </c>
    </row>
    <row r="182" spans="1:46" x14ac:dyDescent="0.55000000000000004">
      <c r="A182">
        <v>21</v>
      </c>
      <c r="B182">
        <v>30.23</v>
      </c>
      <c r="C182">
        <v>5505.24</v>
      </c>
      <c r="D182">
        <v>7.6</v>
      </c>
      <c r="E182" t="s">
        <v>1339</v>
      </c>
      <c r="F182" t="s">
        <v>299</v>
      </c>
      <c r="G182" t="s">
        <v>1691</v>
      </c>
      <c r="H182" t="s">
        <v>1942</v>
      </c>
      <c r="I182">
        <v>0</v>
      </c>
      <c r="J182">
        <v>764.78</v>
      </c>
      <c r="K182">
        <f t="shared" si="8"/>
        <v>69.5</v>
      </c>
      <c r="L182">
        <f t="shared" si="9"/>
        <v>69.5</v>
      </c>
      <c r="M182">
        <f t="shared" si="10"/>
        <v>0</v>
      </c>
      <c r="N182">
        <v>7.3</v>
      </c>
      <c r="O182">
        <v>88.96</v>
      </c>
      <c r="P182">
        <v>38</v>
      </c>
      <c r="Q182">
        <v>25</v>
      </c>
      <c r="R182">
        <v>9.24</v>
      </c>
      <c r="S182">
        <v>16.04</v>
      </c>
      <c r="T182">
        <v>4.96</v>
      </c>
      <c r="U182">
        <v>7.2</v>
      </c>
      <c r="V182">
        <v>3523.35</v>
      </c>
      <c r="W182">
        <v>1053.1199999999999</v>
      </c>
      <c r="X182">
        <v>1284.67</v>
      </c>
      <c r="Y182">
        <v>760.78</v>
      </c>
      <c r="Z182">
        <v>17.5</v>
      </c>
      <c r="AA182">
        <v>1.61</v>
      </c>
      <c r="AB182">
        <v>4.38</v>
      </c>
      <c r="AC182">
        <v>65.08</v>
      </c>
      <c r="AD182">
        <v>680</v>
      </c>
      <c r="AE182">
        <v>5900</v>
      </c>
      <c r="AF182">
        <v>83.37</v>
      </c>
      <c r="AG182">
        <v>0.59</v>
      </c>
      <c r="AH182">
        <v>13.45</v>
      </c>
      <c r="AI182">
        <v>118.64</v>
      </c>
      <c r="AJ182">
        <v>60</v>
      </c>
      <c r="AK182">
        <v>9</v>
      </c>
      <c r="AL182">
        <v>9</v>
      </c>
      <c r="AM182">
        <v>0.26</v>
      </c>
      <c r="AN182">
        <v>408</v>
      </c>
      <c r="AO182">
        <v>410.38</v>
      </c>
      <c r="AP182">
        <v>386404.47</v>
      </c>
      <c r="AQ182">
        <v>386404.47</v>
      </c>
      <c r="AR182" t="s">
        <v>1089</v>
      </c>
      <c r="AT182" s="6">
        <f t="shared" si="11"/>
        <v>0</v>
      </c>
    </row>
    <row r="183" spans="1:46" x14ac:dyDescent="0.55000000000000004">
      <c r="A183">
        <v>20.48</v>
      </c>
      <c r="B183">
        <v>29.72</v>
      </c>
      <c r="C183">
        <v>5539.84</v>
      </c>
      <c r="D183">
        <v>7.6</v>
      </c>
      <c r="E183" t="s">
        <v>1340</v>
      </c>
      <c r="F183" t="s">
        <v>1586</v>
      </c>
      <c r="G183" t="s">
        <v>1740</v>
      </c>
      <c r="H183" t="s">
        <v>1943</v>
      </c>
      <c r="I183">
        <v>0</v>
      </c>
      <c r="J183">
        <v>688.02</v>
      </c>
      <c r="K183">
        <f t="shared" si="8"/>
        <v>63.480000000000004</v>
      </c>
      <c r="L183">
        <f t="shared" si="9"/>
        <v>67.73</v>
      </c>
      <c r="M183">
        <f t="shared" si="10"/>
        <v>-4.25</v>
      </c>
      <c r="N183">
        <v>7.25</v>
      </c>
      <c r="O183">
        <v>88.99</v>
      </c>
      <c r="P183">
        <v>56</v>
      </c>
      <c r="Q183">
        <v>20.399999999999999</v>
      </c>
      <c r="R183">
        <v>9.24</v>
      </c>
      <c r="S183">
        <v>14.85</v>
      </c>
      <c r="T183">
        <v>5.64</v>
      </c>
      <c r="U183">
        <v>8.0500000000000007</v>
      </c>
      <c r="V183">
        <v>3545.5</v>
      </c>
      <c r="W183">
        <v>1064.58</v>
      </c>
      <c r="X183">
        <v>1341.19</v>
      </c>
      <c r="Y183">
        <v>778.27</v>
      </c>
      <c r="Z183">
        <v>6.09</v>
      </c>
      <c r="AA183">
        <v>1.63</v>
      </c>
      <c r="AB183">
        <v>4.3499999999999996</v>
      </c>
      <c r="AC183">
        <v>62.11</v>
      </c>
      <c r="AD183">
        <v>680</v>
      </c>
      <c r="AE183">
        <v>5900</v>
      </c>
      <c r="AF183">
        <v>83.41</v>
      </c>
      <c r="AG183">
        <v>0.59</v>
      </c>
      <c r="AH183">
        <v>11.83</v>
      </c>
      <c r="AI183">
        <v>45.22</v>
      </c>
      <c r="AJ183">
        <v>60</v>
      </c>
      <c r="AK183">
        <v>9</v>
      </c>
      <c r="AL183">
        <v>9</v>
      </c>
      <c r="AM183">
        <v>0.69</v>
      </c>
      <c r="AN183">
        <v>408</v>
      </c>
      <c r="AO183">
        <v>414.25</v>
      </c>
      <c r="AP183">
        <v>402924.88</v>
      </c>
      <c r="AQ183">
        <v>186459.96</v>
      </c>
      <c r="AR183" t="s">
        <v>1090</v>
      </c>
      <c r="AT183" s="6">
        <f t="shared" si="11"/>
        <v>12.355303652968038</v>
      </c>
    </row>
    <row r="184" spans="1:46" x14ac:dyDescent="0.55000000000000004">
      <c r="A184">
        <v>20.97</v>
      </c>
      <c r="B184">
        <v>30.22</v>
      </c>
      <c r="C184">
        <v>5525.78</v>
      </c>
      <c r="D184">
        <v>7.6</v>
      </c>
      <c r="E184" t="s">
        <v>1341</v>
      </c>
      <c r="F184" t="s">
        <v>1587</v>
      </c>
      <c r="G184" t="s">
        <v>1741</v>
      </c>
      <c r="H184" t="s">
        <v>1944</v>
      </c>
      <c r="I184">
        <v>0</v>
      </c>
      <c r="J184">
        <v>710.83</v>
      </c>
      <c r="K184">
        <f t="shared" si="8"/>
        <v>65.569999999999993</v>
      </c>
      <c r="L184">
        <f t="shared" si="9"/>
        <v>71.989999999999995</v>
      </c>
      <c r="M184">
        <f t="shared" si="10"/>
        <v>-6.4200000000000017</v>
      </c>
      <c r="N184">
        <v>7.27</v>
      </c>
      <c r="O184">
        <v>89.01</v>
      </c>
      <c r="P184">
        <v>49</v>
      </c>
      <c r="Q184">
        <v>22.5</v>
      </c>
      <c r="R184">
        <v>9.25</v>
      </c>
      <c r="S184">
        <v>15.7</v>
      </c>
      <c r="T184">
        <v>5.27</v>
      </c>
      <c r="U184">
        <v>7.77</v>
      </c>
      <c r="V184">
        <v>3536.5</v>
      </c>
      <c r="W184">
        <v>1060.67</v>
      </c>
      <c r="X184">
        <v>1324.76</v>
      </c>
      <c r="Y184">
        <v>773.02</v>
      </c>
      <c r="Z184">
        <v>5.92</v>
      </c>
      <c r="AA184">
        <v>1.63</v>
      </c>
      <c r="AB184">
        <v>4.3499999999999996</v>
      </c>
      <c r="AC184">
        <v>63.71</v>
      </c>
      <c r="AD184">
        <v>680</v>
      </c>
      <c r="AE184">
        <v>5900</v>
      </c>
      <c r="AF184">
        <v>83.49</v>
      </c>
      <c r="AG184">
        <v>0.59</v>
      </c>
      <c r="AH184">
        <v>12.33</v>
      </c>
      <c r="AI184">
        <v>42.55</v>
      </c>
      <c r="AJ184">
        <v>60</v>
      </c>
      <c r="AK184">
        <v>9</v>
      </c>
      <c r="AL184">
        <v>9</v>
      </c>
      <c r="AM184">
        <v>0.74</v>
      </c>
      <c r="AN184">
        <v>408</v>
      </c>
      <c r="AO184">
        <v>414.65</v>
      </c>
      <c r="AP184">
        <v>389916.05</v>
      </c>
      <c r="AQ184">
        <v>205811.69</v>
      </c>
      <c r="AR184" t="s">
        <v>1091</v>
      </c>
      <c r="AT184" s="6">
        <f t="shared" si="11"/>
        <v>10.508239726027396</v>
      </c>
    </row>
    <row r="185" spans="1:46" x14ac:dyDescent="0.55000000000000004">
      <c r="A185">
        <v>20.82</v>
      </c>
      <c r="B185">
        <v>30.09</v>
      </c>
      <c r="C185">
        <v>5530.08</v>
      </c>
      <c r="D185">
        <v>7.6</v>
      </c>
      <c r="E185" t="s">
        <v>1342</v>
      </c>
      <c r="F185" t="s">
        <v>389</v>
      </c>
      <c r="G185" t="s">
        <v>1742</v>
      </c>
      <c r="H185" t="s">
        <v>1945</v>
      </c>
      <c r="I185">
        <v>0</v>
      </c>
      <c r="J185">
        <v>687.79</v>
      </c>
      <c r="K185">
        <f t="shared" si="8"/>
        <v>63.53</v>
      </c>
      <c r="L185">
        <f t="shared" si="9"/>
        <v>69.099999999999994</v>
      </c>
      <c r="M185">
        <f t="shared" si="10"/>
        <v>-5.5699999999999932</v>
      </c>
      <c r="N185">
        <v>7.25</v>
      </c>
      <c r="O185">
        <v>89.06</v>
      </c>
      <c r="P185">
        <v>52</v>
      </c>
      <c r="Q185">
        <v>21.5</v>
      </c>
      <c r="R185">
        <v>9.27</v>
      </c>
      <c r="S185">
        <v>15.27</v>
      </c>
      <c r="T185">
        <v>5.56</v>
      </c>
      <c r="U185">
        <v>8.0399999999999991</v>
      </c>
      <c r="V185">
        <v>3539.25</v>
      </c>
      <c r="W185">
        <v>1062.79</v>
      </c>
      <c r="X185">
        <v>1339.49</v>
      </c>
      <c r="Y185">
        <v>777.1</v>
      </c>
      <c r="Z185">
        <v>5.98</v>
      </c>
      <c r="AA185">
        <v>1.63</v>
      </c>
      <c r="AB185">
        <v>4.34</v>
      </c>
      <c r="AC185">
        <v>62.53</v>
      </c>
      <c r="AD185">
        <v>680</v>
      </c>
      <c r="AE185">
        <v>5900</v>
      </c>
      <c r="AF185">
        <v>83.69</v>
      </c>
      <c r="AG185">
        <v>0.59</v>
      </c>
      <c r="AH185">
        <v>11.89</v>
      </c>
      <c r="AI185">
        <v>44.33</v>
      </c>
      <c r="AJ185">
        <v>60</v>
      </c>
      <c r="AK185">
        <v>9</v>
      </c>
      <c r="AL185">
        <v>9</v>
      </c>
      <c r="AM185">
        <v>0.71</v>
      </c>
      <c r="AN185">
        <v>408</v>
      </c>
      <c r="AO185">
        <v>414.38</v>
      </c>
      <c r="AP185">
        <v>391877.43</v>
      </c>
      <c r="AQ185">
        <v>192815.58</v>
      </c>
      <c r="AR185" t="s">
        <v>1092</v>
      </c>
      <c r="AT185" s="6">
        <f t="shared" si="11"/>
        <v>11.361977739726028</v>
      </c>
    </row>
    <row r="186" spans="1:46" x14ac:dyDescent="0.55000000000000004">
      <c r="A186">
        <v>21.07</v>
      </c>
      <c r="B186">
        <v>30.33</v>
      </c>
      <c r="C186">
        <v>5516.95</v>
      </c>
      <c r="D186">
        <v>7.6</v>
      </c>
      <c r="E186" t="s">
        <v>1343</v>
      </c>
      <c r="F186" t="s">
        <v>1588</v>
      </c>
      <c r="G186" t="s">
        <v>1743</v>
      </c>
      <c r="H186" t="s">
        <v>1946</v>
      </c>
      <c r="I186">
        <v>0</v>
      </c>
      <c r="J186">
        <v>734.44</v>
      </c>
      <c r="K186">
        <f t="shared" si="8"/>
        <v>66.22999999999999</v>
      </c>
      <c r="L186">
        <f t="shared" si="9"/>
        <v>66.22999999999999</v>
      </c>
      <c r="M186">
        <f t="shared" si="10"/>
        <v>0</v>
      </c>
      <c r="N186">
        <v>7.29</v>
      </c>
      <c r="O186">
        <v>89.03</v>
      </c>
      <c r="P186">
        <v>45</v>
      </c>
      <c r="Q186">
        <v>23.5</v>
      </c>
      <c r="R186">
        <v>9.26</v>
      </c>
      <c r="S186">
        <v>15.95</v>
      </c>
      <c r="T186">
        <v>5.12</v>
      </c>
      <c r="U186">
        <v>7.51</v>
      </c>
      <c r="V186">
        <v>3530.85</v>
      </c>
      <c r="W186">
        <v>1057.78</v>
      </c>
      <c r="X186">
        <v>1309.8900000000001</v>
      </c>
      <c r="Y186">
        <v>768.57</v>
      </c>
      <c r="Z186">
        <v>15.37</v>
      </c>
      <c r="AA186">
        <v>1.63</v>
      </c>
      <c r="AB186">
        <v>4.3499999999999996</v>
      </c>
      <c r="AC186">
        <v>64.400000000000006</v>
      </c>
      <c r="AD186">
        <v>680</v>
      </c>
      <c r="AE186">
        <v>5900</v>
      </c>
      <c r="AF186">
        <v>83.59</v>
      </c>
      <c r="AG186">
        <v>0.59</v>
      </c>
      <c r="AH186">
        <v>12.84</v>
      </c>
      <c r="AI186">
        <v>109.32</v>
      </c>
      <c r="AJ186">
        <v>60</v>
      </c>
      <c r="AK186">
        <v>9</v>
      </c>
      <c r="AL186">
        <v>9</v>
      </c>
      <c r="AM186">
        <v>0.28999999999999998</v>
      </c>
      <c r="AN186">
        <v>408</v>
      </c>
      <c r="AO186">
        <v>410.59</v>
      </c>
      <c r="AP186">
        <v>380824.14</v>
      </c>
      <c r="AQ186">
        <v>380824.14</v>
      </c>
      <c r="AR186" t="s">
        <v>1093</v>
      </c>
      <c r="AT186" s="6">
        <f t="shared" si="11"/>
        <v>0</v>
      </c>
    </row>
    <row r="187" spans="1:46" x14ac:dyDescent="0.55000000000000004">
      <c r="A187">
        <v>19.68</v>
      </c>
      <c r="B187">
        <v>28.86</v>
      </c>
      <c r="C187">
        <v>5503.49</v>
      </c>
      <c r="D187">
        <v>7.6</v>
      </c>
      <c r="E187" t="s">
        <v>1344</v>
      </c>
      <c r="F187" t="s">
        <v>1589</v>
      </c>
      <c r="G187" t="s">
        <v>1702</v>
      </c>
      <c r="H187" t="s">
        <v>1947</v>
      </c>
      <c r="I187">
        <v>0</v>
      </c>
      <c r="J187">
        <v>677.64</v>
      </c>
      <c r="K187">
        <f t="shared" si="8"/>
        <v>61.46</v>
      </c>
      <c r="L187">
        <f t="shared" si="9"/>
        <v>66.66</v>
      </c>
      <c r="M187">
        <f t="shared" si="10"/>
        <v>-5.1999999999999957</v>
      </c>
      <c r="N187">
        <v>7.24</v>
      </c>
      <c r="O187">
        <v>88.97</v>
      </c>
      <c r="P187">
        <v>42</v>
      </c>
      <c r="Q187">
        <v>21.6</v>
      </c>
      <c r="R187">
        <v>9.18</v>
      </c>
      <c r="S187">
        <v>13.92</v>
      </c>
      <c r="T187">
        <v>5.76</v>
      </c>
      <c r="U187">
        <v>8.1199999999999992</v>
      </c>
      <c r="V187">
        <v>3522.24</v>
      </c>
      <c r="W187">
        <v>1058.21</v>
      </c>
      <c r="X187">
        <v>1338.81</v>
      </c>
      <c r="Y187">
        <v>774.8</v>
      </c>
      <c r="Z187">
        <v>6.92</v>
      </c>
      <c r="AA187">
        <v>1.6</v>
      </c>
      <c r="AB187">
        <v>4.3899999999999997</v>
      </c>
      <c r="AC187">
        <v>61.45</v>
      </c>
      <c r="AD187">
        <v>680</v>
      </c>
      <c r="AE187">
        <v>5900</v>
      </c>
      <c r="AF187">
        <v>82.89</v>
      </c>
      <c r="AG187">
        <v>0.59</v>
      </c>
      <c r="AH187">
        <v>11.64</v>
      </c>
      <c r="AI187">
        <v>53.02</v>
      </c>
      <c r="AJ187">
        <v>60</v>
      </c>
      <c r="AK187">
        <v>9</v>
      </c>
      <c r="AL187">
        <v>9</v>
      </c>
      <c r="AM187">
        <v>0.59</v>
      </c>
      <c r="AN187">
        <v>408</v>
      </c>
      <c r="AO187">
        <v>413.33</v>
      </c>
      <c r="AP187">
        <v>370743.14</v>
      </c>
      <c r="AQ187">
        <v>250379.4</v>
      </c>
      <c r="AR187" t="s">
        <v>1094</v>
      </c>
      <c r="AT187" s="6">
        <f t="shared" si="11"/>
        <v>6.8700764840182655</v>
      </c>
    </row>
    <row r="188" spans="1:46" x14ac:dyDescent="0.55000000000000004">
      <c r="A188">
        <v>20.52</v>
      </c>
      <c r="B188">
        <v>29.71</v>
      </c>
      <c r="C188">
        <v>5500.48</v>
      </c>
      <c r="D188">
        <v>7.6</v>
      </c>
      <c r="E188" t="s">
        <v>1345</v>
      </c>
      <c r="F188" t="s">
        <v>1590</v>
      </c>
      <c r="G188" t="s">
        <v>1744</v>
      </c>
      <c r="H188" t="s">
        <v>1948</v>
      </c>
      <c r="I188">
        <v>0</v>
      </c>
      <c r="J188">
        <v>675.98</v>
      </c>
      <c r="K188">
        <f t="shared" si="8"/>
        <v>61.64</v>
      </c>
      <c r="L188">
        <f t="shared" si="9"/>
        <v>64.61</v>
      </c>
      <c r="M188">
        <f t="shared" si="10"/>
        <v>-2.9699999999999989</v>
      </c>
      <c r="N188">
        <v>7.24</v>
      </c>
      <c r="O188">
        <v>88.97</v>
      </c>
      <c r="P188">
        <v>40</v>
      </c>
      <c r="Q188">
        <v>23.1</v>
      </c>
      <c r="R188">
        <v>9.18</v>
      </c>
      <c r="S188">
        <v>14.84</v>
      </c>
      <c r="T188">
        <v>5.68</v>
      </c>
      <c r="U188">
        <v>8.14</v>
      </c>
      <c r="V188">
        <v>3520.31</v>
      </c>
      <c r="W188">
        <v>1057.68</v>
      </c>
      <c r="X188">
        <v>1338.78</v>
      </c>
      <c r="Y188">
        <v>774.53</v>
      </c>
      <c r="Z188">
        <v>9.06</v>
      </c>
      <c r="AA188">
        <v>1.62</v>
      </c>
      <c r="AB188">
        <v>4.3499999999999996</v>
      </c>
      <c r="AC188">
        <v>61.77</v>
      </c>
      <c r="AD188">
        <v>680</v>
      </c>
      <c r="AE188">
        <v>5900</v>
      </c>
      <c r="AF188">
        <v>82.89</v>
      </c>
      <c r="AG188">
        <v>0.59</v>
      </c>
      <c r="AH188">
        <v>11.61</v>
      </c>
      <c r="AI188">
        <v>69.290000000000006</v>
      </c>
      <c r="AJ188">
        <v>60</v>
      </c>
      <c r="AK188">
        <v>9</v>
      </c>
      <c r="AL188">
        <v>9</v>
      </c>
      <c r="AM188">
        <v>0.45</v>
      </c>
      <c r="AN188">
        <v>408</v>
      </c>
      <c r="AO188">
        <v>412.08</v>
      </c>
      <c r="AP188">
        <v>373817.28</v>
      </c>
      <c r="AQ188">
        <v>325000.40999999997</v>
      </c>
      <c r="AR188" t="s">
        <v>1095</v>
      </c>
      <c r="AT188" s="6">
        <f t="shared" si="11"/>
        <v>2.7863510273972634</v>
      </c>
    </row>
    <row r="189" spans="1:46" x14ac:dyDescent="0.55000000000000004">
      <c r="A189">
        <v>20.62</v>
      </c>
      <c r="B189">
        <v>29.85</v>
      </c>
      <c r="C189">
        <v>5502.84</v>
      </c>
      <c r="D189">
        <v>7.6</v>
      </c>
      <c r="E189" t="s">
        <v>1346</v>
      </c>
      <c r="F189" t="s">
        <v>1591</v>
      </c>
      <c r="G189" t="s">
        <v>1745</v>
      </c>
      <c r="H189" t="s">
        <v>1949</v>
      </c>
      <c r="I189">
        <v>0</v>
      </c>
      <c r="J189">
        <v>714.96</v>
      </c>
      <c r="K189">
        <f t="shared" si="8"/>
        <v>66.13</v>
      </c>
      <c r="L189">
        <f t="shared" si="9"/>
        <v>66.13</v>
      </c>
      <c r="M189">
        <f t="shared" si="10"/>
        <v>0</v>
      </c>
      <c r="N189">
        <v>7.27</v>
      </c>
      <c r="O189">
        <v>88.92</v>
      </c>
      <c r="P189">
        <v>40</v>
      </c>
      <c r="Q189">
        <v>23.8</v>
      </c>
      <c r="R189">
        <v>9.24</v>
      </c>
      <c r="S189">
        <v>15.41</v>
      </c>
      <c r="T189">
        <v>5.21</v>
      </c>
      <c r="U189">
        <v>7.7</v>
      </c>
      <c r="V189">
        <v>3521.82</v>
      </c>
      <c r="W189">
        <v>1055.6600000000001</v>
      </c>
      <c r="X189">
        <v>1314.1</v>
      </c>
      <c r="Y189">
        <v>768.32</v>
      </c>
      <c r="Z189">
        <v>17.22</v>
      </c>
      <c r="AA189">
        <v>1.61</v>
      </c>
      <c r="AB189">
        <v>4.37</v>
      </c>
      <c r="AC189">
        <v>63.94</v>
      </c>
      <c r="AD189">
        <v>680</v>
      </c>
      <c r="AE189">
        <v>5900</v>
      </c>
      <c r="AF189">
        <v>83.38</v>
      </c>
      <c r="AG189">
        <v>0.59</v>
      </c>
      <c r="AH189">
        <v>12.45</v>
      </c>
      <c r="AI189">
        <v>122.68</v>
      </c>
      <c r="AJ189">
        <v>60</v>
      </c>
      <c r="AK189">
        <v>9</v>
      </c>
      <c r="AL189">
        <v>9</v>
      </c>
      <c r="AM189">
        <v>0.26</v>
      </c>
      <c r="AN189">
        <v>408</v>
      </c>
      <c r="AO189">
        <v>410.3</v>
      </c>
      <c r="AP189">
        <v>384756.41</v>
      </c>
      <c r="AQ189">
        <v>384756.41</v>
      </c>
      <c r="AR189" t="s">
        <v>1096</v>
      </c>
      <c r="AT189" s="6">
        <f t="shared" si="11"/>
        <v>0</v>
      </c>
    </row>
    <row r="190" spans="1:46" x14ac:dyDescent="0.55000000000000004">
      <c r="A190">
        <v>20.32</v>
      </c>
      <c r="B190">
        <v>29.55</v>
      </c>
      <c r="C190">
        <v>5544.43</v>
      </c>
      <c r="D190">
        <v>7.6</v>
      </c>
      <c r="E190" t="s">
        <v>1347</v>
      </c>
      <c r="F190" t="s">
        <v>1592</v>
      </c>
      <c r="G190" t="s">
        <v>1746</v>
      </c>
      <c r="H190" t="s">
        <v>1950</v>
      </c>
      <c r="I190">
        <v>0</v>
      </c>
      <c r="J190">
        <v>674.11</v>
      </c>
      <c r="K190">
        <f t="shared" si="8"/>
        <v>62.510000000000005</v>
      </c>
      <c r="L190">
        <f t="shared" si="9"/>
        <v>64.290000000000006</v>
      </c>
      <c r="M190">
        <f t="shared" si="10"/>
        <v>-1.7800000000000011</v>
      </c>
      <c r="N190">
        <v>7.24</v>
      </c>
      <c r="O190">
        <v>89.01</v>
      </c>
      <c r="P190">
        <v>56</v>
      </c>
      <c r="Q190">
        <v>20.100000000000001</v>
      </c>
      <c r="R190">
        <v>9.23</v>
      </c>
      <c r="S190">
        <v>14.58</v>
      </c>
      <c r="T190">
        <v>5.74</v>
      </c>
      <c r="U190">
        <v>8.2200000000000006</v>
      </c>
      <c r="V190">
        <v>3548.44</v>
      </c>
      <c r="W190">
        <v>1066.45</v>
      </c>
      <c r="X190">
        <v>1352.19</v>
      </c>
      <c r="Y190">
        <v>781.51</v>
      </c>
      <c r="Z190">
        <v>7.29</v>
      </c>
      <c r="AA190">
        <v>1.62</v>
      </c>
      <c r="AB190">
        <v>4.3499999999999996</v>
      </c>
      <c r="AC190">
        <v>61.66</v>
      </c>
      <c r="AD190">
        <v>680</v>
      </c>
      <c r="AE190">
        <v>5900</v>
      </c>
      <c r="AF190">
        <v>83.33</v>
      </c>
      <c r="AG190">
        <v>0.59</v>
      </c>
      <c r="AH190">
        <v>11.53</v>
      </c>
      <c r="AI190">
        <v>54.98</v>
      </c>
      <c r="AJ190">
        <v>60</v>
      </c>
      <c r="AK190">
        <v>9</v>
      </c>
      <c r="AL190">
        <v>9</v>
      </c>
      <c r="AM190">
        <v>0.56999999999999995</v>
      </c>
      <c r="AN190">
        <v>408</v>
      </c>
      <c r="AO190">
        <v>413.14</v>
      </c>
      <c r="AP190">
        <v>408620.16</v>
      </c>
      <c r="AQ190">
        <v>232309.73</v>
      </c>
      <c r="AR190" t="s">
        <v>1097</v>
      </c>
      <c r="AT190" s="6">
        <f t="shared" si="11"/>
        <v>10.063380707762555</v>
      </c>
    </row>
    <row r="191" spans="1:46" x14ac:dyDescent="0.55000000000000004">
      <c r="A191">
        <v>19.940000000000001</v>
      </c>
      <c r="B191">
        <v>29.08</v>
      </c>
      <c r="C191">
        <v>5506.29</v>
      </c>
      <c r="D191">
        <v>7.6</v>
      </c>
      <c r="E191" t="s">
        <v>1348</v>
      </c>
      <c r="F191" t="s">
        <v>292</v>
      </c>
      <c r="G191" t="s">
        <v>1732</v>
      </c>
      <c r="H191" t="s">
        <v>1951</v>
      </c>
      <c r="I191">
        <v>0</v>
      </c>
      <c r="J191">
        <v>681.73</v>
      </c>
      <c r="K191">
        <f t="shared" si="8"/>
        <v>62.370000000000005</v>
      </c>
      <c r="L191">
        <f t="shared" si="9"/>
        <v>62.370000000000005</v>
      </c>
      <c r="M191">
        <f t="shared" si="10"/>
        <v>0</v>
      </c>
      <c r="N191">
        <v>7.24</v>
      </c>
      <c r="O191">
        <v>89</v>
      </c>
      <c r="P191">
        <v>41</v>
      </c>
      <c r="Q191">
        <v>22.1</v>
      </c>
      <c r="R191">
        <v>9.14</v>
      </c>
      <c r="S191">
        <v>14.18</v>
      </c>
      <c r="T191">
        <v>5.76</v>
      </c>
      <c r="U191">
        <v>8.08</v>
      </c>
      <c r="V191">
        <v>3524.03</v>
      </c>
      <c r="W191">
        <v>1057.8399999999999</v>
      </c>
      <c r="X191">
        <v>1332.12</v>
      </c>
      <c r="Y191">
        <v>773</v>
      </c>
      <c r="Z191">
        <v>16.55</v>
      </c>
      <c r="AA191">
        <v>1.61</v>
      </c>
      <c r="AB191">
        <v>4.38</v>
      </c>
      <c r="AC191">
        <v>61.37</v>
      </c>
      <c r="AD191">
        <v>680</v>
      </c>
      <c r="AE191">
        <v>5900</v>
      </c>
      <c r="AF191">
        <v>82.55</v>
      </c>
      <c r="AG191">
        <v>0.59</v>
      </c>
      <c r="AH191">
        <v>11.66</v>
      </c>
      <c r="AI191">
        <v>125.01</v>
      </c>
      <c r="AJ191">
        <v>60</v>
      </c>
      <c r="AK191">
        <v>9</v>
      </c>
      <c r="AL191">
        <v>9</v>
      </c>
      <c r="AM191">
        <v>0.25</v>
      </c>
      <c r="AN191">
        <v>408</v>
      </c>
      <c r="AO191">
        <v>410.26</v>
      </c>
      <c r="AP191">
        <v>377573.63</v>
      </c>
      <c r="AQ191">
        <v>377573.63</v>
      </c>
      <c r="AR191" t="s">
        <v>1098</v>
      </c>
      <c r="AT191" s="6">
        <f t="shared" si="11"/>
        <v>0</v>
      </c>
    </row>
    <row r="192" spans="1:46" x14ac:dyDescent="0.55000000000000004">
      <c r="A192">
        <v>20.73</v>
      </c>
      <c r="B192">
        <v>29.98</v>
      </c>
      <c r="C192">
        <v>5503.48</v>
      </c>
      <c r="D192">
        <v>7.6</v>
      </c>
      <c r="E192" t="s">
        <v>1349</v>
      </c>
      <c r="F192" t="s">
        <v>1593</v>
      </c>
      <c r="G192" t="s">
        <v>1747</v>
      </c>
      <c r="H192" t="s">
        <v>1952</v>
      </c>
      <c r="I192">
        <v>0</v>
      </c>
      <c r="J192">
        <v>695.75</v>
      </c>
      <c r="K192">
        <f t="shared" si="8"/>
        <v>65.33</v>
      </c>
      <c r="L192">
        <f t="shared" si="9"/>
        <v>69.13000000000001</v>
      </c>
      <c r="M192">
        <f t="shared" si="10"/>
        <v>-3.8000000000000114</v>
      </c>
      <c r="N192">
        <v>7.27</v>
      </c>
      <c r="O192">
        <v>88.99</v>
      </c>
      <c r="P192">
        <v>38</v>
      </c>
      <c r="Q192">
        <v>24.8</v>
      </c>
      <c r="R192">
        <v>9.25</v>
      </c>
      <c r="S192">
        <v>15.88</v>
      </c>
      <c r="T192">
        <v>4.8499999999999996</v>
      </c>
      <c r="U192">
        <v>7.91</v>
      </c>
      <c r="V192">
        <v>3522.23</v>
      </c>
      <c r="W192">
        <v>1058.67</v>
      </c>
      <c r="X192">
        <v>1338.75</v>
      </c>
      <c r="Y192">
        <v>775.51</v>
      </c>
      <c r="Z192">
        <v>8.51</v>
      </c>
      <c r="AA192">
        <v>1.63</v>
      </c>
      <c r="AB192">
        <v>4.3499999999999996</v>
      </c>
      <c r="AC192">
        <v>65.599999999999994</v>
      </c>
      <c r="AD192">
        <v>680</v>
      </c>
      <c r="AE192">
        <v>5900</v>
      </c>
      <c r="AF192">
        <v>83.49</v>
      </c>
      <c r="AG192">
        <v>0.59</v>
      </c>
      <c r="AH192">
        <v>12.08</v>
      </c>
      <c r="AI192">
        <v>61.35</v>
      </c>
      <c r="AJ192">
        <v>60</v>
      </c>
      <c r="AK192">
        <v>9</v>
      </c>
      <c r="AL192">
        <v>9</v>
      </c>
      <c r="AM192">
        <v>0.51</v>
      </c>
      <c r="AN192">
        <v>408</v>
      </c>
      <c r="AO192">
        <v>412.61</v>
      </c>
      <c r="AP192">
        <v>380628.77</v>
      </c>
      <c r="AQ192">
        <v>324773.58</v>
      </c>
      <c r="AR192" t="s">
        <v>1099</v>
      </c>
      <c r="AT192" s="6">
        <f t="shared" si="11"/>
        <v>3.1880816210045664</v>
      </c>
    </row>
    <row r="193" spans="1:46" x14ac:dyDescent="0.55000000000000004">
      <c r="A193">
        <v>20.14</v>
      </c>
      <c r="B193">
        <v>29.39</v>
      </c>
      <c r="C193">
        <v>5540.25</v>
      </c>
      <c r="D193">
        <v>7.6</v>
      </c>
      <c r="E193" t="s">
        <v>1350</v>
      </c>
      <c r="F193" t="s">
        <v>1594</v>
      </c>
      <c r="G193" t="s">
        <v>1741</v>
      </c>
      <c r="H193" t="s">
        <v>1953</v>
      </c>
      <c r="I193">
        <v>0</v>
      </c>
      <c r="J193">
        <v>702.93</v>
      </c>
      <c r="K193">
        <f t="shared" si="8"/>
        <v>64.84</v>
      </c>
      <c r="L193">
        <f t="shared" si="9"/>
        <v>65.61</v>
      </c>
      <c r="M193">
        <f t="shared" si="10"/>
        <v>-0.76999999999999602</v>
      </c>
      <c r="N193">
        <v>7.26</v>
      </c>
      <c r="O193">
        <v>88.96</v>
      </c>
      <c r="P193">
        <v>56</v>
      </c>
      <c r="Q193">
        <v>19.7</v>
      </c>
      <c r="R193">
        <v>9.24</v>
      </c>
      <c r="S193">
        <v>14.23</v>
      </c>
      <c r="T193">
        <v>5.92</v>
      </c>
      <c r="U193">
        <v>7.88</v>
      </c>
      <c r="V193">
        <v>3545.76</v>
      </c>
      <c r="W193">
        <v>1064</v>
      </c>
      <c r="X193">
        <v>1333.66</v>
      </c>
      <c r="Y193">
        <v>776.48</v>
      </c>
      <c r="Z193">
        <v>7.91</v>
      </c>
      <c r="AA193">
        <v>1.62</v>
      </c>
      <c r="AB193">
        <v>4.37</v>
      </c>
      <c r="AC193">
        <v>60.98</v>
      </c>
      <c r="AD193">
        <v>680</v>
      </c>
      <c r="AE193">
        <v>5900</v>
      </c>
      <c r="AF193">
        <v>83.45</v>
      </c>
      <c r="AG193">
        <v>0.59</v>
      </c>
      <c r="AH193">
        <v>12.13</v>
      </c>
      <c r="AI193">
        <v>57.45</v>
      </c>
      <c r="AJ193">
        <v>60</v>
      </c>
      <c r="AK193">
        <v>9</v>
      </c>
      <c r="AL193">
        <v>9</v>
      </c>
      <c r="AM193">
        <v>0.55000000000000004</v>
      </c>
      <c r="AN193">
        <v>408</v>
      </c>
      <c r="AO193">
        <v>412.92</v>
      </c>
      <c r="AP193">
        <v>417017.64</v>
      </c>
      <c r="AQ193">
        <v>264974.17</v>
      </c>
      <c r="AR193" t="s">
        <v>1100</v>
      </c>
      <c r="AT193" s="6">
        <f t="shared" si="11"/>
        <v>8.6782802511415547</v>
      </c>
    </row>
    <row r="194" spans="1:46" x14ac:dyDescent="0.55000000000000004">
      <c r="A194">
        <v>21.05</v>
      </c>
      <c r="B194">
        <v>30.33</v>
      </c>
      <c r="C194">
        <v>5500.11</v>
      </c>
      <c r="D194">
        <v>7.6</v>
      </c>
      <c r="E194" t="s">
        <v>1351</v>
      </c>
      <c r="F194" t="s">
        <v>1595</v>
      </c>
      <c r="G194" t="s">
        <v>1748</v>
      </c>
      <c r="H194" t="s">
        <v>1954</v>
      </c>
      <c r="I194">
        <v>0</v>
      </c>
      <c r="J194">
        <v>716.78</v>
      </c>
      <c r="K194">
        <f t="shared" si="8"/>
        <v>66.84</v>
      </c>
      <c r="L194">
        <f t="shared" si="9"/>
        <v>70.209999999999994</v>
      </c>
      <c r="M194">
        <f t="shared" si="10"/>
        <v>-3.3699999999999903</v>
      </c>
      <c r="N194">
        <v>7.27</v>
      </c>
      <c r="O194">
        <v>89.07</v>
      </c>
      <c r="P194">
        <v>40</v>
      </c>
      <c r="Q194">
        <v>25</v>
      </c>
      <c r="R194">
        <v>9.27</v>
      </c>
      <c r="S194">
        <v>16.38</v>
      </c>
      <c r="T194">
        <v>4.67</v>
      </c>
      <c r="U194">
        <v>7.67</v>
      </c>
      <c r="V194">
        <v>3520.07</v>
      </c>
      <c r="W194">
        <v>1055.25</v>
      </c>
      <c r="X194">
        <v>1314</v>
      </c>
      <c r="Y194">
        <v>768.18</v>
      </c>
      <c r="Z194">
        <v>9.0399999999999991</v>
      </c>
      <c r="AA194">
        <v>1.63</v>
      </c>
      <c r="AB194">
        <v>4.3499999999999996</v>
      </c>
      <c r="AC194">
        <v>66.510000000000005</v>
      </c>
      <c r="AD194">
        <v>680</v>
      </c>
      <c r="AE194">
        <v>5900</v>
      </c>
      <c r="AF194">
        <v>83.72</v>
      </c>
      <c r="AG194">
        <v>0.59</v>
      </c>
      <c r="AH194">
        <v>12.54</v>
      </c>
      <c r="AI194">
        <v>63.77</v>
      </c>
      <c r="AJ194">
        <v>60</v>
      </c>
      <c r="AK194">
        <v>9</v>
      </c>
      <c r="AL194">
        <v>9</v>
      </c>
      <c r="AM194">
        <v>0.49</v>
      </c>
      <c r="AN194">
        <v>408</v>
      </c>
      <c r="AO194">
        <v>412.43</v>
      </c>
      <c r="AP194">
        <v>388703.02</v>
      </c>
      <c r="AQ194">
        <v>359953.68</v>
      </c>
      <c r="AR194" t="s">
        <v>1101</v>
      </c>
      <c r="AT194" s="6">
        <f t="shared" si="11"/>
        <v>1.6409440639269421</v>
      </c>
    </row>
    <row r="195" spans="1:46" x14ac:dyDescent="0.55000000000000004">
      <c r="A195">
        <v>21.19</v>
      </c>
      <c r="B195">
        <v>30.46</v>
      </c>
      <c r="C195">
        <v>5509.67</v>
      </c>
      <c r="D195">
        <v>7.6</v>
      </c>
      <c r="E195" t="s">
        <v>1352</v>
      </c>
      <c r="F195" t="s">
        <v>1596</v>
      </c>
      <c r="G195" t="s">
        <v>1749</v>
      </c>
      <c r="H195" t="s">
        <v>1955</v>
      </c>
      <c r="I195">
        <v>0</v>
      </c>
      <c r="J195">
        <v>726.19</v>
      </c>
      <c r="K195">
        <f t="shared" ref="K195:K251" si="12">IF(E195=0,0,
VALUE(MID(E195,2,FIND(",",E195)-2))+
VALUE(MID(F195,2,FIND(",",F195)-2))+
VALUE(MID(G195,2,FIND(",",G195)-2))
)</f>
        <v>67.28</v>
      </c>
      <c r="L195">
        <f t="shared" ref="L195:L251" si="13">IF(E195=0,0,
VALUE(MID(E195,FIND(",",E195)+1,FIND("]",E195)-FIND(",",E195)-1))+
VALUE(MID(F195,FIND(",",F195)+1,FIND("]",F195)-FIND(",",F195)-1))+
VALUE(MID(G195,FIND(",",G195)+1,FIND("]",G195)-FIND(",",G195)-1))
)</f>
        <v>71.59</v>
      </c>
      <c r="M195">
        <f t="shared" ref="M195:M251" si="14">(K195-L195)</f>
        <v>-4.3100000000000023</v>
      </c>
      <c r="N195">
        <v>7.27</v>
      </c>
      <c r="O195">
        <v>88.96</v>
      </c>
      <c r="P195">
        <v>43</v>
      </c>
      <c r="Q195">
        <v>24.3</v>
      </c>
      <c r="R195">
        <v>9.26</v>
      </c>
      <c r="S195">
        <v>16.3</v>
      </c>
      <c r="T195">
        <v>4.8899999999999997</v>
      </c>
      <c r="U195">
        <v>7.59</v>
      </c>
      <c r="V195">
        <v>3526.19</v>
      </c>
      <c r="W195">
        <v>1056.23</v>
      </c>
      <c r="X195">
        <v>1308.4100000000001</v>
      </c>
      <c r="Y195">
        <v>767.34</v>
      </c>
      <c r="Z195">
        <v>7.99</v>
      </c>
      <c r="AA195">
        <v>1.62</v>
      </c>
      <c r="AB195">
        <v>4.3499999999999996</v>
      </c>
      <c r="AC195">
        <v>65.459999999999994</v>
      </c>
      <c r="AD195">
        <v>680</v>
      </c>
      <c r="AE195">
        <v>5900</v>
      </c>
      <c r="AF195">
        <v>83.63</v>
      </c>
      <c r="AG195">
        <v>0.59</v>
      </c>
      <c r="AH195">
        <v>12.7</v>
      </c>
      <c r="AI195">
        <v>55.96</v>
      </c>
      <c r="AJ195">
        <v>60</v>
      </c>
      <c r="AK195">
        <v>9</v>
      </c>
      <c r="AL195">
        <v>9</v>
      </c>
      <c r="AM195">
        <v>0.56000000000000005</v>
      </c>
      <c r="AN195">
        <v>408</v>
      </c>
      <c r="AO195">
        <v>413.05</v>
      </c>
      <c r="AP195">
        <v>389908.71</v>
      </c>
      <c r="AQ195">
        <v>329772.59000000003</v>
      </c>
      <c r="AR195" t="s">
        <v>1102</v>
      </c>
      <c r="AT195" s="6">
        <f t="shared" ref="AT195:AT251" si="15">(AP195-AQ195)/(365*24*2)</f>
        <v>3.4324269406392691</v>
      </c>
    </row>
    <row r="196" spans="1:46" x14ac:dyDescent="0.55000000000000004">
      <c r="A196">
        <v>20.61</v>
      </c>
      <c r="B196">
        <v>29.87</v>
      </c>
      <c r="C196">
        <v>5499.62</v>
      </c>
      <c r="D196">
        <v>7.6</v>
      </c>
      <c r="E196" t="s">
        <v>1353</v>
      </c>
      <c r="F196" t="s">
        <v>1597</v>
      </c>
      <c r="G196" t="s">
        <v>1750</v>
      </c>
      <c r="H196" t="s">
        <v>1956</v>
      </c>
      <c r="I196">
        <v>0</v>
      </c>
      <c r="J196">
        <v>704.05</v>
      </c>
      <c r="K196">
        <f t="shared" si="12"/>
        <v>65.38</v>
      </c>
      <c r="L196">
        <f t="shared" si="13"/>
        <v>65.38</v>
      </c>
      <c r="M196">
        <f t="shared" si="14"/>
        <v>0</v>
      </c>
      <c r="N196">
        <v>7.27</v>
      </c>
      <c r="O196">
        <v>89.02</v>
      </c>
      <c r="P196">
        <v>39</v>
      </c>
      <c r="Q196">
        <v>24.2</v>
      </c>
      <c r="R196">
        <v>9.27</v>
      </c>
      <c r="S196">
        <v>15.57</v>
      </c>
      <c r="T196">
        <v>5.04</v>
      </c>
      <c r="U196">
        <v>7.81</v>
      </c>
      <c r="V196">
        <v>3519.76</v>
      </c>
      <c r="W196">
        <v>1057.1600000000001</v>
      </c>
      <c r="X196">
        <v>1330.73</v>
      </c>
      <c r="Y196">
        <v>773.03</v>
      </c>
      <c r="Z196">
        <v>16.940000000000001</v>
      </c>
      <c r="AA196">
        <v>1.62</v>
      </c>
      <c r="AB196">
        <v>4.3600000000000003</v>
      </c>
      <c r="AC196">
        <v>64.77</v>
      </c>
      <c r="AD196">
        <v>680</v>
      </c>
      <c r="AE196">
        <v>5900</v>
      </c>
      <c r="AF196">
        <v>83.64</v>
      </c>
      <c r="AG196">
        <v>0.59</v>
      </c>
      <c r="AH196">
        <v>12.28</v>
      </c>
      <c r="AI196">
        <v>122.08</v>
      </c>
      <c r="AJ196">
        <v>60</v>
      </c>
      <c r="AK196">
        <v>9</v>
      </c>
      <c r="AL196">
        <v>9</v>
      </c>
      <c r="AM196">
        <v>0.26</v>
      </c>
      <c r="AN196">
        <v>408</v>
      </c>
      <c r="AO196">
        <v>410.32</v>
      </c>
      <c r="AP196">
        <v>378643.45</v>
      </c>
      <c r="AQ196">
        <v>378643.45</v>
      </c>
      <c r="AR196" t="s">
        <v>1103</v>
      </c>
      <c r="AT196" s="6">
        <f t="shared" si="15"/>
        <v>0</v>
      </c>
    </row>
    <row r="197" spans="1:46" x14ac:dyDescent="0.55000000000000004">
      <c r="A197">
        <v>20.9</v>
      </c>
      <c r="B197">
        <v>30.18</v>
      </c>
      <c r="C197">
        <v>5501.66</v>
      </c>
      <c r="D197">
        <v>7.6</v>
      </c>
      <c r="E197" t="s">
        <v>1354</v>
      </c>
      <c r="F197" t="s">
        <v>1598</v>
      </c>
      <c r="G197" t="s">
        <v>1751</v>
      </c>
      <c r="H197" t="s">
        <v>1957</v>
      </c>
      <c r="I197">
        <v>0</v>
      </c>
      <c r="J197">
        <v>731.08</v>
      </c>
      <c r="K197">
        <f t="shared" si="12"/>
        <v>67.13</v>
      </c>
      <c r="L197">
        <f t="shared" si="13"/>
        <v>70.63000000000001</v>
      </c>
      <c r="M197">
        <f t="shared" si="14"/>
        <v>-3.5000000000000142</v>
      </c>
      <c r="N197">
        <v>7.28</v>
      </c>
      <c r="O197">
        <v>88.94</v>
      </c>
      <c r="P197">
        <v>38</v>
      </c>
      <c r="Q197">
        <v>24.9</v>
      </c>
      <c r="R197">
        <v>9.2799999999999994</v>
      </c>
      <c r="S197">
        <v>15.96</v>
      </c>
      <c r="T197">
        <v>4.93</v>
      </c>
      <c r="U197">
        <v>7.53</v>
      </c>
      <c r="V197">
        <v>3521.06</v>
      </c>
      <c r="W197">
        <v>1054.95</v>
      </c>
      <c r="X197">
        <v>1307.53</v>
      </c>
      <c r="Y197">
        <v>766.73</v>
      </c>
      <c r="Z197">
        <v>9.0299999999999994</v>
      </c>
      <c r="AA197">
        <v>1.62</v>
      </c>
      <c r="AB197">
        <v>4.3600000000000003</v>
      </c>
      <c r="AC197">
        <v>65.28</v>
      </c>
      <c r="AD197">
        <v>680</v>
      </c>
      <c r="AE197">
        <v>5900</v>
      </c>
      <c r="AF197">
        <v>83.77</v>
      </c>
      <c r="AG197">
        <v>0.59</v>
      </c>
      <c r="AH197">
        <v>12.84</v>
      </c>
      <c r="AI197">
        <v>63.39</v>
      </c>
      <c r="AJ197">
        <v>60</v>
      </c>
      <c r="AK197">
        <v>9</v>
      </c>
      <c r="AL197">
        <v>9</v>
      </c>
      <c r="AM197">
        <v>0.5</v>
      </c>
      <c r="AN197">
        <v>408</v>
      </c>
      <c r="AO197">
        <v>412.46</v>
      </c>
      <c r="AP197">
        <v>383251.35</v>
      </c>
      <c r="AQ197">
        <v>363780.33</v>
      </c>
      <c r="AR197" t="s">
        <v>1104</v>
      </c>
      <c r="AT197" s="6">
        <f t="shared" si="15"/>
        <v>1.1113595890410937</v>
      </c>
    </row>
    <row r="198" spans="1:46" x14ac:dyDescent="0.55000000000000004">
      <c r="A198">
        <v>21.27</v>
      </c>
      <c r="B198">
        <v>30.48</v>
      </c>
      <c r="C198">
        <v>5501.94</v>
      </c>
      <c r="D198">
        <v>7.6</v>
      </c>
      <c r="E198" t="s">
        <v>1355</v>
      </c>
      <c r="F198" t="s">
        <v>1599</v>
      </c>
      <c r="G198" t="s">
        <v>1752</v>
      </c>
      <c r="H198" t="s">
        <v>1958</v>
      </c>
      <c r="I198">
        <v>0</v>
      </c>
      <c r="J198">
        <v>709.37</v>
      </c>
      <c r="K198">
        <f t="shared" si="12"/>
        <v>64.37</v>
      </c>
      <c r="L198">
        <f t="shared" si="13"/>
        <v>67.03</v>
      </c>
      <c r="M198">
        <f t="shared" si="14"/>
        <v>-2.6599999999999966</v>
      </c>
      <c r="N198">
        <v>7.27</v>
      </c>
      <c r="O198">
        <v>89.02</v>
      </c>
      <c r="P198">
        <v>41</v>
      </c>
      <c r="Q198">
        <v>24.8</v>
      </c>
      <c r="R198">
        <v>9.2100000000000009</v>
      </c>
      <c r="S198">
        <v>16.39</v>
      </c>
      <c r="T198">
        <v>4.88</v>
      </c>
      <c r="U198">
        <v>7.76</v>
      </c>
      <c r="V198">
        <v>3521.24</v>
      </c>
      <c r="W198">
        <v>1056.1500000000001</v>
      </c>
      <c r="X198">
        <v>1319.71</v>
      </c>
      <c r="Y198">
        <v>769.84</v>
      </c>
      <c r="Z198">
        <v>9.6</v>
      </c>
      <c r="AA198">
        <v>1.63</v>
      </c>
      <c r="AB198">
        <v>4.34</v>
      </c>
      <c r="AC198">
        <v>65.34</v>
      </c>
      <c r="AD198">
        <v>680</v>
      </c>
      <c r="AE198">
        <v>5900</v>
      </c>
      <c r="AF198">
        <v>83.09</v>
      </c>
      <c r="AG198">
        <v>0.59</v>
      </c>
      <c r="AH198">
        <v>12.3</v>
      </c>
      <c r="AI198">
        <v>70.3</v>
      </c>
      <c r="AJ198">
        <v>60</v>
      </c>
      <c r="AK198">
        <v>9</v>
      </c>
      <c r="AL198">
        <v>9</v>
      </c>
      <c r="AM198">
        <v>0.45</v>
      </c>
      <c r="AN198">
        <v>408</v>
      </c>
      <c r="AO198">
        <v>412.02</v>
      </c>
      <c r="AP198">
        <v>378063.26</v>
      </c>
      <c r="AQ198">
        <v>357556.58</v>
      </c>
      <c r="AR198" t="s">
        <v>1105</v>
      </c>
      <c r="AT198" s="6">
        <f t="shared" si="15"/>
        <v>1.1704726027397256</v>
      </c>
    </row>
    <row r="199" spans="1:46" x14ac:dyDescent="0.55000000000000004">
      <c r="A199">
        <v>20</v>
      </c>
      <c r="B199">
        <v>29.21</v>
      </c>
      <c r="C199">
        <v>5533.75</v>
      </c>
      <c r="D199">
        <v>7.6</v>
      </c>
      <c r="E199" t="s">
        <v>1356</v>
      </c>
      <c r="F199" t="s">
        <v>1600</v>
      </c>
      <c r="G199" t="s">
        <v>1753</v>
      </c>
      <c r="H199" t="s">
        <v>1959</v>
      </c>
      <c r="I199">
        <v>0</v>
      </c>
      <c r="J199">
        <v>710.27</v>
      </c>
      <c r="K199">
        <f t="shared" si="12"/>
        <v>65.48</v>
      </c>
      <c r="L199">
        <f t="shared" si="13"/>
        <v>63.24</v>
      </c>
      <c r="M199">
        <f t="shared" si="14"/>
        <v>2.240000000000002</v>
      </c>
      <c r="N199">
        <v>7.27</v>
      </c>
      <c r="O199">
        <v>88.99</v>
      </c>
      <c r="P199">
        <v>56</v>
      </c>
      <c r="Q199">
        <v>19.5</v>
      </c>
      <c r="R199">
        <v>9.2100000000000009</v>
      </c>
      <c r="S199">
        <v>14.05</v>
      </c>
      <c r="T199">
        <v>5.95</v>
      </c>
      <c r="U199">
        <v>7.79</v>
      </c>
      <c r="V199">
        <v>3541.6</v>
      </c>
      <c r="W199">
        <v>1062.3</v>
      </c>
      <c r="X199">
        <v>1327.53</v>
      </c>
      <c r="Y199">
        <v>774.39</v>
      </c>
      <c r="Z199">
        <v>11.39</v>
      </c>
      <c r="AA199">
        <v>1.61</v>
      </c>
      <c r="AB199">
        <v>4.38</v>
      </c>
      <c r="AC199">
        <v>60.73</v>
      </c>
      <c r="AD199">
        <v>680</v>
      </c>
      <c r="AE199">
        <v>5900</v>
      </c>
      <c r="AF199">
        <v>83.13</v>
      </c>
      <c r="AG199">
        <v>0.59</v>
      </c>
      <c r="AH199">
        <v>12.24</v>
      </c>
      <c r="AI199">
        <v>81.96</v>
      </c>
      <c r="AJ199">
        <v>60</v>
      </c>
      <c r="AK199">
        <v>9</v>
      </c>
      <c r="AL199">
        <v>9</v>
      </c>
      <c r="AM199">
        <v>0.38</v>
      </c>
      <c r="AN199">
        <v>408</v>
      </c>
      <c r="AO199">
        <v>411.45</v>
      </c>
      <c r="AP199">
        <v>423371.64</v>
      </c>
      <c r="AQ199">
        <v>353427.98</v>
      </c>
      <c r="AR199" t="s">
        <v>1106</v>
      </c>
      <c r="AT199" s="6">
        <f t="shared" si="15"/>
        <v>3.9922180365296822</v>
      </c>
    </row>
    <row r="200" spans="1:46" x14ac:dyDescent="0.55000000000000004">
      <c r="A200">
        <v>20.22</v>
      </c>
      <c r="B200">
        <v>29.38</v>
      </c>
      <c r="C200">
        <v>5500.09</v>
      </c>
      <c r="D200">
        <v>7.6</v>
      </c>
      <c r="E200" t="s">
        <v>1357</v>
      </c>
      <c r="F200" t="s">
        <v>1601</v>
      </c>
      <c r="G200" t="s">
        <v>1742</v>
      </c>
      <c r="H200" t="s">
        <v>1960</v>
      </c>
      <c r="I200">
        <v>0</v>
      </c>
      <c r="J200">
        <v>641.1</v>
      </c>
      <c r="K200">
        <f t="shared" si="12"/>
        <v>60.769999999999996</v>
      </c>
      <c r="L200">
        <f t="shared" si="13"/>
        <v>62.94</v>
      </c>
      <c r="M200">
        <f t="shared" si="14"/>
        <v>-2.1700000000000017</v>
      </c>
      <c r="N200">
        <v>7.22</v>
      </c>
      <c r="O200">
        <v>89.05</v>
      </c>
      <c r="P200">
        <v>41</v>
      </c>
      <c r="Q200">
        <v>22.8</v>
      </c>
      <c r="R200">
        <v>9.16</v>
      </c>
      <c r="S200">
        <v>14.75</v>
      </c>
      <c r="T200">
        <v>5.47</v>
      </c>
      <c r="U200">
        <v>8.58</v>
      </c>
      <c r="V200">
        <v>3520.06</v>
      </c>
      <c r="W200">
        <v>1060</v>
      </c>
      <c r="X200">
        <v>1363.33</v>
      </c>
      <c r="Y200">
        <v>780.83</v>
      </c>
      <c r="Z200">
        <v>10.14</v>
      </c>
      <c r="AA200">
        <v>1.62</v>
      </c>
      <c r="AB200">
        <v>4.3499999999999996</v>
      </c>
      <c r="AC200">
        <v>62.62</v>
      </c>
      <c r="AD200">
        <v>680</v>
      </c>
      <c r="AE200">
        <v>5900</v>
      </c>
      <c r="AF200">
        <v>82.69</v>
      </c>
      <c r="AG200">
        <v>0.59</v>
      </c>
      <c r="AH200">
        <v>10.91</v>
      </c>
      <c r="AI200">
        <v>78.61</v>
      </c>
      <c r="AJ200">
        <v>60</v>
      </c>
      <c r="AK200">
        <v>9</v>
      </c>
      <c r="AL200">
        <v>9</v>
      </c>
      <c r="AM200">
        <v>0.4</v>
      </c>
      <c r="AN200">
        <v>408</v>
      </c>
      <c r="AO200">
        <v>411.6</v>
      </c>
      <c r="AP200">
        <v>380418.15</v>
      </c>
      <c r="AQ200">
        <v>339641.89</v>
      </c>
      <c r="AR200" t="s">
        <v>1107</v>
      </c>
      <c r="AT200" s="6">
        <f t="shared" si="15"/>
        <v>2.3274121004566215</v>
      </c>
    </row>
    <row r="201" spans="1:46" x14ac:dyDescent="0.55000000000000004">
      <c r="A201">
        <v>20.68</v>
      </c>
      <c r="B201">
        <v>29.93</v>
      </c>
      <c r="C201">
        <v>5537.84</v>
      </c>
      <c r="D201">
        <v>7.6</v>
      </c>
      <c r="E201" t="s">
        <v>1358</v>
      </c>
      <c r="F201" t="s">
        <v>1602</v>
      </c>
      <c r="G201" t="s">
        <v>1743</v>
      </c>
      <c r="H201" t="s">
        <v>1961</v>
      </c>
      <c r="I201">
        <v>0</v>
      </c>
      <c r="J201">
        <v>675.4</v>
      </c>
      <c r="K201">
        <f t="shared" si="12"/>
        <v>62.57</v>
      </c>
      <c r="L201">
        <f t="shared" si="13"/>
        <v>67.349999999999994</v>
      </c>
      <c r="M201">
        <f t="shared" si="14"/>
        <v>-4.779999999999994</v>
      </c>
      <c r="N201">
        <v>7.24</v>
      </c>
      <c r="O201">
        <v>89</v>
      </c>
      <c r="P201">
        <v>54</v>
      </c>
      <c r="Q201">
        <v>21</v>
      </c>
      <c r="R201">
        <v>9.25</v>
      </c>
      <c r="S201">
        <v>15.11</v>
      </c>
      <c r="T201">
        <v>5.57</v>
      </c>
      <c r="U201">
        <v>8.1999999999999993</v>
      </c>
      <c r="V201">
        <v>3544.22</v>
      </c>
      <c r="W201">
        <v>1065.08</v>
      </c>
      <c r="X201">
        <v>1349.58</v>
      </c>
      <c r="Y201">
        <v>780.31</v>
      </c>
      <c r="Z201">
        <v>6.04</v>
      </c>
      <c r="AA201">
        <v>1.63</v>
      </c>
      <c r="AB201">
        <v>4.34</v>
      </c>
      <c r="AC201">
        <v>62.39</v>
      </c>
      <c r="AD201">
        <v>680</v>
      </c>
      <c r="AE201">
        <v>5900</v>
      </c>
      <c r="AF201">
        <v>83.46</v>
      </c>
      <c r="AG201">
        <v>0.59</v>
      </c>
      <c r="AH201">
        <v>11.59</v>
      </c>
      <c r="AI201">
        <v>45.48</v>
      </c>
      <c r="AJ201">
        <v>60</v>
      </c>
      <c r="AK201">
        <v>9</v>
      </c>
      <c r="AL201">
        <v>9</v>
      </c>
      <c r="AM201">
        <v>0.69</v>
      </c>
      <c r="AN201">
        <v>408</v>
      </c>
      <c r="AO201">
        <v>414.22</v>
      </c>
      <c r="AP201">
        <v>396178.8</v>
      </c>
      <c r="AQ201">
        <v>184294.2</v>
      </c>
      <c r="AR201" t="s">
        <v>1108</v>
      </c>
      <c r="AT201" s="6">
        <f t="shared" si="15"/>
        <v>12.093869863013698</v>
      </c>
    </row>
    <row r="202" spans="1:46" x14ac:dyDescent="0.55000000000000004">
      <c r="A202">
        <v>19.3</v>
      </c>
      <c r="B202">
        <v>28.53</v>
      </c>
      <c r="C202">
        <v>5446.1</v>
      </c>
      <c r="D202">
        <v>7.6</v>
      </c>
      <c r="E202" t="s">
        <v>1359</v>
      </c>
      <c r="F202" t="s">
        <v>1603</v>
      </c>
      <c r="G202" t="s">
        <v>1745</v>
      </c>
      <c r="H202" t="s">
        <v>1962</v>
      </c>
      <c r="I202">
        <v>0</v>
      </c>
      <c r="J202">
        <v>715.34</v>
      </c>
      <c r="K202">
        <f t="shared" si="12"/>
        <v>65.47</v>
      </c>
      <c r="L202">
        <f t="shared" si="13"/>
        <v>69.430000000000007</v>
      </c>
      <c r="M202">
        <f t="shared" si="14"/>
        <v>-3.960000000000008</v>
      </c>
      <c r="N202">
        <v>7.27</v>
      </c>
      <c r="O202">
        <v>88.98</v>
      </c>
      <c r="P202">
        <v>44</v>
      </c>
      <c r="Q202">
        <v>19.399999999999999</v>
      </c>
      <c r="R202">
        <v>9.2200000000000006</v>
      </c>
      <c r="S202">
        <v>12.38</v>
      </c>
      <c r="T202">
        <v>6.92</v>
      </c>
      <c r="U202">
        <v>7.61</v>
      </c>
      <c r="V202">
        <v>3485.51</v>
      </c>
      <c r="W202">
        <v>1045.06</v>
      </c>
      <c r="X202">
        <v>1302.6099999999999</v>
      </c>
      <c r="Y202">
        <v>761.07</v>
      </c>
      <c r="Z202">
        <v>6.13</v>
      </c>
      <c r="AA202">
        <v>1.58</v>
      </c>
      <c r="AB202">
        <v>4.4400000000000004</v>
      </c>
      <c r="AC202">
        <v>57.13</v>
      </c>
      <c r="AD202">
        <v>680</v>
      </c>
      <c r="AE202">
        <v>5900</v>
      </c>
      <c r="AF202">
        <v>83.26</v>
      </c>
      <c r="AG202">
        <v>0.59</v>
      </c>
      <c r="AH202">
        <v>12.59</v>
      </c>
      <c r="AI202">
        <v>44.12</v>
      </c>
      <c r="AJ202">
        <v>60</v>
      </c>
      <c r="AK202">
        <v>9</v>
      </c>
      <c r="AL202">
        <v>9</v>
      </c>
      <c r="AM202">
        <v>0.71</v>
      </c>
      <c r="AN202">
        <v>408</v>
      </c>
      <c r="AO202">
        <v>414.41</v>
      </c>
      <c r="AP202">
        <v>409095.79</v>
      </c>
      <c r="AQ202">
        <v>194215.49</v>
      </c>
      <c r="AR202" t="s">
        <v>1109</v>
      </c>
      <c r="AT202" s="6">
        <f t="shared" si="15"/>
        <v>12.264857305936072</v>
      </c>
    </row>
    <row r="203" spans="1:46" x14ac:dyDescent="0.55000000000000004">
      <c r="A203">
        <v>19.329999999999998</v>
      </c>
      <c r="B203">
        <v>28.51</v>
      </c>
      <c r="C203">
        <v>5434.86</v>
      </c>
      <c r="D203">
        <v>7.6</v>
      </c>
      <c r="E203" t="s">
        <v>1360</v>
      </c>
      <c r="F203" t="s">
        <v>1604</v>
      </c>
      <c r="G203" t="s">
        <v>1754</v>
      </c>
      <c r="H203" t="s">
        <v>1963</v>
      </c>
      <c r="I203">
        <v>0</v>
      </c>
      <c r="J203">
        <v>677.55</v>
      </c>
      <c r="K203">
        <f t="shared" si="12"/>
        <v>63.169999999999995</v>
      </c>
      <c r="L203">
        <f t="shared" si="13"/>
        <v>68.75</v>
      </c>
      <c r="M203">
        <f t="shared" si="14"/>
        <v>-5.5800000000000054</v>
      </c>
      <c r="N203">
        <v>7.24</v>
      </c>
      <c r="O203">
        <v>89.04</v>
      </c>
      <c r="P203">
        <v>42</v>
      </c>
      <c r="Q203">
        <v>19.8</v>
      </c>
      <c r="R203">
        <v>9.18</v>
      </c>
      <c r="S203">
        <v>12.44</v>
      </c>
      <c r="T203">
        <v>6.89</v>
      </c>
      <c r="U203">
        <v>8.02</v>
      </c>
      <c r="V203">
        <v>3478.31</v>
      </c>
      <c r="W203">
        <v>1045.17</v>
      </c>
      <c r="X203">
        <v>1323.33</v>
      </c>
      <c r="Y203">
        <v>765.52</v>
      </c>
      <c r="Z203">
        <v>5.97</v>
      </c>
      <c r="AA203">
        <v>1.59</v>
      </c>
      <c r="AB203">
        <v>4.42</v>
      </c>
      <c r="AC203">
        <v>57.13</v>
      </c>
      <c r="AD203">
        <v>680</v>
      </c>
      <c r="AE203">
        <v>5900</v>
      </c>
      <c r="AF203">
        <v>82.9</v>
      </c>
      <c r="AG203">
        <v>0.59</v>
      </c>
      <c r="AH203">
        <v>11.81</v>
      </c>
      <c r="AI203">
        <v>44.55</v>
      </c>
      <c r="AJ203">
        <v>60</v>
      </c>
      <c r="AK203">
        <v>9</v>
      </c>
      <c r="AL203">
        <v>9</v>
      </c>
      <c r="AM203">
        <v>0.71</v>
      </c>
      <c r="AN203">
        <v>408</v>
      </c>
      <c r="AO203">
        <v>414.35</v>
      </c>
      <c r="AP203">
        <v>392692.55</v>
      </c>
      <c r="AQ203">
        <v>190040.01</v>
      </c>
      <c r="AR203" t="s">
        <v>1110</v>
      </c>
      <c r="AT203" s="6">
        <f t="shared" si="15"/>
        <v>11.566925799086757</v>
      </c>
    </row>
    <row r="204" spans="1:46" x14ac:dyDescent="0.55000000000000004">
      <c r="A204">
        <v>19.600000000000001</v>
      </c>
      <c r="B204">
        <v>28.81</v>
      </c>
      <c r="C204">
        <v>5484.55</v>
      </c>
      <c r="D204">
        <v>7.6</v>
      </c>
      <c r="E204" t="s">
        <v>1361</v>
      </c>
      <c r="F204" t="s">
        <v>1605</v>
      </c>
      <c r="G204" t="s">
        <v>1743</v>
      </c>
      <c r="H204" t="s">
        <v>1964</v>
      </c>
      <c r="I204">
        <v>0</v>
      </c>
      <c r="J204">
        <v>711.78</v>
      </c>
      <c r="K204">
        <f t="shared" si="12"/>
        <v>64.650000000000006</v>
      </c>
      <c r="L204">
        <f t="shared" si="13"/>
        <v>65.650000000000006</v>
      </c>
      <c r="M204">
        <f t="shared" si="14"/>
        <v>-1</v>
      </c>
      <c r="N204">
        <v>7.27</v>
      </c>
      <c r="O204">
        <v>89</v>
      </c>
      <c r="P204">
        <v>51</v>
      </c>
      <c r="Q204">
        <v>19.2</v>
      </c>
      <c r="R204">
        <v>9.1999999999999993</v>
      </c>
      <c r="S204">
        <v>13.14</v>
      </c>
      <c r="T204">
        <v>6.46</v>
      </c>
      <c r="U204">
        <v>7.71</v>
      </c>
      <c r="V204">
        <v>3510.11</v>
      </c>
      <c r="W204">
        <v>1052.81</v>
      </c>
      <c r="X204">
        <v>1315.09</v>
      </c>
      <c r="Y204">
        <v>767.36</v>
      </c>
      <c r="Z204">
        <v>6.4</v>
      </c>
      <c r="AA204">
        <v>1.59</v>
      </c>
      <c r="AB204">
        <v>4.41</v>
      </c>
      <c r="AC204">
        <v>58.75</v>
      </c>
      <c r="AD204">
        <v>680</v>
      </c>
      <c r="AE204">
        <v>5900</v>
      </c>
      <c r="AF204">
        <v>83.07</v>
      </c>
      <c r="AG204">
        <v>0.59</v>
      </c>
      <c r="AH204">
        <v>12.39</v>
      </c>
      <c r="AI204">
        <v>46.66</v>
      </c>
      <c r="AJ204">
        <v>60</v>
      </c>
      <c r="AK204">
        <v>9</v>
      </c>
      <c r="AL204">
        <v>9</v>
      </c>
      <c r="AM204">
        <v>0.67</v>
      </c>
      <c r="AN204">
        <v>408</v>
      </c>
      <c r="AO204">
        <v>414.06</v>
      </c>
      <c r="AP204">
        <v>429653.16</v>
      </c>
      <c r="AQ204">
        <v>175761.4</v>
      </c>
      <c r="AR204" t="s">
        <v>1111</v>
      </c>
      <c r="AT204" s="6">
        <f t="shared" si="15"/>
        <v>14.491538812785388</v>
      </c>
    </row>
    <row r="205" spans="1:46" x14ac:dyDescent="0.55000000000000004">
      <c r="A205">
        <v>18.489999999999998</v>
      </c>
      <c r="B205">
        <v>27.69</v>
      </c>
      <c r="C205">
        <v>5473.06</v>
      </c>
      <c r="D205">
        <v>7.6</v>
      </c>
      <c r="E205" t="s">
        <v>1362</v>
      </c>
      <c r="F205" t="s">
        <v>1606</v>
      </c>
      <c r="G205" t="s">
        <v>1755</v>
      </c>
      <c r="H205" t="s">
        <v>898</v>
      </c>
      <c r="I205">
        <v>0</v>
      </c>
      <c r="J205">
        <v>611.28</v>
      </c>
      <c r="K205">
        <f t="shared" si="12"/>
        <v>58.33</v>
      </c>
      <c r="L205">
        <f t="shared" si="13"/>
        <v>58.33</v>
      </c>
      <c r="M205">
        <f t="shared" si="14"/>
        <v>0</v>
      </c>
      <c r="N205">
        <v>7.2</v>
      </c>
      <c r="O205">
        <v>88.97</v>
      </c>
      <c r="P205">
        <v>45</v>
      </c>
      <c r="Q205">
        <v>18.399999999999999</v>
      </c>
      <c r="R205">
        <v>9.1999999999999993</v>
      </c>
      <c r="S205">
        <v>11.68</v>
      </c>
      <c r="T205">
        <v>6.81</v>
      </c>
      <c r="U205">
        <v>8.9499999999999993</v>
      </c>
      <c r="V205">
        <v>3502.76</v>
      </c>
      <c r="W205">
        <v>1057.43</v>
      </c>
      <c r="X205">
        <v>1382.66</v>
      </c>
      <c r="Y205">
        <v>783.88</v>
      </c>
      <c r="Z205">
        <v>29.15</v>
      </c>
      <c r="AA205">
        <v>1.6</v>
      </c>
      <c r="AB205">
        <v>4.41</v>
      </c>
      <c r="AC205">
        <v>57.45</v>
      </c>
      <c r="AD205">
        <v>680</v>
      </c>
      <c r="AE205">
        <v>5900</v>
      </c>
      <c r="AF205">
        <v>83.04</v>
      </c>
      <c r="AG205">
        <v>0.59</v>
      </c>
      <c r="AH205">
        <v>10.44</v>
      </c>
      <c r="AI205">
        <v>235.51</v>
      </c>
      <c r="AJ205">
        <v>60</v>
      </c>
      <c r="AK205">
        <v>9</v>
      </c>
      <c r="AL205">
        <v>9</v>
      </c>
      <c r="AM205">
        <v>0.13</v>
      </c>
      <c r="AN205">
        <v>408</v>
      </c>
      <c r="AO205">
        <v>409.2</v>
      </c>
      <c r="AP205">
        <v>356341.97</v>
      </c>
      <c r="AQ205">
        <v>356341.97</v>
      </c>
      <c r="AR205" t="s">
        <v>1112</v>
      </c>
      <c r="AT205" s="6">
        <f t="shared" si="15"/>
        <v>0</v>
      </c>
    </row>
    <row r="206" spans="1:46" x14ac:dyDescent="0.55000000000000004">
      <c r="A206">
        <v>18.68</v>
      </c>
      <c r="B206">
        <v>27.91</v>
      </c>
      <c r="C206">
        <v>5449.83</v>
      </c>
      <c r="D206">
        <v>7.61</v>
      </c>
      <c r="E206" t="s">
        <v>1363</v>
      </c>
      <c r="F206" t="s">
        <v>1607</v>
      </c>
      <c r="G206" t="s">
        <v>1755</v>
      </c>
      <c r="H206" t="s">
        <v>898</v>
      </c>
      <c r="I206">
        <v>0</v>
      </c>
      <c r="J206">
        <v>609.33000000000004</v>
      </c>
      <c r="K206">
        <f t="shared" si="12"/>
        <v>57.9</v>
      </c>
      <c r="L206">
        <f t="shared" si="13"/>
        <v>57.9</v>
      </c>
      <c r="M206">
        <f t="shared" si="14"/>
        <v>0</v>
      </c>
      <c r="N206">
        <v>7.2</v>
      </c>
      <c r="O206">
        <v>89.04</v>
      </c>
      <c r="P206">
        <v>46</v>
      </c>
      <c r="Q206">
        <v>18.399999999999999</v>
      </c>
      <c r="R206">
        <v>9.23</v>
      </c>
      <c r="S206">
        <v>11.81</v>
      </c>
      <c r="T206">
        <v>6.87</v>
      </c>
      <c r="U206">
        <v>8.94</v>
      </c>
      <c r="V206">
        <v>3487.89</v>
      </c>
      <c r="W206">
        <v>1053.32</v>
      </c>
      <c r="X206">
        <v>1380.02</v>
      </c>
      <c r="Y206">
        <v>781.49</v>
      </c>
      <c r="Z206">
        <v>28.97</v>
      </c>
      <c r="AA206">
        <v>1.6</v>
      </c>
      <c r="AB206">
        <v>4.4000000000000004</v>
      </c>
      <c r="AC206">
        <v>57.34</v>
      </c>
      <c r="AD206">
        <v>680</v>
      </c>
      <c r="AE206">
        <v>5900</v>
      </c>
      <c r="AF206">
        <v>83.35</v>
      </c>
      <c r="AG206">
        <v>0.59</v>
      </c>
      <c r="AH206">
        <v>10.49</v>
      </c>
      <c r="AI206">
        <v>235.76</v>
      </c>
      <c r="AJ206">
        <v>60</v>
      </c>
      <c r="AK206">
        <v>9</v>
      </c>
      <c r="AL206">
        <v>9</v>
      </c>
      <c r="AM206">
        <v>0.13</v>
      </c>
      <c r="AN206">
        <v>408</v>
      </c>
      <c r="AO206">
        <v>409.2</v>
      </c>
      <c r="AP206">
        <v>353799.06</v>
      </c>
      <c r="AQ206">
        <v>353799.06</v>
      </c>
      <c r="AR206" t="s">
        <v>1113</v>
      </c>
      <c r="AT206" s="6">
        <f t="shared" si="15"/>
        <v>0</v>
      </c>
    </row>
    <row r="207" spans="1:46" x14ac:dyDescent="0.55000000000000004">
      <c r="A207">
        <v>19.46</v>
      </c>
      <c r="B207">
        <v>28.69</v>
      </c>
      <c r="C207">
        <v>5480.09</v>
      </c>
      <c r="D207">
        <v>7.6</v>
      </c>
      <c r="E207" t="s">
        <v>1364</v>
      </c>
      <c r="F207" t="s">
        <v>1608</v>
      </c>
      <c r="G207" t="s">
        <v>1741</v>
      </c>
      <c r="H207" t="s">
        <v>1965</v>
      </c>
      <c r="I207">
        <v>0</v>
      </c>
      <c r="J207">
        <v>710.74</v>
      </c>
      <c r="K207">
        <f t="shared" si="12"/>
        <v>65.92</v>
      </c>
      <c r="L207">
        <f t="shared" si="13"/>
        <v>67.47</v>
      </c>
      <c r="M207">
        <f t="shared" si="14"/>
        <v>-1.5499999999999972</v>
      </c>
      <c r="N207">
        <v>7.27</v>
      </c>
      <c r="O207">
        <v>89.01</v>
      </c>
      <c r="P207">
        <v>50</v>
      </c>
      <c r="Q207">
        <v>19.100000000000001</v>
      </c>
      <c r="R207">
        <v>9.23</v>
      </c>
      <c r="S207">
        <v>12.93</v>
      </c>
      <c r="T207">
        <v>6.54</v>
      </c>
      <c r="U207">
        <v>7.71</v>
      </c>
      <c r="V207">
        <v>3507.26</v>
      </c>
      <c r="W207">
        <v>1051.74</v>
      </c>
      <c r="X207">
        <v>1312.62</v>
      </c>
      <c r="Y207">
        <v>766.25</v>
      </c>
      <c r="Z207">
        <v>6.35</v>
      </c>
      <c r="AA207">
        <v>1.59</v>
      </c>
      <c r="AB207">
        <v>4.42</v>
      </c>
      <c r="AC207">
        <v>58.53</v>
      </c>
      <c r="AD207">
        <v>680</v>
      </c>
      <c r="AE207">
        <v>5900</v>
      </c>
      <c r="AF207">
        <v>83.28</v>
      </c>
      <c r="AG207">
        <v>0.59</v>
      </c>
      <c r="AH207">
        <v>12.41</v>
      </c>
      <c r="AI207">
        <v>45.4</v>
      </c>
      <c r="AJ207">
        <v>60</v>
      </c>
      <c r="AK207">
        <v>9</v>
      </c>
      <c r="AL207">
        <v>9</v>
      </c>
      <c r="AM207">
        <v>0.69</v>
      </c>
      <c r="AN207">
        <v>408</v>
      </c>
      <c r="AO207">
        <v>414.23</v>
      </c>
      <c r="AP207">
        <v>434968.29</v>
      </c>
      <c r="AQ207">
        <v>183171.36</v>
      </c>
      <c r="AR207" t="s">
        <v>1114</v>
      </c>
      <c r="AT207" s="6">
        <f t="shared" si="15"/>
        <v>14.371970890410958</v>
      </c>
    </row>
    <row r="208" spans="1:46" x14ac:dyDescent="0.55000000000000004">
      <c r="A208">
        <v>19.88</v>
      </c>
      <c r="B208">
        <v>29.08</v>
      </c>
      <c r="C208">
        <v>5520.79</v>
      </c>
      <c r="D208">
        <v>7.6</v>
      </c>
      <c r="E208" t="s">
        <v>1365</v>
      </c>
      <c r="F208" t="s">
        <v>1609</v>
      </c>
      <c r="G208" t="s">
        <v>1756</v>
      </c>
      <c r="H208" t="s">
        <v>1966</v>
      </c>
      <c r="I208">
        <v>0</v>
      </c>
      <c r="J208">
        <v>717.68</v>
      </c>
      <c r="K208">
        <f t="shared" si="12"/>
        <v>66.430000000000007</v>
      </c>
      <c r="L208">
        <f t="shared" si="13"/>
        <v>68.08</v>
      </c>
      <c r="M208">
        <f t="shared" si="14"/>
        <v>-1.6499999999999915</v>
      </c>
      <c r="N208">
        <v>7.27</v>
      </c>
      <c r="O208">
        <v>88.94</v>
      </c>
      <c r="P208">
        <v>55</v>
      </c>
      <c r="Q208">
        <v>19.5</v>
      </c>
      <c r="R208">
        <v>9.19</v>
      </c>
      <c r="S208">
        <v>13.92</v>
      </c>
      <c r="T208">
        <v>5.96</v>
      </c>
      <c r="U208">
        <v>7.69</v>
      </c>
      <c r="V208">
        <v>3533.31</v>
      </c>
      <c r="W208">
        <v>1058.76</v>
      </c>
      <c r="X208">
        <v>1315.45</v>
      </c>
      <c r="Y208">
        <v>769.98</v>
      </c>
      <c r="Z208">
        <v>6.34</v>
      </c>
      <c r="AA208">
        <v>1.6</v>
      </c>
      <c r="AB208">
        <v>4.4000000000000004</v>
      </c>
      <c r="AC208">
        <v>60.67</v>
      </c>
      <c r="AD208">
        <v>680</v>
      </c>
      <c r="AE208">
        <v>5900</v>
      </c>
      <c r="AF208">
        <v>83</v>
      </c>
      <c r="AG208">
        <v>0.59</v>
      </c>
      <c r="AH208">
        <v>12.4</v>
      </c>
      <c r="AI208">
        <v>44.99</v>
      </c>
      <c r="AJ208">
        <v>60</v>
      </c>
      <c r="AK208">
        <v>9</v>
      </c>
      <c r="AL208">
        <v>9</v>
      </c>
      <c r="AM208">
        <v>0.7</v>
      </c>
      <c r="AN208">
        <v>408</v>
      </c>
      <c r="AO208">
        <v>414.28</v>
      </c>
      <c r="AP208">
        <v>436840.14</v>
      </c>
      <c r="AQ208">
        <v>188219.97</v>
      </c>
      <c r="AR208" t="s">
        <v>1115</v>
      </c>
      <c r="AT208" s="6">
        <f t="shared" si="15"/>
        <v>14.190648972602741</v>
      </c>
    </row>
    <row r="209" spans="1:46" x14ac:dyDescent="0.55000000000000004">
      <c r="A209">
        <v>18.8</v>
      </c>
      <c r="B209">
        <v>28.05</v>
      </c>
      <c r="C209">
        <v>5444.67</v>
      </c>
      <c r="D209">
        <v>7.58</v>
      </c>
      <c r="E209" t="s">
        <v>1366</v>
      </c>
      <c r="F209" t="s">
        <v>1610</v>
      </c>
      <c r="G209" t="s">
        <v>1755</v>
      </c>
      <c r="H209" t="s">
        <v>1967</v>
      </c>
      <c r="I209">
        <v>0</v>
      </c>
      <c r="J209">
        <v>635.75</v>
      </c>
      <c r="K209">
        <f t="shared" si="12"/>
        <v>60.04</v>
      </c>
      <c r="L209">
        <f t="shared" si="13"/>
        <v>67.55</v>
      </c>
      <c r="M209">
        <f t="shared" si="14"/>
        <v>-7.509999999999998</v>
      </c>
      <c r="N209">
        <v>7.22</v>
      </c>
      <c r="O209">
        <v>88.98</v>
      </c>
      <c r="P209">
        <v>44</v>
      </c>
      <c r="Q209">
        <v>19.100000000000001</v>
      </c>
      <c r="R209">
        <v>9.25</v>
      </c>
      <c r="S209">
        <v>12.13</v>
      </c>
      <c r="T209">
        <v>6.67</v>
      </c>
      <c r="U209">
        <v>8.56</v>
      </c>
      <c r="V209">
        <v>3484.59</v>
      </c>
      <c r="W209">
        <v>1049.94</v>
      </c>
      <c r="X209">
        <v>1355.34</v>
      </c>
      <c r="Y209">
        <v>774.55</v>
      </c>
      <c r="Z209">
        <v>6.22</v>
      </c>
      <c r="AA209">
        <v>1.57</v>
      </c>
      <c r="AB209">
        <v>4.4400000000000004</v>
      </c>
      <c r="AC209">
        <v>58.09</v>
      </c>
      <c r="AD209">
        <v>680</v>
      </c>
      <c r="AE209">
        <v>5900</v>
      </c>
      <c r="AF209">
        <v>83.47</v>
      </c>
      <c r="AG209">
        <v>0.59</v>
      </c>
      <c r="AH209">
        <v>11.03</v>
      </c>
      <c r="AI209">
        <v>48.83</v>
      </c>
      <c r="AJ209">
        <v>60</v>
      </c>
      <c r="AK209">
        <v>9</v>
      </c>
      <c r="AL209">
        <v>9</v>
      </c>
      <c r="AM209">
        <v>0.64</v>
      </c>
      <c r="AN209">
        <v>408</v>
      </c>
      <c r="AO209">
        <v>413.79</v>
      </c>
      <c r="AP209">
        <v>360310.85</v>
      </c>
      <c r="AQ209">
        <v>220676.78</v>
      </c>
      <c r="AR209" t="s">
        <v>1116</v>
      </c>
      <c r="AT209" s="6">
        <f t="shared" si="15"/>
        <v>7.9699811643835607</v>
      </c>
    </row>
    <row r="210" spans="1:46" x14ac:dyDescent="0.55000000000000004">
      <c r="A210">
        <v>19.71</v>
      </c>
      <c r="B210">
        <v>28.92</v>
      </c>
      <c r="C210">
        <v>5505.9</v>
      </c>
      <c r="D210">
        <v>7.6</v>
      </c>
      <c r="E210" t="s">
        <v>1367</v>
      </c>
      <c r="F210" t="s">
        <v>1611</v>
      </c>
      <c r="G210" t="s">
        <v>1755</v>
      </c>
      <c r="H210" t="s">
        <v>1968</v>
      </c>
      <c r="I210">
        <v>0</v>
      </c>
      <c r="J210">
        <v>734.69</v>
      </c>
      <c r="K210">
        <f t="shared" si="12"/>
        <v>66.5</v>
      </c>
      <c r="L210">
        <f t="shared" si="13"/>
        <v>67.650000000000006</v>
      </c>
      <c r="M210">
        <f t="shared" si="14"/>
        <v>-1.1500000000000057</v>
      </c>
      <c r="N210">
        <v>7.28</v>
      </c>
      <c r="O210">
        <v>89.01</v>
      </c>
      <c r="P210">
        <v>55</v>
      </c>
      <c r="Q210">
        <v>19</v>
      </c>
      <c r="R210">
        <v>9.2100000000000009</v>
      </c>
      <c r="S210">
        <v>13.48</v>
      </c>
      <c r="T210">
        <v>6.23</v>
      </c>
      <c r="U210">
        <v>7.49</v>
      </c>
      <c r="V210">
        <v>3523.77</v>
      </c>
      <c r="W210">
        <v>1055.5999999999999</v>
      </c>
      <c r="X210">
        <v>1306.75</v>
      </c>
      <c r="Y210">
        <v>766.87</v>
      </c>
      <c r="Z210">
        <v>6.39</v>
      </c>
      <c r="AA210">
        <v>1.59</v>
      </c>
      <c r="AB210">
        <v>4.41</v>
      </c>
      <c r="AC210">
        <v>59.65</v>
      </c>
      <c r="AD210">
        <v>680</v>
      </c>
      <c r="AE210">
        <v>5900</v>
      </c>
      <c r="AF210">
        <v>83.12</v>
      </c>
      <c r="AG210">
        <v>0.59</v>
      </c>
      <c r="AH210">
        <v>12.8</v>
      </c>
      <c r="AI210">
        <v>45.27</v>
      </c>
      <c r="AJ210">
        <v>60</v>
      </c>
      <c r="AK210">
        <v>9</v>
      </c>
      <c r="AL210">
        <v>9</v>
      </c>
      <c r="AM210">
        <v>0.69</v>
      </c>
      <c r="AN210">
        <v>408</v>
      </c>
      <c r="AO210">
        <v>414.25</v>
      </c>
      <c r="AP210">
        <v>432566.03</v>
      </c>
      <c r="AQ210">
        <v>185448.9</v>
      </c>
      <c r="AR210" t="s">
        <v>1117</v>
      </c>
      <c r="AT210" s="6">
        <f t="shared" si="15"/>
        <v>14.104859018264841</v>
      </c>
    </row>
    <row r="211" spans="1:46" x14ac:dyDescent="0.55000000000000004">
      <c r="A211">
        <v>19.38</v>
      </c>
      <c r="B211">
        <v>28.57</v>
      </c>
      <c r="C211">
        <v>5456.6</v>
      </c>
      <c r="D211">
        <v>7.6</v>
      </c>
      <c r="E211" t="s">
        <v>1368</v>
      </c>
      <c r="F211" t="s">
        <v>1612</v>
      </c>
      <c r="G211" t="s">
        <v>1742</v>
      </c>
      <c r="H211" t="s">
        <v>1969</v>
      </c>
      <c r="I211">
        <v>0</v>
      </c>
      <c r="J211">
        <v>704.16</v>
      </c>
      <c r="K211">
        <f t="shared" si="12"/>
        <v>65.290000000000006</v>
      </c>
      <c r="L211">
        <f t="shared" si="13"/>
        <v>68.33</v>
      </c>
      <c r="M211">
        <f t="shared" si="14"/>
        <v>-3.039999999999992</v>
      </c>
      <c r="N211">
        <v>7.26</v>
      </c>
      <c r="O211">
        <v>89.03</v>
      </c>
      <c r="P211">
        <v>45</v>
      </c>
      <c r="Q211">
        <v>19.399999999999999</v>
      </c>
      <c r="R211">
        <v>9.19</v>
      </c>
      <c r="S211">
        <v>12.52</v>
      </c>
      <c r="T211">
        <v>6.86</v>
      </c>
      <c r="U211">
        <v>7.75</v>
      </c>
      <c r="V211">
        <v>3492.23</v>
      </c>
      <c r="W211">
        <v>1047.4000000000001</v>
      </c>
      <c r="X211">
        <v>1309.46</v>
      </c>
      <c r="Y211">
        <v>763.5</v>
      </c>
      <c r="Z211">
        <v>6.21</v>
      </c>
      <c r="AA211">
        <v>1.59</v>
      </c>
      <c r="AB211">
        <v>4.42</v>
      </c>
      <c r="AC211">
        <v>57.26</v>
      </c>
      <c r="AD211">
        <v>680</v>
      </c>
      <c r="AE211">
        <v>5900</v>
      </c>
      <c r="AF211">
        <v>82.99</v>
      </c>
      <c r="AG211">
        <v>0.59</v>
      </c>
      <c r="AH211">
        <v>12.3</v>
      </c>
      <c r="AI211">
        <v>44.82</v>
      </c>
      <c r="AJ211">
        <v>60</v>
      </c>
      <c r="AK211">
        <v>9</v>
      </c>
      <c r="AL211">
        <v>9</v>
      </c>
      <c r="AM211">
        <v>0.7</v>
      </c>
      <c r="AN211">
        <v>408</v>
      </c>
      <c r="AO211">
        <v>414.31</v>
      </c>
      <c r="AP211">
        <v>421094.6</v>
      </c>
      <c r="AQ211">
        <v>188932.78</v>
      </c>
      <c r="AR211" t="s">
        <v>1118</v>
      </c>
      <c r="AT211" s="6">
        <f t="shared" si="15"/>
        <v>13.251245433789952</v>
      </c>
    </row>
    <row r="212" spans="1:46" x14ac:dyDescent="0.55000000000000004">
      <c r="A212">
        <v>19.8</v>
      </c>
      <c r="B212">
        <v>29.03</v>
      </c>
      <c r="C212">
        <v>5515.11</v>
      </c>
      <c r="D212">
        <v>7.6</v>
      </c>
      <c r="E212" t="s">
        <v>1369</v>
      </c>
      <c r="F212" t="s">
        <v>1613</v>
      </c>
      <c r="G212" t="s">
        <v>1757</v>
      </c>
      <c r="H212" t="s">
        <v>1970</v>
      </c>
      <c r="I212">
        <v>0</v>
      </c>
      <c r="J212">
        <v>738.86</v>
      </c>
      <c r="K212">
        <f t="shared" si="12"/>
        <v>67.31</v>
      </c>
      <c r="L212">
        <f t="shared" si="13"/>
        <v>68.8</v>
      </c>
      <c r="M212">
        <f t="shared" si="14"/>
        <v>-1.4899999999999949</v>
      </c>
      <c r="N212">
        <v>7.28</v>
      </c>
      <c r="O212">
        <v>88.98</v>
      </c>
      <c r="P212">
        <v>55</v>
      </c>
      <c r="Q212">
        <v>19.2</v>
      </c>
      <c r="R212">
        <v>9.23</v>
      </c>
      <c r="S212">
        <v>13.66</v>
      </c>
      <c r="T212">
        <v>6.14</v>
      </c>
      <c r="U212">
        <v>7.46</v>
      </c>
      <c r="V212">
        <v>3529.67</v>
      </c>
      <c r="W212">
        <v>1056.75</v>
      </c>
      <c r="X212">
        <v>1303.74</v>
      </c>
      <c r="Y212">
        <v>766.64</v>
      </c>
      <c r="Z212">
        <v>6.36</v>
      </c>
      <c r="AA212">
        <v>1.6</v>
      </c>
      <c r="AB212">
        <v>4.41</v>
      </c>
      <c r="AC212">
        <v>60.03</v>
      </c>
      <c r="AD212">
        <v>680</v>
      </c>
      <c r="AE212">
        <v>5900</v>
      </c>
      <c r="AF212">
        <v>83.28</v>
      </c>
      <c r="AG212">
        <v>0.59</v>
      </c>
      <c r="AH212">
        <v>12.88</v>
      </c>
      <c r="AI212">
        <v>44.52</v>
      </c>
      <c r="AJ212">
        <v>60</v>
      </c>
      <c r="AK212">
        <v>9</v>
      </c>
      <c r="AL212">
        <v>9</v>
      </c>
      <c r="AM212">
        <v>0.71</v>
      </c>
      <c r="AN212">
        <v>408</v>
      </c>
      <c r="AO212">
        <v>414.35</v>
      </c>
      <c r="AP212">
        <v>435273.22</v>
      </c>
      <c r="AQ212">
        <v>192224.83</v>
      </c>
      <c r="AR212" t="s">
        <v>1119</v>
      </c>
      <c r="AT212" s="6">
        <f t="shared" si="15"/>
        <v>13.872624999999999</v>
      </c>
    </row>
    <row r="213" spans="1:46" x14ac:dyDescent="0.55000000000000004">
      <c r="A213">
        <v>18.61</v>
      </c>
      <c r="B213">
        <v>27.84</v>
      </c>
      <c r="C213">
        <v>5480.36</v>
      </c>
      <c r="D213">
        <v>7.6</v>
      </c>
      <c r="E213" t="s">
        <v>1370</v>
      </c>
      <c r="F213" t="s">
        <v>1614</v>
      </c>
      <c r="G213" t="s">
        <v>1754</v>
      </c>
      <c r="H213" t="s">
        <v>1971</v>
      </c>
      <c r="I213">
        <v>0</v>
      </c>
      <c r="J213">
        <v>596.32000000000005</v>
      </c>
      <c r="K213">
        <f t="shared" si="12"/>
        <v>57.33</v>
      </c>
      <c r="L213">
        <f t="shared" si="13"/>
        <v>64.56</v>
      </c>
      <c r="M213">
        <f t="shared" si="14"/>
        <v>-7.230000000000004</v>
      </c>
      <c r="N213">
        <v>7.2</v>
      </c>
      <c r="O213">
        <v>89.01</v>
      </c>
      <c r="P213">
        <v>46</v>
      </c>
      <c r="Q213">
        <v>18</v>
      </c>
      <c r="R213">
        <v>9.23</v>
      </c>
      <c r="S213">
        <v>11.47</v>
      </c>
      <c r="T213">
        <v>7.13</v>
      </c>
      <c r="U213">
        <v>9.19</v>
      </c>
      <c r="V213">
        <v>3507.43</v>
      </c>
      <c r="W213">
        <v>1060.4000000000001</v>
      </c>
      <c r="X213">
        <v>1399.55</v>
      </c>
      <c r="Y213">
        <v>788.96</v>
      </c>
      <c r="Z213">
        <v>6.22</v>
      </c>
      <c r="AA213">
        <v>1.61</v>
      </c>
      <c r="AB213">
        <v>4.3899999999999997</v>
      </c>
      <c r="AC213">
        <v>56.41</v>
      </c>
      <c r="AD213">
        <v>680</v>
      </c>
      <c r="AE213">
        <v>5900</v>
      </c>
      <c r="AF213">
        <v>83.34</v>
      </c>
      <c r="AG213">
        <v>0.59</v>
      </c>
      <c r="AH213">
        <v>10.18</v>
      </c>
      <c r="AI213">
        <v>51.1</v>
      </c>
      <c r="AJ213">
        <v>60</v>
      </c>
      <c r="AK213">
        <v>9</v>
      </c>
      <c r="AL213">
        <v>9</v>
      </c>
      <c r="AM213">
        <v>0.61</v>
      </c>
      <c r="AN213">
        <v>408</v>
      </c>
      <c r="AO213">
        <v>413.53</v>
      </c>
      <c r="AP213">
        <v>354170.64</v>
      </c>
      <c r="AQ213">
        <v>203165.12</v>
      </c>
      <c r="AR213" t="s">
        <v>1120</v>
      </c>
      <c r="AT213" s="6">
        <f t="shared" si="15"/>
        <v>8.6190365296803666</v>
      </c>
    </row>
    <row r="214" spans="1:46" x14ac:dyDescent="0.55000000000000004">
      <c r="A214">
        <v>19.149999999999999</v>
      </c>
      <c r="B214">
        <v>28.4</v>
      </c>
      <c r="C214">
        <v>5432.44</v>
      </c>
      <c r="D214">
        <v>7.6</v>
      </c>
      <c r="E214" t="s">
        <v>1371</v>
      </c>
      <c r="F214" t="s">
        <v>1615</v>
      </c>
      <c r="G214" t="s">
        <v>1691</v>
      </c>
      <c r="H214" t="s">
        <v>1972</v>
      </c>
      <c r="I214">
        <v>0</v>
      </c>
      <c r="J214">
        <v>684.06</v>
      </c>
      <c r="K214">
        <f t="shared" si="12"/>
        <v>62.300000000000004</v>
      </c>
      <c r="L214">
        <f t="shared" si="13"/>
        <v>68.91</v>
      </c>
      <c r="M214">
        <f t="shared" si="14"/>
        <v>-6.6099999999999923</v>
      </c>
      <c r="N214">
        <v>7.25</v>
      </c>
      <c r="O214">
        <v>89</v>
      </c>
      <c r="P214">
        <v>43</v>
      </c>
      <c r="Q214">
        <v>19.5</v>
      </c>
      <c r="R214">
        <v>9.26</v>
      </c>
      <c r="S214">
        <v>12.33</v>
      </c>
      <c r="T214">
        <v>6.82</v>
      </c>
      <c r="U214">
        <v>7.94</v>
      </c>
      <c r="V214">
        <v>3476.76</v>
      </c>
      <c r="W214">
        <v>1044.1600000000001</v>
      </c>
      <c r="X214">
        <v>1317.48</v>
      </c>
      <c r="Y214">
        <v>763.76</v>
      </c>
      <c r="Z214">
        <v>5.88</v>
      </c>
      <c r="AA214">
        <v>1.58</v>
      </c>
      <c r="AB214">
        <v>4.43</v>
      </c>
      <c r="AC214">
        <v>57.58</v>
      </c>
      <c r="AD214">
        <v>680</v>
      </c>
      <c r="AE214">
        <v>5900</v>
      </c>
      <c r="AF214">
        <v>83.55</v>
      </c>
      <c r="AG214">
        <v>0.59</v>
      </c>
      <c r="AH214">
        <v>12.04</v>
      </c>
      <c r="AI214">
        <v>44.45</v>
      </c>
      <c r="AJ214">
        <v>60</v>
      </c>
      <c r="AK214">
        <v>9</v>
      </c>
      <c r="AL214">
        <v>9</v>
      </c>
      <c r="AM214">
        <v>0.71</v>
      </c>
      <c r="AN214">
        <v>408</v>
      </c>
      <c r="AO214">
        <v>414.36</v>
      </c>
      <c r="AP214">
        <v>376123.42</v>
      </c>
      <c r="AQ214">
        <v>194677.47</v>
      </c>
      <c r="AR214" t="s">
        <v>1121</v>
      </c>
      <c r="AT214" s="6">
        <f t="shared" si="15"/>
        <v>10.356503995433789</v>
      </c>
    </row>
    <row r="215" spans="1:46" x14ac:dyDescent="0.55000000000000004">
      <c r="A215">
        <v>19.940000000000001</v>
      </c>
      <c r="B215">
        <v>29.14</v>
      </c>
      <c r="C215">
        <v>5528.49</v>
      </c>
      <c r="D215">
        <v>7.6</v>
      </c>
      <c r="E215" t="s">
        <v>1372</v>
      </c>
      <c r="F215" t="s">
        <v>1616</v>
      </c>
      <c r="G215" t="s">
        <v>1758</v>
      </c>
      <c r="H215" t="s">
        <v>1973</v>
      </c>
      <c r="I215">
        <v>0</v>
      </c>
      <c r="J215">
        <v>685.4</v>
      </c>
      <c r="K215">
        <f t="shared" si="12"/>
        <v>63.620000000000005</v>
      </c>
      <c r="L215">
        <f t="shared" si="13"/>
        <v>63.04</v>
      </c>
      <c r="M215">
        <f t="shared" si="14"/>
        <v>0.5800000000000054</v>
      </c>
      <c r="N215">
        <v>7.25</v>
      </c>
      <c r="O215">
        <v>89.03</v>
      </c>
      <c r="P215">
        <v>55</v>
      </c>
      <c r="Q215">
        <v>19.600000000000001</v>
      </c>
      <c r="R215">
        <v>9.1999999999999993</v>
      </c>
      <c r="S215">
        <v>14.01</v>
      </c>
      <c r="T215">
        <v>5.93</v>
      </c>
      <c r="U215">
        <v>8.07</v>
      </c>
      <c r="V215">
        <v>3538.23</v>
      </c>
      <c r="W215">
        <v>1062.7</v>
      </c>
      <c r="X215">
        <v>1341.15</v>
      </c>
      <c r="Y215">
        <v>777.44</v>
      </c>
      <c r="Z215">
        <v>8.07</v>
      </c>
      <c r="AA215">
        <v>1.61</v>
      </c>
      <c r="AB215">
        <v>4.37</v>
      </c>
      <c r="AC215">
        <v>60.78</v>
      </c>
      <c r="AD215">
        <v>680</v>
      </c>
      <c r="AE215">
        <v>5900</v>
      </c>
      <c r="AF215">
        <v>83.02</v>
      </c>
      <c r="AG215">
        <v>0.59</v>
      </c>
      <c r="AH215">
        <v>11.75</v>
      </c>
      <c r="AI215">
        <v>59.79</v>
      </c>
      <c r="AJ215">
        <v>60</v>
      </c>
      <c r="AK215">
        <v>9</v>
      </c>
      <c r="AL215">
        <v>9</v>
      </c>
      <c r="AM215">
        <v>0.53</v>
      </c>
      <c r="AN215">
        <v>408</v>
      </c>
      <c r="AO215">
        <v>412.73</v>
      </c>
      <c r="AP215">
        <v>427466.22</v>
      </c>
      <c r="AQ215">
        <v>249107.39</v>
      </c>
      <c r="AR215" t="s">
        <v>1122</v>
      </c>
      <c r="AT215" s="6">
        <f t="shared" si="15"/>
        <v>10.180298515981733</v>
      </c>
    </row>
    <row r="216" spans="1:46" x14ac:dyDescent="0.55000000000000004">
      <c r="A216">
        <v>18.829999999999998</v>
      </c>
      <c r="B216">
        <v>28.1</v>
      </c>
      <c r="C216">
        <v>5434.44</v>
      </c>
      <c r="D216">
        <v>7.61</v>
      </c>
      <c r="E216" t="s">
        <v>1373</v>
      </c>
      <c r="F216" t="s">
        <v>1617</v>
      </c>
      <c r="G216" t="s">
        <v>1759</v>
      </c>
      <c r="H216" t="s">
        <v>1974</v>
      </c>
      <c r="I216">
        <v>0</v>
      </c>
      <c r="J216">
        <v>618.05999999999995</v>
      </c>
      <c r="K216">
        <f t="shared" si="12"/>
        <v>59.54</v>
      </c>
      <c r="L216">
        <f t="shared" si="13"/>
        <v>66.83</v>
      </c>
      <c r="M216">
        <f t="shared" si="14"/>
        <v>-7.2899999999999991</v>
      </c>
      <c r="N216">
        <v>7.21</v>
      </c>
      <c r="O216">
        <v>89.08</v>
      </c>
      <c r="P216">
        <v>43</v>
      </c>
      <c r="Q216">
        <v>19.5</v>
      </c>
      <c r="R216">
        <v>9.2799999999999994</v>
      </c>
      <c r="S216">
        <v>12.33</v>
      </c>
      <c r="T216">
        <v>6.5</v>
      </c>
      <c r="U216">
        <v>8.7899999999999991</v>
      </c>
      <c r="V216">
        <v>3478.04</v>
      </c>
      <c r="W216">
        <v>1049.95</v>
      </c>
      <c r="X216">
        <v>1371.15</v>
      </c>
      <c r="Y216">
        <v>778.13</v>
      </c>
      <c r="Z216">
        <v>5.79</v>
      </c>
      <c r="AA216">
        <v>1.61</v>
      </c>
      <c r="AB216">
        <v>4.4000000000000004</v>
      </c>
      <c r="AC216">
        <v>58.82</v>
      </c>
      <c r="AD216">
        <v>680</v>
      </c>
      <c r="AE216">
        <v>5900</v>
      </c>
      <c r="AF216">
        <v>83.75</v>
      </c>
      <c r="AG216">
        <v>0.59</v>
      </c>
      <c r="AH216">
        <v>10.75</v>
      </c>
      <c r="AI216">
        <v>45.83</v>
      </c>
      <c r="AJ216">
        <v>60</v>
      </c>
      <c r="AK216">
        <v>9</v>
      </c>
      <c r="AL216">
        <v>9</v>
      </c>
      <c r="AM216">
        <v>0.69</v>
      </c>
      <c r="AN216">
        <v>408</v>
      </c>
      <c r="AO216">
        <v>414.17</v>
      </c>
      <c r="AP216">
        <v>369444.03</v>
      </c>
      <c r="AQ216">
        <v>177121.42</v>
      </c>
      <c r="AR216" t="s">
        <v>1123</v>
      </c>
      <c r="AT216" s="6">
        <f t="shared" si="15"/>
        <v>10.97731792237443</v>
      </c>
    </row>
    <row r="217" spans="1:46" x14ac:dyDescent="0.55000000000000004">
      <c r="A217">
        <v>19.61</v>
      </c>
      <c r="B217">
        <v>28.83</v>
      </c>
      <c r="C217">
        <v>5495.31</v>
      </c>
      <c r="D217">
        <v>7.6</v>
      </c>
      <c r="E217" t="s">
        <v>1374</v>
      </c>
      <c r="F217" t="s">
        <v>1618</v>
      </c>
      <c r="G217" t="s">
        <v>1746</v>
      </c>
      <c r="H217" t="s">
        <v>1975</v>
      </c>
      <c r="I217">
        <v>0</v>
      </c>
      <c r="J217">
        <v>713.41</v>
      </c>
      <c r="K217">
        <f t="shared" si="12"/>
        <v>66.13</v>
      </c>
      <c r="L217">
        <f t="shared" si="13"/>
        <v>67.210000000000008</v>
      </c>
      <c r="M217">
        <f t="shared" si="14"/>
        <v>-1.0800000000000125</v>
      </c>
      <c r="N217">
        <v>7.26</v>
      </c>
      <c r="O217">
        <v>89.03</v>
      </c>
      <c r="P217">
        <v>53</v>
      </c>
      <c r="Q217">
        <v>19.100000000000001</v>
      </c>
      <c r="R217">
        <v>9.2200000000000006</v>
      </c>
      <c r="S217">
        <v>13.31</v>
      </c>
      <c r="T217">
        <v>6.3</v>
      </c>
      <c r="U217">
        <v>7.7</v>
      </c>
      <c r="V217">
        <v>3517</v>
      </c>
      <c r="W217">
        <v>1054.19</v>
      </c>
      <c r="X217">
        <v>1312.44</v>
      </c>
      <c r="Y217">
        <v>767.25</v>
      </c>
      <c r="Z217">
        <v>6.4</v>
      </c>
      <c r="AA217">
        <v>1.6</v>
      </c>
      <c r="AB217">
        <v>4.41</v>
      </c>
      <c r="AC217">
        <v>59.4</v>
      </c>
      <c r="AD217">
        <v>680</v>
      </c>
      <c r="AE217">
        <v>5900</v>
      </c>
      <c r="AF217">
        <v>83.22</v>
      </c>
      <c r="AG217">
        <v>0.59</v>
      </c>
      <c r="AH217">
        <v>12.42</v>
      </c>
      <c r="AI217">
        <v>45.58</v>
      </c>
      <c r="AJ217">
        <v>60</v>
      </c>
      <c r="AK217">
        <v>9</v>
      </c>
      <c r="AL217">
        <v>9</v>
      </c>
      <c r="AM217">
        <v>0.69</v>
      </c>
      <c r="AN217">
        <v>408</v>
      </c>
      <c r="AO217">
        <v>414.2</v>
      </c>
      <c r="AP217">
        <v>440805.17</v>
      </c>
      <c r="AQ217">
        <v>183441.84</v>
      </c>
      <c r="AR217" t="s">
        <v>1124</v>
      </c>
      <c r="AT217" s="6">
        <f t="shared" si="15"/>
        <v>14.689687785388127</v>
      </c>
    </row>
    <row r="218" spans="1:46" x14ac:dyDescent="0.55000000000000004">
      <c r="A218">
        <v>18.489999999999998</v>
      </c>
      <c r="B218">
        <v>27.76</v>
      </c>
      <c r="C218">
        <v>5457.6</v>
      </c>
      <c r="D218">
        <v>7.6</v>
      </c>
      <c r="E218" t="s">
        <v>1375</v>
      </c>
      <c r="F218" t="s">
        <v>1619</v>
      </c>
      <c r="G218" t="s">
        <v>1740</v>
      </c>
      <c r="H218" t="s">
        <v>1831</v>
      </c>
      <c r="I218">
        <v>0</v>
      </c>
      <c r="J218">
        <v>585.62</v>
      </c>
      <c r="K218">
        <f t="shared" si="12"/>
        <v>56.980000000000004</v>
      </c>
      <c r="L218">
        <f t="shared" si="13"/>
        <v>62.820000000000007</v>
      </c>
      <c r="M218">
        <f t="shared" si="14"/>
        <v>-5.8400000000000034</v>
      </c>
      <c r="N218">
        <v>7.18</v>
      </c>
      <c r="O218">
        <v>89.04</v>
      </c>
      <c r="P218">
        <v>46</v>
      </c>
      <c r="Q218">
        <v>18.2</v>
      </c>
      <c r="R218">
        <v>9.27</v>
      </c>
      <c r="S218">
        <v>11.64</v>
      </c>
      <c r="T218">
        <v>6.84</v>
      </c>
      <c r="U218">
        <v>9.32</v>
      </c>
      <c r="V218">
        <v>3492.86</v>
      </c>
      <c r="W218">
        <v>1056.3399999999999</v>
      </c>
      <c r="X218">
        <v>1398.96</v>
      </c>
      <c r="Y218">
        <v>786.78</v>
      </c>
      <c r="Z218">
        <v>7.25</v>
      </c>
      <c r="AA218">
        <v>1.6</v>
      </c>
      <c r="AB218">
        <v>4.4000000000000004</v>
      </c>
      <c r="AC218">
        <v>57.53</v>
      </c>
      <c r="AD218">
        <v>680</v>
      </c>
      <c r="AE218">
        <v>5900</v>
      </c>
      <c r="AF218">
        <v>83.7</v>
      </c>
      <c r="AG218">
        <v>0.59</v>
      </c>
      <c r="AH218">
        <v>10.06</v>
      </c>
      <c r="AI218">
        <v>60.01</v>
      </c>
      <c r="AJ218">
        <v>60</v>
      </c>
      <c r="AK218">
        <v>9</v>
      </c>
      <c r="AL218">
        <v>9</v>
      </c>
      <c r="AM218">
        <v>0.52</v>
      </c>
      <c r="AN218">
        <v>408</v>
      </c>
      <c r="AO218">
        <v>412.71</v>
      </c>
      <c r="AP218">
        <v>357174.58</v>
      </c>
      <c r="AQ218">
        <v>249101.97</v>
      </c>
      <c r="AR218" t="s">
        <v>1125</v>
      </c>
      <c r="AT218" s="6">
        <f t="shared" si="15"/>
        <v>6.1685279680365301</v>
      </c>
    </row>
    <row r="219" spans="1:46" x14ac:dyDescent="0.55000000000000004">
      <c r="A219">
        <v>19.260000000000002</v>
      </c>
      <c r="B219">
        <v>28.46</v>
      </c>
      <c r="C219">
        <v>5444.58</v>
      </c>
      <c r="D219">
        <v>7.6</v>
      </c>
      <c r="E219" t="s">
        <v>1376</v>
      </c>
      <c r="F219" t="s">
        <v>1620</v>
      </c>
      <c r="G219" t="s">
        <v>1755</v>
      </c>
      <c r="H219" t="s">
        <v>1976</v>
      </c>
      <c r="I219">
        <v>0</v>
      </c>
      <c r="J219">
        <v>702.68</v>
      </c>
      <c r="K219">
        <f t="shared" si="12"/>
        <v>64.550000000000011</v>
      </c>
      <c r="L219">
        <f t="shared" si="13"/>
        <v>69.300000000000011</v>
      </c>
      <c r="M219">
        <f t="shared" si="14"/>
        <v>-4.75</v>
      </c>
      <c r="N219">
        <v>7.26</v>
      </c>
      <c r="O219">
        <v>89.02</v>
      </c>
      <c r="P219">
        <v>43</v>
      </c>
      <c r="Q219">
        <v>19.600000000000001</v>
      </c>
      <c r="R219">
        <v>9.19</v>
      </c>
      <c r="S219">
        <v>12.41</v>
      </c>
      <c r="T219">
        <v>6.85</v>
      </c>
      <c r="U219">
        <v>7.75</v>
      </c>
      <c r="V219">
        <v>3484.53</v>
      </c>
      <c r="W219">
        <v>1045.5</v>
      </c>
      <c r="X219">
        <v>1309.78</v>
      </c>
      <c r="Y219">
        <v>762.79</v>
      </c>
      <c r="Z219">
        <v>6.05</v>
      </c>
      <c r="AA219">
        <v>1.58</v>
      </c>
      <c r="AB219">
        <v>4.43</v>
      </c>
      <c r="AC219">
        <v>57.3</v>
      </c>
      <c r="AD219">
        <v>680</v>
      </c>
      <c r="AE219">
        <v>5900</v>
      </c>
      <c r="AF219">
        <v>82.99</v>
      </c>
      <c r="AG219">
        <v>0.59</v>
      </c>
      <c r="AH219">
        <v>12.3</v>
      </c>
      <c r="AI219">
        <v>44.2</v>
      </c>
      <c r="AJ219">
        <v>60</v>
      </c>
      <c r="AK219">
        <v>9</v>
      </c>
      <c r="AL219">
        <v>9</v>
      </c>
      <c r="AM219">
        <v>0.71</v>
      </c>
      <c r="AN219">
        <v>408</v>
      </c>
      <c r="AO219">
        <v>414.4</v>
      </c>
      <c r="AP219">
        <v>400547.86</v>
      </c>
      <c r="AQ219">
        <v>193676.4</v>
      </c>
      <c r="AR219" t="s">
        <v>1126</v>
      </c>
      <c r="AT219" s="6">
        <f t="shared" si="15"/>
        <v>11.807731735159816</v>
      </c>
    </row>
    <row r="220" spans="1:46" x14ac:dyDescent="0.55000000000000004">
      <c r="A220">
        <v>19.38</v>
      </c>
      <c r="B220">
        <v>28.58</v>
      </c>
      <c r="C220">
        <v>5467.3</v>
      </c>
      <c r="D220">
        <v>7.6</v>
      </c>
      <c r="E220" t="s">
        <v>1377</v>
      </c>
      <c r="F220" t="s">
        <v>1621</v>
      </c>
      <c r="G220" t="s">
        <v>1743</v>
      </c>
      <c r="H220" t="s">
        <v>1977</v>
      </c>
      <c r="I220">
        <v>0</v>
      </c>
      <c r="J220">
        <v>720.64</v>
      </c>
      <c r="K220">
        <f t="shared" si="12"/>
        <v>65.490000000000009</v>
      </c>
      <c r="L220">
        <f t="shared" si="13"/>
        <v>64.210000000000008</v>
      </c>
      <c r="M220">
        <f t="shared" si="14"/>
        <v>1.2800000000000011</v>
      </c>
      <c r="N220">
        <v>7.27</v>
      </c>
      <c r="O220">
        <v>88.99</v>
      </c>
      <c r="P220">
        <v>48</v>
      </c>
      <c r="Q220">
        <v>19.100000000000001</v>
      </c>
      <c r="R220">
        <v>9.1999999999999993</v>
      </c>
      <c r="S220">
        <v>12.66</v>
      </c>
      <c r="T220">
        <v>6.71</v>
      </c>
      <c r="U220">
        <v>7.59</v>
      </c>
      <c r="V220">
        <v>3499.07</v>
      </c>
      <c r="W220">
        <v>1048.9100000000001</v>
      </c>
      <c r="X220">
        <v>1305.1300000000001</v>
      </c>
      <c r="Y220">
        <v>763.41</v>
      </c>
      <c r="Z220">
        <v>9.69</v>
      </c>
      <c r="AA220">
        <v>1.58</v>
      </c>
      <c r="AB220">
        <v>4.43</v>
      </c>
      <c r="AC220">
        <v>57.81</v>
      </c>
      <c r="AD220">
        <v>680</v>
      </c>
      <c r="AE220">
        <v>5900</v>
      </c>
      <c r="AF220">
        <v>83.04</v>
      </c>
      <c r="AG220">
        <v>0.59</v>
      </c>
      <c r="AH220">
        <v>12.61</v>
      </c>
      <c r="AI220">
        <v>69.72</v>
      </c>
      <c r="AJ220">
        <v>60</v>
      </c>
      <c r="AK220">
        <v>9</v>
      </c>
      <c r="AL220">
        <v>9</v>
      </c>
      <c r="AM220">
        <v>0.45</v>
      </c>
      <c r="AN220">
        <v>408</v>
      </c>
      <c r="AO220">
        <v>412.06</v>
      </c>
      <c r="AP220">
        <v>420447.45</v>
      </c>
      <c r="AQ220">
        <v>318785.12</v>
      </c>
      <c r="AR220" t="s">
        <v>1127</v>
      </c>
      <c r="AT220" s="6">
        <f t="shared" si="15"/>
        <v>5.8026444063926954</v>
      </c>
    </row>
    <row r="221" spans="1:46" x14ac:dyDescent="0.55000000000000004">
      <c r="A221">
        <v>19.39</v>
      </c>
      <c r="B221">
        <v>28.59</v>
      </c>
      <c r="C221">
        <v>5473.56</v>
      </c>
      <c r="D221">
        <v>7.6</v>
      </c>
      <c r="E221" t="s">
        <v>1378</v>
      </c>
      <c r="F221" t="s">
        <v>1622</v>
      </c>
      <c r="G221" t="s">
        <v>1760</v>
      </c>
      <c r="H221" t="s">
        <v>1978</v>
      </c>
      <c r="I221">
        <v>0</v>
      </c>
      <c r="J221">
        <v>706.32</v>
      </c>
      <c r="K221">
        <f t="shared" si="12"/>
        <v>65.2</v>
      </c>
      <c r="L221">
        <f t="shared" si="13"/>
        <v>63.010000000000005</v>
      </c>
      <c r="M221">
        <f t="shared" si="14"/>
        <v>2.1899999999999977</v>
      </c>
      <c r="N221">
        <v>7.26</v>
      </c>
      <c r="O221">
        <v>89</v>
      </c>
      <c r="P221">
        <v>49</v>
      </c>
      <c r="Q221">
        <v>19.2</v>
      </c>
      <c r="R221">
        <v>9.1999999999999993</v>
      </c>
      <c r="S221">
        <v>12.88</v>
      </c>
      <c r="T221">
        <v>6.51</v>
      </c>
      <c r="U221">
        <v>7.75</v>
      </c>
      <c r="V221">
        <v>3503.08</v>
      </c>
      <c r="W221">
        <v>1050.8900000000001</v>
      </c>
      <c r="X221">
        <v>1314.84</v>
      </c>
      <c r="Y221">
        <v>766.38</v>
      </c>
      <c r="Z221">
        <v>10.35</v>
      </c>
      <c r="AA221">
        <v>1.59</v>
      </c>
      <c r="AB221">
        <v>4.42</v>
      </c>
      <c r="AC221">
        <v>58.59</v>
      </c>
      <c r="AD221">
        <v>680</v>
      </c>
      <c r="AE221">
        <v>5900</v>
      </c>
      <c r="AF221">
        <v>83.07</v>
      </c>
      <c r="AG221">
        <v>0.59</v>
      </c>
      <c r="AH221">
        <v>12.31</v>
      </c>
      <c r="AI221">
        <v>74.78</v>
      </c>
      <c r="AJ221">
        <v>60</v>
      </c>
      <c r="AK221">
        <v>9</v>
      </c>
      <c r="AL221">
        <v>9</v>
      </c>
      <c r="AM221">
        <v>0.42</v>
      </c>
      <c r="AN221">
        <v>408</v>
      </c>
      <c r="AO221">
        <v>411.78</v>
      </c>
      <c r="AP221">
        <v>428608.15</v>
      </c>
      <c r="AQ221">
        <v>324488.2</v>
      </c>
      <c r="AR221" t="s">
        <v>1128</v>
      </c>
      <c r="AT221" s="6">
        <f t="shared" si="15"/>
        <v>5.9429195205479459</v>
      </c>
    </row>
    <row r="222" spans="1:46" x14ac:dyDescent="0.55000000000000004">
      <c r="A222">
        <v>19.87</v>
      </c>
      <c r="B222">
        <v>29.02</v>
      </c>
      <c r="C222">
        <v>5528.04</v>
      </c>
      <c r="D222">
        <v>7.6</v>
      </c>
      <c r="E222" t="s">
        <v>1379</v>
      </c>
      <c r="F222" t="s">
        <v>1623</v>
      </c>
      <c r="G222" t="s">
        <v>1707</v>
      </c>
      <c r="H222" t="s">
        <v>1979</v>
      </c>
      <c r="I222">
        <v>0</v>
      </c>
      <c r="J222">
        <v>691.39</v>
      </c>
      <c r="K222">
        <f t="shared" si="12"/>
        <v>63.11</v>
      </c>
      <c r="L222">
        <f t="shared" si="13"/>
        <v>63.11</v>
      </c>
      <c r="M222">
        <f t="shared" si="14"/>
        <v>0</v>
      </c>
      <c r="N222">
        <v>7.24</v>
      </c>
      <c r="O222">
        <v>88.97</v>
      </c>
      <c r="P222">
        <v>39</v>
      </c>
      <c r="Q222">
        <v>22.5</v>
      </c>
      <c r="R222">
        <v>9.14</v>
      </c>
      <c r="S222">
        <v>14.19</v>
      </c>
      <c r="T222">
        <v>5.68</v>
      </c>
      <c r="U222">
        <v>8</v>
      </c>
      <c r="V222">
        <v>3537.95</v>
      </c>
      <c r="W222">
        <v>1061.19</v>
      </c>
      <c r="X222">
        <v>1329.48</v>
      </c>
      <c r="Y222">
        <v>773.92</v>
      </c>
      <c r="Z222">
        <v>14.55</v>
      </c>
      <c r="AA222">
        <v>1.61</v>
      </c>
      <c r="AB222">
        <v>4.3899999999999997</v>
      </c>
      <c r="AC222">
        <v>61.69</v>
      </c>
      <c r="AD222">
        <v>680</v>
      </c>
      <c r="AE222">
        <v>5900</v>
      </c>
      <c r="AF222">
        <v>82.54</v>
      </c>
      <c r="AG222">
        <v>0.59</v>
      </c>
      <c r="AH222">
        <v>11.8</v>
      </c>
      <c r="AI222">
        <v>108.69</v>
      </c>
      <c r="AJ222">
        <v>60</v>
      </c>
      <c r="AK222">
        <v>9</v>
      </c>
      <c r="AL222">
        <v>9</v>
      </c>
      <c r="AM222">
        <v>0.28999999999999998</v>
      </c>
      <c r="AN222">
        <v>408</v>
      </c>
      <c r="AO222">
        <v>410.6</v>
      </c>
      <c r="AP222">
        <v>384874.09</v>
      </c>
      <c r="AQ222">
        <v>384874.09</v>
      </c>
      <c r="AR222" t="s">
        <v>1129</v>
      </c>
      <c r="AT222" s="6">
        <f t="shared" si="15"/>
        <v>0</v>
      </c>
    </row>
    <row r="223" spans="1:46" x14ac:dyDescent="0.55000000000000004">
      <c r="A223">
        <v>20.66</v>
      </c>
      <c r="B223">
        <v>29.84</v>
      </c>
      <c r="C223">
        <v>5510.44</v>
      </c>
      <c r="D223">
        <v>7.6</v>
      </c>
      <c r="E223" t="s">
        <v>1380</v>
      </c>
      <c r="F223" t="s">
        <v>1624</v>
      </c>
      <c r="G223" t="s">
        <v>1686</v>
      </c>
      <c r="H223" t="s">
        <v>1980</v>
      </c>
      <c r="I223">
        <v>0</v>
      </c>
      <c r="J223">
        <v>752.32</v>
      </c>
      <c r="K223">
        <f t="shared" si="12"/>
        <v>68.09</v>
      </c>
      <c r="L223">
        <f t="shared" si="13"/>
        <v>69.7</v>
      </c>
      <c r="M223">
        <f t="shared" si="14"/>
        <v>-1.6099999999999994</v>
      </c>
      <c r="N223">
        <v>7.28</v>
      </c>
      <c r="O223">
        <v>88.95</v>
      </c>
      <c r="P223">
        <v>34</v>
      </c>
      <c r="Q223">
        <v>25</v>
      </c>
      <c r="R223">
        <v>9.18</v>
      </c>
      <c r="S223">
        <v>15.34</v>
      </c>
      <c r="T223">
        <v>5.33</v>
      </c>
      <c r="U223">
        <v>7.32</v>
      </c>
      <c r="V223">
        <v>3526.68</v>
      </c>
      <c r="W223">
        <v>1054.27</v>
      </c>
      <c r="X223">
        <v>1288.99</v>
      </c>
      <c r="Y223">
        <v>762.08</v>
      </c>
      <c r="Z223">
        <v>9.77</v>
      </c>
      <c r="AA223">
        <v>1.61</v>
      </c>
      <c r="AB223">
        <v>4.38</v>
      </c>
      <c r="AC223">
        <v>63.29</v>
      </c>
      <c r="AD223">
        <v>680</v>
      </c>
      <c r="AE223">
        <v>5900</v>
      </c>
      <c r="AF223">
        <v>82.89</v>
      </c>
      <c r="AG223">
        <v>0.59</v>
      </c>
      <c r="AH223">
        <v>13.11</v>
      </c>
      <c r="AI223">
        <v>67.61</v>
      </c>
      <c r="AJ223">
        <v>60</v>
      </c>
      <c r="AK223">
        <v>9</v>
      </c>
      <c r="AL223">
        <v>9</v>
      </c>
      <c r="AM223">
        <v>0.46</v>
      </c>
      <c r="AN223">
        <v>408</v>
      </c>
      <c r="AO223">
        <v>412.18</v>
      </c>
      <c r="AP223">
        <v>400232.02</v>
      </c>
      <c r="AQ223">
        <v>383126.72</v>
      </c>
      <c r="AR223" t="s">
        <v>1130</v>
      </c>
      <c r="AT223" s="6">
        <f t="shared" si="15"/>
        <v>0.97632990867580172</v>
      </c>
    </row>
    <row r="224" spans="1:46" x14ac:dyDescent="0.55000000000000004">
      <c r="A224">
        <v>20.46</v>
      </c>
      <c r="B224">
        <v>29.64</v>
      </c>
      <c r="C224">
        <v>5517.73</v>
      </c>
      <c r="D224">
        <v>7.6</v>
      </c>
      <c r="E224" t="s">
        <v>1381</v>
      </c>
      <c r="F224" t="s">
        <v>1625</v>
      </c>
      <c r="G224" t="s">
        <v>1728</v>
      </c>
      <c r="H224" t="s">
        <v>1981</v>
      </c>
      <c r="I224">
        <v>0</v>
      </c>
      <c r="J224">
        <v>727.87</v>
      </c>
      <c r="K224">
        <f t="shared" si="12"/>
        <v>65.209999999999994</v>
      </c>
      <c r="L224">
        <f t="shared" si="13"/>
        <v>68.64</v>
      </c>
      <c r="M224">
        <f t="shared" si="14"/>
        <v>-3.4300000000000068</v>
      </c>
      <c r="N224">
        <v>7.27</v>
      </c>
      <c r="O224">
        <v>88.94</v>
      </c>
      <c r="P224">
        <v>35</v>
      </c>
      <c r="Q224">
        <v>24.4</v>
      </c>
      <c r="R224">
        <v>9.17</v>
      </c>
      <c r="S224">
        <v>15.05</v>
      </c>
      <c r="T224">
        <v>5.42</v>
      </c>
      <c r="U224">
        <v>7.58</v>
      </c>
      <c r="V224">
        <v>3531.35</v>
      </c>
      <c r="W224">
        <v>1056.9100000000001</v>
      </c>
      <c r="X224">
        <v>1303.74</v>
      </c>
      <c r="Y224">
        <v>766.41</v>
      </c>
      <c r="Z224">
        <v>7.6</v>
      </c>
      <c r="AA224">
        <v>1.61</v>
      </c>
      <c r="AB224">
        <v>4.3899999999999997</v>
      </c>
      <c r="AC224">
        <v>62.85</v>
      </c>
      <c r="AD224">
        <v>680</v>
      </c>
      <c r="AE224">
        <v>5900</v>
      </c>
      <c r="AF224">
        <v>82.79</v>
      </c>
      <c r="AG224">
        <v>0.59</v>
      </c>
      <c r="AH224">
        <v>12.58</v>
      </c>
      <c r="AI224">
        <v>54.92</v>
      </c>
      <c r="AJ224">
        <v>60</v>
      </c>
      <c r="AK224">
        <v>9</v>
      </c>
      <c r="AL224">
        <v>9</v>
      </c>
      <c r="AM224">
        <v>0.56999999999999995</v>
      </c>
      <c r="AN224">
        <v>408</v>
      </c>
      <c r="AO224">
        <v>413.15</v>
      </c>
      <c r="AP224">
        <v>392445.36</v>
      </c>
      <c r="AQ224">
        <v>294704.69</v>
      </c>
      <c r="AR224" t="s">
        <v>1131</v>
      </c>
      <c r="AT224" s="6">
        <f t="shared" si="15"/>
        <v>5.5788053652968026</v>
      </c>
    </row>
    <row r="225" spans="1:46" x14ac:dyDescent="0.55000000000000004">
      <c r="A225">
        <v>19.8</v>
      </c>
      <c r="B225">
        <v>28.93</v>
      </c>
      <c r="C225">
        <v>5524.88</v>
      </c>
      <c r="D225">
        <v>7.6</v>
      </c>
      <c r="E225" t="s">
        <v>1382</v>
      </c>
      <c r="F225" t="s">
        <v>1626</v>
      </c>
      <c r="G225" t="s">
        <v>1761</v>
      </c>
      <c r="H225" t="s">
        <v>1982</v>
      </c>
      <c r="I225">
        <v>0</v>
      </c>
      <c r="J225">
        <v>686.9</v>
      </c>
      <c r="K225">
        <f t="shared" si="12"/>
        <v>62.260000000000005</v>
      </c>
      <c r="L225">
        <f t="shared" si="13"/>
        <v>68.91</v>
      </c>
      <c r="M225">
        <f t="shared" si="14"/>
        <v>-6.6499999999999915</v>
      </c>
      <c r="N225">
        <v>7.24</v>
      </c>
      <c r="O225">
        <v>88.96</v>
      </c>
      <c r="P225">
        <v>39</v>
      </c>
      <c r="Q225">
        <v>22</v>
      </c>
      <c r="R225">
        <v>9.14</v>
      </c>
      <c r="S225">
        <v>13.79</v>
      </c>
      <c r="T225">
        <v>6.01</v>
      </c>
      <c r="U225">
        <v>8.0399999999999991</v>
      </c>
      <c r="V225">
        <v>3535.92</v>
      </c>
      <c r="W225">
        <v>1060.72</v>
      </c>
      <c r="X225">
        <v>1330.62</v>
      </c>
      <c r="Y225">
        <v>773.9</v>
      </c>
      <c r="Z225">
        <v>5.87</v>
      </c>
      <c r="AA225">
        <v>1.61</v>
      </c>
      <c r="AB225">
        <v>4.3899999999999997</v>
      </c>
      <c r="AC225">
        <v>60.32</v>
      </c>
      <c r="AD225">
        <v>680</v>
      </c>
      <c r="AE225">
        <v>5900</v>
      </c>
      <c r="AF225">
        <v>82.46</v>
      </c>
      <c r="AG225">
        <v>0.59</v>
      </c>
      <c r="AH225">
        <v>11.71</v>
      </c>
      <c r="AI225">
        <v>44.44</v>
      </c>
      <c r="AJ225">
        <v>60</v>
      </c>
      <c r="AK225">
        <v>9</v>
      </c>
      <c r="AL225">
        <v>9</v>
      </c>
      <c r="AM225">
        <v>0.71</v>
      </c>
      <c r="AN225">
        <v>408</v>
      </c>
      <c r="AO225">
        <v>414.36</v>
      </c>
      <c r="AP225">
        <v>378403.61</v>
      </c>
      <c r="AQ225">
        <v>200162.12</v>
      </c>
      <c r="AR225" t="s">
        <v>1132</v>
      </c>
      <c r="AT225" s="6">
        <f t="shared" si="15"/>
        <v>10.173601027397259</v>
      </c>
    </row>
    <row r="226" spans="1:46" x14ac:dyDescent="0.55000000000000004">
      <c r="A226">
        <v>21.73</v>
      </c>
      <c r="B226">
        <v>30.86</v>
      </c>
      <c r="C226">
        <v>5520.64</v>
      </c>
      <c r="D226">
        <v>7.6</v>
      </c>
      <c r="E226" t="s">
        <v>1383</v>
      </c>
      <c r="F226" t="s">
        <v>1627</v>
      </c>
      <c r="G226" t="s">
        <v>1724</v>
      </c>
      <c r="H226" t="s">
        <v>1983</v>
      </c>
      <c r="I226">
        <v>0</v>
      </c>
      <c r="J226">
        <v>699.31</v>
      </c>
      <c r="K226">
        <f t="shared" si="12"/>
        <v>63.9</v>
      </c>
      <c r="L226">
        <f t="shared" si="13"/>
        <v>63.22</v>
      </c>
      <c r="M226">
        <f t="shared" si="14"/>
        <v>0.67999999999999972</v>
      </c>
      <c r="N226">
        <v>7.25</v>
      </c>
      <c r="O226">
        <v>89.13</v>
      </c>
      <c r="P226">
        <v>49</v>
      </c>
      <c r="Q226">
        <v>24.5</v>
      </c>
      <c r="R226">
        <v>9.1300000000000008</v>
      </c>
      <c r="S226">
        <v>17.41</v>
      </c>
      <c r="T226">
        <v>4.32</v>
      </c>
      <c r="U226">
        <v>7.89</v>
      </c>
      <c r="V226">
        <v>3533.21</v>
      </c>
      <c r="W226">
        <v>1059.45</v>
      </c>
      <c r="X226">
        <v>1323.96</v>
      </c>
      <c r="Y226">
        <v>771.99</v>
      </c>
      <c r="Z226">
        <v>11.62</v>
      </c>
      <c r="AA226">
        <v>1.64</v>
      </c>
      <c r="AB226">
        <v>4.32</v>
      </c>
      <c r="AC226">
        <v>67.89</v>
      </c>
      <c r="AD226">
        <v>680</v>
      </c>
      <c r="AE226">
        <v>5900</v>
      </c>
      <c r="AF226">
        <v>82.42</v>
      </c>
      <c r="AG226">
        <v>0.59</v>
      </c>
      <c r="AH226">
        <v>11.95</v>
      </c>
      <c r="AI226">
        <v>85.72</v>
      </c>
      <c r="AJ226">
        <v>60</v>
      </c>
      <c r="AK226">
        <v>9</v>
      </c>
      <c r="AL226">
        <v>9</v>
      </c>
      <c r="AM226">
        <v>0.37</v>
      </c>
      <c r="AN226">
        <v>408</v>
      </c>
      <c r="AO226">
        <v>411.3</v>
      </c>
      <c r="AP226">
        <v>404406.49</v>
      </c>
      <c r="AQ226">
        <v>372115.41</v>
      </c>
      <c r="AR226" t="s">
        <v>1133</v>
      </c>
      <c r="AT226" s="6">
        <f t="shared" si="15"/>
        <v>1.8430981735159826</v>
      </c>
    </row>
    <row r="227" spans="1:46" x14ac:dyDescent="0.55000000000000004">
      <c r="A227">
        <v>18.760000000000002</v>
      </c>
      <c r="B227">
        <v>27.79</v>
      </c>
      <c r="C227">
        <v>5516.3</v>
      </c>
      <c r="D227">
        <v>7.6</v>
      </c>
      <c r="E227" t="s">
        <v>1384</v>
      </c>
      <c r="F227" t="s">
        <v>1628</v>
      </c>
      <c r="G227" t="s">
        <v>1762</v>
      </c>
      <c r="H227" t="s">
        <v>1984</v>
      </c>
      <c r="I227">
        <v>0</v>
      </c>
      <c r="J227">
        <v>645.25</v>
      </c>
      <c r="K227">
        <f t="shared" si="12"/>
        <v>57.540000000000006</v>
      </c>
      <c r="L227">
        <f t="shared" si="13"/>
        <v>64.349999999999994</v>
      </c>
      <c r="M227">
        <f t="shared" si="14"/>
        <v>-6.8099999999999881</v>
      </c>
      <c r="N227">
        <v>7.18</v>
      </c>
      <c r="O227">
        <v>88.94</v>
      </c>
      <c r="P227">
        <v>45</v>
      </c>
      <c r="Q227">
        <v>19</v>
      </c>
      <c r="R227">
        <v>9.0299999999999994</v>
      </c>
      <c r="S227">
        <v>12.18</v>
      </c>
      <c r="T227">
        <v>6.58</v>
      </c>
      <c r="U227">
        <v>8.5500000000000007</v>
      </c>
      <c r="V227">
        <v>3530.43</v>
      </c>
      <c r="W227">
        <v>1058.74</v>
      </c>
      <c r="X227">
        <v>1334.59</v>
      </c>
      <c r="Y227">
        <v>772.82</v>
      </c>
      <c r="Z227">
        <v>6.26</v>
      </c>
      <c r="AA227">
        <v>1.59</v>
      </c>
      <c r="AB227">
        <v>4.43</v>
      </c>
      <c r="AC227">
        <v>57.86</v>
      </c>
      <c r="AD227">
        <v>680</v>
      </c>
      <c r="AE227">
        <v>5900</v>
      </c>
      <c r="AF227">
        <v>81.510000000000005</v>
      </c>
      <c r="AG227">
        <v>0.59</v>
      </c>
      <c r="AH227">
        <v>10.8</v>
      </c>
      <c r="AI227">
        <v>51.26</v>
      </c>
      <c r="AJ227">
        <v>60</v>
      </c>
      <c r="AK227">
        <v>9</v>
      </c>
      <c r="AL227">
        <v>9</v>
      </c>
      <c r="AM227">
        <v>0.61</v>
      </c>
      <c r="AN227">
        <v>408</v>
      </c>
      <c r="AO227">
        <v>413.52</v>
      </c>
      <c r="AP227">
        <v>360059.39</v>
      </c>
      <c r="AQ227">
        <v>228680.6</v>
      </c>
      <c r="AR227" t="s">
        <v>1134</v>
      </c>
      <c r="AT227" s="6">
        <f t="shared" si="15"/>
        <v>7.4987893835616442</v>
      </c>
    </row>
    <row r="228" spans="1:46" x14ac:dyDescent="0.55000000000000004">
      <c r="A228">
        <v>20.7</v>
      </c>
      <c r="B228">
        <v>29.94</v>
      </c>
      <c r="C228">
        <v>5509.82</v>
      </c>
      <c r="D228">
        <v>7.6</v>
      </c>
      <c r="E228" t="s">
        <v>1385</v>
      </c>
      <c r="F228" t="s">
        <v>1629</v>
      </c>
      <c r="G228" t="s">
        <v>1700</v>
      </c>
      <c r="H228" t="s">
        <v>1985</v>
      </c>
      <c r="I228">
        <v>0</v>
      </c>
      <c r="J228">
        <v>761</v>
      </c>
      <c r="K228">
        <f t="shared" si="12"/>
        <v>68.820000000000007</v>
      </c>
      <c r="L228">
        <f t="shared" si="13"/>
        <v>70.37</v>
      </c>
      <c r="M228">
        <f t="shared" si="14"/>
        <v>-1.5499999999999972</v>
      </c>
      <c r="N228">
        <v>7.29</v>
      </c>
      <c r="O228">
        <v>88.99</v>
      </c>
      <c r="P228">
        <v>32</v>
      </c>
      <c r="Q228">
        <v>25.3</v>
      </c>
      <c r="R228">
        <v>9.23</v>
      </c>
      <c r="S228">
        <v>15.2</v>
      </c>
      <c r="T228">
        <v>5.5</v>
      </c>
      <c r="U228">
        <v>7.24</v>
      </c>
      <c r="V228">
        <v>3526.29</v>
      </c>
      <c r="W228">
        <v>1054.1199999999999</v>
      </c>
      <c r="X228">
        <v>1287.19</v>
      </c>
      <c r="Y228">
        <v>761.76</v>
      </c>
      <c r="Z228">
        <v>9.7799999999999994</v>
      </c>
      <c r="AA228">
        <v>1.61</v>
      </c>
      <c r="AB228">
        <v>4.3899999999999997</v>
      </c>
      <c r="AC228">
        <v>62.66</v>
      </c>
      <c r="AD228">
        <v>680</v>
      </c>
      <c r="AE228">
        <v>5900</v>
      </c>
      <c r="AF228">
        <v>83.36</v>
      </c>
      <c r="AG228">
        <v>0.59</v>
      </c>
      <c r="AH228">
        <v>13.36</v>
      </c>
      <c r="AI228">
        <v>66.959999999999994</v>
      </c>
      <c r="AJ228">
        <v>60</v>
      </c>
      <c r="AK228">
        <v>9</v>
      </c>
      <c r="AL228">
        <v>9</v>
      </c>
      <c r="AM228">
        <v>0.47</v>
      </c>
      <c r="AN228">
        <v>408</v>
      </c>
      <c r="AO228">
        <v>412.22</v>
      </c>
      <c r="AP228">
        <v>400343.54</v>
      </c>
      <c r="AQ228">
        <v>385858.57</v>
      </c>
      <c r="AR228" t="s">
        <v>1135</v>
      </c>
      <c r="AT228" s="6">
        <f t="shared" si="15"/>
        <v>0.82676769406392536</v>
      </c>
    </row>
    <row r="229" spans="1:46" x14ac:dyDescent="0.55000000000000004">
      <c r="A229">
        <v>19.3</v>
      </c>
      <c r="B229">
        <v>28.37</v>
      </c>
      <c r="C229">
        <v>5528.39</v>
      </c>
      <c r="D229">
        <v>7.6</v>
      </c>
      <c r="E229" t="s">
        <v>1386</v>
      </c>
      <c r="F229" t="s">
        <v>1630</v>
      </c>
      <c r="G229" t="s">
        <v>1763</v>
      </c>
      <c r="H229" t="s">
        <v>1986</v>
      </c>
      <c r="I229">
        <v>0</v>
      </c>
      <c r="J229">
        <v>657.82</v>
      </c>
      <c r="K229">
        <f t="shared" si="12"/>
        <v>60.26</v>
      </c>
      <c r="L229">
        <f t="shared" si="13"/>
        <v>66.66</v>
      </c>
      <c r="M229">
        <f t="shared" si="14"/>
        <v>-6.3999999999999986</v>
      </c>
      <c r="N229">
        <v>7.22</v>
      </c>
      <c r="O229">
        <v>89.03</v>
      </c>
      <c r="P229">
        <v>41</v>
      </c>
      <c r="Q229">
        <v>21</v>
      </c>
      <c r="R229">
        <v>9.07</v>
      </c>
      <c r="S229">
        <v>13.28</v>
      </c>
      <c r="T229">
        <v>6.02</v>
      </c>
      <c r="U229">
        <v>8.4</v>
      </c>
      <c r="V229">
        <v>3538.17</v>
      </c>
      <c r="W229">
        <v>1063.1400000000001</v>
      </c>
      <c r="X229">
        <v>1349.97</v>
      </c>
      <c r="Y229">
        <v>779.08</v>
      </c>
      <c r="Z229">
        <v>6.33</v>
      </c>
      <c r="AA229">
        <v>1.61</v>
      </c>
      <c r="AB229">
        <v>4.3899999999999997</v>
      </c>
      <c r="AC229">
        <v>60.09</v>
      </c>
      <c r="AD229">
        <v>680</v>
      </c>
      <c r="AE229">
        <v>5900</v>
      </c>
      <c r="AF229">
        <v>81.83</v>
      </c>
      <c r="AG229">
        <v>0.59</v>
      </c>
      <c r="AH229">
        <v>11.05</v>
      </c>
      <c r="AI229">
        <v>49.48</v>
      </c>
      <c r="AJ229">
        <v>60</v>
      </c>
      <c r="AK229">
        <v>9</v>
      </c>
      <c r="AL229">
        <v>9</v>
      </c>
      <c r="AM229">
        <v>0.63</v>
      </c>
      <c r="AN229">
        <v>408</v>
      </c>
      <c r="AO229">
        <v>413.71</v>
      </c>
      <c r="AP229">
        <v>369038.05</v>
      </c>
      <c r="AQ229">
        <v>224782.99</v>
      </c>
      <c r="AR229" t="s">
        <v>1136</v>
      </c>
      <c r="AT229" s="6">
        <f t="shared" si="15"/>
        <v>8.2337363013698628</v>
      </c>
    </row>
    <row r="230" spans="1:46" x14ac:dyDescent="0.55000000000000004">
      <c r="A230">
        <v>18.64</v>
      </c>
      <c r="B230">
        <v>27.84</v>
      </c>
      <c r="C230">
        <v>5513.8</v>
      </c>
      <c r="D230">
        <v>7.59</v>
      </c>
      <c r="E230" t="s">
        <v>1387</v>
      </c>
      <c r="F230" t="s">
        <v>1631</v>
      </c>
      <c r="G230" t="s">
        <v>1696</v>
      </c>
      <c r="H230" t="s">
        <v>1987</v>
      </c>
      <c r="I230">
        <v>0</v>
      </c>
      <c r="J230">
        <v>597.29999999999995</v>
      </c>
      <c r="K230">
        <f t="shared" si="12"/>
        <v>56.949999999999996</v>
      </c>
      <c r="L230">
        <f t="shared" si="13"/>
        <v>64.78</v>
      </c>
      <c r="M230">
        <f t="shared" si="14"/>
        <v>-7.8300000000000054</v>
      </c>
      <c r="N230">
        <v>7.19</v>
      </c>
      <c r="O230">
        <v>89</v>
      </c>
      <c r="P230">
        <v>46</v>
      </c>
      <c r="Q230">
        <v>18.3</v>
      </c>
      <c r="R230">
        <v>9.2100000000000009</v>
      </c>
      <c r="S230">
        <v>11.73</v>
      </c>
      <c r="T230">
        <v>6.91</v>
      </c>
      <c r="U230">
        <v>9.23</v>
      </c>
      <c r="V230">
        <v>3528.83</v>
      </c>
      <c r="W230">
        <v>1065.8399999999999</v>
      </c>
      <c r="X230">
        <v>1400.34</v>
      </c>
      <c r="Y230">
        <v>791.34</v>
      </c>
      <c r="Z230">
        <v>5.71</v>
      </c>
      <c r="AA230">
        <v>1.6</v>
      </c>
      <c r="AB230">
        <v>4.3899999999999997</v>
      </c>
      <c r="AC230">
        <v>57.13</v>
      </c>
      <c r="AD230">
        <v>680</v>
      </c>
      <c r="AE230">
        <v>5900</v>
      </c>
      <c r="AF230">
        <v>83.12</v>
      </c>
      <c r="AG230">
        <v>0.59</v>
      </c>
      <c r="AH230">
        <v>10.1</v>
      </c>
      <c r="AI230">
        <v>47.29</v>
      </c>
      <c r="AJ230">
        <v>60</v>
      </c>
      <c r="AK230">
        <v>9</v>
      </c>
      <c r="AL230">
        <v>9</v>
      </c>
      <c r="AM230">
        <v>0.66</v>
      </c>
      <c r="AN230">
        <v>408</v>
      </c>
      <c r="AO230">
        <v>413.98</v>
      </c>
      <c r="AP230">
        <v>356015.28</v>
      </c>
      <c r="AQ230">
        <v>174845.16</v>
      </c>
      <c r="AR230" t="s">
        <v>1137</v>
      </c>
      <c r="AT230" s="6">
        <f t="shared" si="15"/>
        <v>10.340760273972604</v>
      </c>
    </row>
    <row r="231" spans="1:46" x14ac:dyDescent="0.55000000000000004">
      <c r="A231">
        <v>21.7</v>
      </c>
      <c r="B231">
        <v>30.94</v>
      </c>
      <c r="C231">
        <v>5524.45</v>
      </c>
      <c r="D231">
        <v>7.6</v>
      </c>
      <c r="E231" t="s">
        <v>1388</v>
      </c>
      <c r="F231" t="s">
        <v>1632</v>
      </c>
      <c r="G231" t="s">
        <v>1744</v>
      </c>
      <c r="H231" t="s">
        <v>1988</v>
      </c>
      <c r="I231">
        <v>0</v>
      </c>
      <c r="J231">
        <v>723.01</v>
      </c>
      <c r="K231">
        <f t="shared" si="12"/>
        <v>65.36</v>
      </c>
      <c r="L231">
        <f t="shared" si="13"/>
        <v>64.990000000000009</v>
      </c>
      <c r="M231">
        <f t="shared" si="14"/>
        <v>0.36999999999999034</v>
      </c>
      <c r="N231">
        <v>7.27</v>
      </c>
      <c r="O231">
        <v>88.93</v>
      </c>
      <c r="P231">
        <v>52</v>
      </c>
      <c r="Q231">
        <v>24.1</v>
      </c>
      <c r="R231">
        <v>9.25</v>
      </c>
      <c r="S231">
        <v>17.52</v>
      </c>
      <c r="T231">
        <v>4.17</v>
      </c>
      <c r="U231">
        <v>7.64</v>
      </c>
      <c r="V231">
        <v>3535.65</v>
      </c>
      <c r="W231">
        <v>1059.24</v>
      </c>
      <c r="X231">
        <v>1313.8</v>
      </c>
      <c r="Y231">
        <v>769.88</v>
      </c>
      <c r="Z231">
        <v>10.56</v>
      </c>
      <c r="AA231">
        <v>1.64</v>
      </c>
      <c r="AB231">
        <v>4.32</v>
      </c>
      <c r="AC231">
        <v>68.91</v>
      </c>
      <c r="AD231">
        <v>680</v>
      </c>
      <c r="AE231">
        <v>5900</v>
      </c>
      <c r="AF231">
        <v>83.48</v>
      </c>
      <c r="AG231">
        <v>0.59</v>
      </c>
      <c r="AH231">
        <v>12.57</v>
      </c>
      <c r="AI231">
        <v>76.14</v>
      </c>
      <c r="AJ231">
        <v>60</v>
      </c>
      <c r="AK231">
        <v>9</v>
      </c>
      <c r="AL231">
        <v>9</v>
      </c>
      <c r="AM231">
        <v>0.41</v>
      </c>
      <c r="AN231">
        <v>408</v>
      </c>
      <c r="AO231">
        <v>411.71</v>
      </c>
      <c r="AP231">
        <v>405837.76</v>
      </c>
      <c r="AQ231">
        <v>359205.48</v>
      </c>
      <c r="AR231" t="s">
        <v>1138</v>
      </c>
      <c r="AT231" s="6">
        <f t="shared" si="15"/>
        <v>2.6616598173516</v>
      </c>
    </row>
    <row r="232" spans="1:46" x14ac:dyDescent="0.55000000000000004">
      <c r="A232">
        <v>19.63</v>
      </c>
      <c r="B232">
        <v>28.72</v>
      </c>
      <c r="C232">
        <v>5528.81</v>
      </c>
      <c r="D232">
        <v>7.6</v>
      </c>
      <c r="E232" t="s">
        <v>1389</v>
      </c>
      <c r="F232" t="s">
        <v>511</v>
      </c>
      <c r="G232" t="s">
        <v>1712</v>
      </c>
      <c r="H232" t="s">
        <v>1989</v>
      </c>
      <c r="I232">
        <v>0</v>
      </c>
      <c r="J232">
        <v>653.29999999999995</v>
      </c>
      <c r="K232">
        <f t="shared" si="12"/>
        <v>60.37</v>
      </c>
      <c r="L232">
        <f t="shared" si="13"/>
        <v>67.150000000000006</v>
      </c>
      <c r="M232">
        <f t="shared" si="14"/>
        <v>-6.7800000000000082</v>
      </c>
      <c r="N232">
        <v>7.22</v>
      </c>
      <c r="O232">
        <v>88.99</v>
      </c>
      <c r="P232">
        <v>40</v>
      </c>
      <c r="Q232">
        <v>21.5</v>
      </c>
      <c r="R232">
        <v>9.09</v>
      </c>
      <c r="S232">
        <v>13.54</v>
      </c>
      <c r="T232">
        <v>6.09</v>
      </c>
      <c r="U232">
        <v>8.4600000000000009</v>
      </c>
      <c r="V232">
        <v>3538.44</v>
      </c>
      <c r="W232">
        <v>1063.95</v>
      </c>
      <c r="X232">
        <v>1356.31</v>
      </c>
      <c r="Y232">
        <v>780.94</v>
      </c>
      <c r="Z232">
        <v>5.84</v>
      </c>
      <c r="AA232">
        <v>1.61</v>
      </c>
      <c r="AB232">
        <v>4.37</v>
      </c>
      <c r="AC232">
        <v>59.9</v>
      </c>
      <c r="AD232">
        <v>680</v>
      </c>
      <c r="AE232">
        <v>5900</v>
      </c>
      <c r="AF232">
        <v>82.09</v>
      </c>
      <c r="AG232">
        <v>0.59</v>
      </c>
      <c r="AH232">
        <v>11</v>
      </c>
      <c r="AI232">
        <v>45.62</v>
      </c>
      <c r="AJ232">
        <v>60</v>
      </c>
      <c r="AK232">
        <v>9</v>
      </c>
      <c r="AL232">
        <v>9</v>
      </c>
      <c r="AM232">
        <v>0.69</v>
      </c>
      <c r="AN232">
        <v>408</v>
      </c>
      <c r="AO232">
        <v>414.2</v>
      </c>
      <c r="AP232">
        <v>374030.29</v>
      </c>
      <c r="AQ232">
        <v>189055.5</v>
      </c>
      <c r="AR232" t="s">
        <v>1139</v>
      </c>
      <c r="AT232" s="6">
        <f t="shared" si="15"/>
        <v>10.557921803652967</v>
      </c>
    </row>
    <row r="233" spans="1:46" x14ac:dyDescent="0.55000000000000004">
      <c r="A233">
        <v>18.78</v>
      </c>
      <c r="B233">
        <v>27.68</v>
      </c>
      <c r="C233">
        <v>5526.09</v>
      </c>
      <c r="D233">
        <v>7.6</v>
      </c>
      <c r="E233" t="s">
        <v>1390</v>
      </c>
      <c r="F233" t="s">
        <v>1633</v>
      </c>
      <c r="G233" t="s">
        <v>618</v>
      </c>
      <c r="H233" t="s">
        <v>1990</v>
      </c>
      <c r="I233">
        <v>0</v>
      </c>
      <c r="J233">
        <v>686.7</v>
      </c>
      <c r="K233">
        <f t="shared" si="12"/>
        <v>59.81</v>
      </c>
      <c r="L233">
        <f t="shared" si="13"/>
        <v>66.650000000000006</v>
      </c>
      <c r="M233">
        <f t="shared" si="14"/>
        <v>-6.8400000000000034</v>
      </c>
      <c r="N233">
        <v>7.21</v>
      </c>
      <c r="O233">
        <v>88.96</v>
      </c>
      <c r="P233">
        <v>42</v>
      </c>
      <c r="Q233">
        <v>20.100000000000001</v>
      </c>
      <c r="R233">
        <v>8.9</v>
      </c>
      <c r="S233">
        <v>12.68</v>
      </c>
      <c r="T233">
        <v>6.09</v>
      </c>
      <c r="U233">
        <v>8.0500000000000007</v>
      </c>
      <c r="V233">
        <v>3536.7</v>
      </c>
      <c r="W233">
        <v>1057.83</v>
      </c>
      <c r="X233">
        <v>1308.21</v>
      </c>
      <c r="Y233">
        <v>766.78</v>
      </c>
      <c r="Z233">
        <v>6.28</v>
      </c>
      <c r="AA233">
        <v>1.57</v>
      </c>
      <c r="AB233">
        <v>4.45</v>
      </c>
      <c r="AC233">
        <v>59.37</v>
      </c>
      <c r="AD233">
        <v>680</v>
      </c>
      <c r="AE233">
        <v>5900</v>
      </c>
      <c r="AF233">
        <v>80.34</v>
      </c>
      <c r="AG233">
        <v>0.59</v>
      </c>
      <c r="AH233">
        <v>11.4</v>
      </c>
      <c r="AI233">
        <v>49.49</v>
      </c>
      <c r="AJ233">
        <v>60</v>
      </c>
      <c r="AK233">
        <v>9</v>
      </c>
      <c r="AL233">
        <v>9</v>
      </c>
      <c r="AM233">
        <v>0.63</v>
      </c>
      <c r="AN233">
        <v>408</v>
      </c>
      <c r="AO233">
        <v>413.71</v>
      </c>
      <c r="AP233">
        <v>363984.88</v>
      </c>
      <c r="AQ233">
        <v>244091.45</v>
      </c>
      <c r="AR233" t="s">
        <v>1140</v>
      </c>
      <c r="AT233" s="6">
        <f t="shared" si="15"/>
        <v>6.8432323059360725</v>
      </c>
    </row>
    <row r="234" spans="1:46" x14ac:dyDescent="0.55000000000000004">
      <c r="A234">
        <v>20.82</v>
      </c>
      <c r="B234">
        <v>29.99</v>
      </c>
      <c r="C234">
        <v>5509.02</v>
      </c>
      <c r="D234">
        <v>7.59</v>
      </c>
      <c r="E234" t="s">
        <v>1391</v>
      </c>
      <c r="F234" t="s">
        <v>1634</v>
      </c>
      <c r="G234" t="s">
        <v>1702</v>
      </c>
      <c r="H234" t="s">
        <v>1991</v>
      </c>
      <c r="I234">
        <v>0</v>
      </c>
      <c r="J234">
        <v>756.52</v>
      </c>
      <c r="K234">
        <f t="shared" si="12"/>
        <v>68.7</v>
      </c>
      <c r="L234">
        <f t="shared" si="13"/>
        <v>72</v>
      </c>
      <c r="M234">
        <f t="shared" si="14"/>
        <v>-3.2999999999999972</v>
      </c>
      <c r="N234">
        <v>7.29</v>
      </c>
      <c r="O234">
        <v>89.03</v>
      </c>
      <c r="P234">
        <v>35</v>
      </c>
      <c r="Q234">
        <v>25.5</v>
      </c>
      <c r="R234">
        <v>9.18</v>
      </c>
      <c r="S234">
        <v>15.91</v>
      </c>
      <c r="T234">
        <v>4.91</v>
      </c>
      <c r="U234">
        <v>7.28</v>
      </c>
      <c r="V234">
        <v>3525.77</v>
      </c>
      <c r="W234">
        <v>1054.1300000000001</v>
      </c>
      <c r="X234">
        <v>1288.9000000000001</v>
      </c>
      <c r="Y234">
        <v>762.1</v>
      </c>
      <c r="Z234">
        <v>7.63</v>
      </c>
      <c r="AA234">
        <v>1.6</v>
      </c>
      <c r="AB234">
        <v>4.3899999999999997</v>
      </c>
      <c r="AC234">
        <v>65.16</v>
      </c>
      <c r="AD234">
        <v>680</v>
      </c>
      <c r="AE234">
        <v>5900</v>
      </c>
      <c r="AF234">
        <v>82.85</v>
      </c>
      <c r="AG234">
        <v>0.59</v>
      </c>
      <c r="AH234">
        <v>13.19</v>
      </c>
      <c r="AI234">
        <v>52.36</v>
      </c>
      <c r="AJ234">
        <v>60</v>
      </c>
      <c r="AK234">
        <v>9</v>
      </c>
      <c r="AL234">
        <v>9</v>
      </c>
      <c r="AM234">
        <v>0.6</v>
      </c>
      <c r="AN234">
        <v>408</v>
      </c>
      <c r="AO234">
        <v>413.4</v>
      </c>
      <c r="AP234">
        <v>403592.08</v>
      </c>
      <c r="AQ234">
        <v>311376.94</v>
      </c>
      <c r="AR234" t="s">
        <v>1141</v>
      </c>
      <c r="AT234" s="6">
        <f t="shared" si="15"/>
        <v>5.2634212328767127</v>
      </c>
    </row>
    <row r="235" spans="1:46" x14ac:dyDescent="0.55000000000000004">
      <c r="A235">
        <v>18.489999999999998</v>
      </c>
      <c r="B235">
        <v>27.76</v>
      </c>
      <c r="C235">
        <v>5491.64</v>
      </c>
      <c r="D235">
        <v>7.6</v>
      </c>
      <c r="E235" t="s">
        <v>1392</v>
      </c>
      <c r="F235" t="s">
        <v>1635</v>
      </c>
      <c r="G235" t="s">
        <v>1764</v>
      </c>
      <c r="H235" t="s">
        <v>778</v>
      </c>
      <c r="I235">
        <v>0</v>
      </c>
      <c r="J235">
        <v>594.39</v>
      </c>
      <c r="K235">
        <f t="shared" si="12"/>
        <v>57.36</v>
      </c>
      <c r="L235">
        <f t="shared" si="13"/>
        <v>65.429999999999993</v>
      </c>
      <c r="M235">
        <f t="shared" si="14"/>
        <v>-8.0699999999999932</v>
      </c>
      <c r="N235">
        <v>7.19</v>
      </c>
      <c r="O235">
        <v>89</v>
      </c>
      <c r="P235">
        <v>48</v>
      </c>
      <c r="Q235">
        <v>17.7</v>
      </c>
      <c r="R235">
        <v>9.26</v>
      </c>
      <c r="S235">
        <v>11.47</v>
      </c>
      <c r="T235">
        <v>7.02</v>
      </c>
      <c r="U235">
        <v>9.24</v>
      </c>
      <c r="V235">
        <v>3514.65</v>
      </c>
      <c r="W235">
        <v>1062.28</v>
      </c>
      <c r="X235">
        <v>1400.7</v>
      </c>
      <c r="Y235">
        <v>789.93</v>
      </c>
      <c r="Z235">
        <v>5.7</v>
      </c>
      <c r="AA235">
        <v>1.61</v>
      </c>
      <c r="AB235">
        <v>4.3899999999999997</v>
      </c>
      <c r="AC235">
        <v>56.88</v>
      </c>
      <c r="AD235">
        <v>680</v>
      </c>
      <c r="AE235">
        <v>5900</v>
      </c>
      <c r="AF235">
        <v>83.6</v>
      </c>
      <c r="AG235">
        <v>0.59</v>
      </c>
      <c r="AH235">
        <v>10.15</v>
      </c>
      <c r="AI235">
        <v>46.82</v>
      </c>
      <c r="AJ235">
        <v>60</v>
      </c>
      <c r="AK235">
        <v>9</v>
      </c>
      <c r="AL235">
        <v>9</v>
      </c>
      <c r="AM235">
        <v>0.67</v>
      </c>
      <c r="AN235">
        <v>408</v>
      </c>
      <c r="AO235">
        <v>414.04</v>
      </c>
      <c r="AP235">
        <v>356421.79</v>
      </c>
      <c r="AQ235">
        <v>174765.62</v>
      </c>
      <c r="AR235" t="s">
        <v>1142</v>
      </c>
      <c r="AT235" s="6">
        <f t="shared" si="15"/>
        <v>10.368502853881278</v>
      </c>
    </row>
    <row r="236" spans="1:46" x14ac:dyDescent="0.55000000000000004">
      <c r="A236">
        <v>20.66</v>
      </c>
      <c r="B236">
        <v>29.88</v>
      </c>
      <c r="C236">
        <v>5504.32</v>
      </c>
      <c r="D236">
        <v>7.6</v>
      </c>
      <c r="E236" t="s">
        <v>1393</v>
      </c>
      <c r="F236" t="s">
        <v>1636</v>
      </c>
      <c r="G236" t="s">
        <v>1690</v>
      </c>
      <c r="H236" t="s">
        <v>1992</v>
      </c>
      <c r="I236">
        <v>0</v>
      </c>
      <c r="J236">
        <v>773.08</v>
      </c>
      <c r="K236">
        <f t="shared" si="12"/>
        <v>69.650000000000006</v>
      </c>
      <c r="L236">
        <f t="shared" si="13"/>
        <v>73.900000000000006</v>
      </c>
      <c r="M236">
        <f t="shared" si="14"/>
        <v>-4.25</v>
      </c>
      <c r="N236">
        <v>7.3</v>
      </c>
      <c r="O236">
        <v>88.98</v>
      </c>
      <c r="P236">
        <v>32</v>
      </c>
      <c r="Q236">
        <v>25.4</v>
      </c>
      <c r="R236">
        <v>9.2200000000000006</v>
      </c>
      <c r="S236">
        <v>15.28</v>
      </c>
      <c r="T236">
        <v>5.38</v>
      </c>
      <c r="U236">
        <v>7.12</v>
      </c>
      <c r="V236">
        <v>3522.76</v>
      </c>
      <c r="W236">
        <v>1052.26</v>
      </c>
      <c r="X236">
        <v>1278.2</v>
      </c>
      <c r="Y236">
        <v>758.92</v>
      </c>
      <c r="Z236">
        <v>7.07</v>
      </c>
      <c r="AA236">
        <v>1.61</v>
      </c>
      <c r="AB236">
        <v>4.3899999999999997</v>
      </c>
      <c r="AC236">
        <v>63.14</v>
      </c>
      <c r="AD236">
        <v>680</v>
      </c>
      <c r="AE236">
        <v>5900</v>
      </c>
      <c r="AF236">
        <v>83.24</v>
      </c>
      <c r="AG236">
        <v>0.59</v>
      </c>
      <c r="AH236">
        <v>13.6</v>
      </c>
      <c r="AI236">
        <v>47.83</v>
      </c>
      <c r="AJ236">
        <v>60</v>
      </c>
      <c r="AK236">
        <v>9</v>
      </c>
      <c r="AL236">
        <v>9</v>
      </c>
      <c r="AM236">
        <v>0.66</v>
      </c>
      <c r="AN236">
        <v>408</v>
      </c>
      <c r="AO236">
        <v>413.91</v>
      </c>
      <c r="AP236">
        <v>401964.9</v>
      </c>
      <c r="AQ236">
        <v>295656.05</v>
      </c>
      <c r="AR236" t="s">
        <v>1143</v>
      </c>
      <c r="AT236" s="6">
        <f t="shared" si="15"/>
        <v>6.0678567351598192</v>
      </c>
    </row>
    <row r="237" spans="1:46" x14ac:dyDescent="0.55000000000000004">
      <c r="A237">
        <v>22.03</v>
      </c>
      <c r="B237">
        <v>31.22</v>
      </c>
      <c r="C237">
        <v>5528.2</v>
      </c>
      <c r="D237">
        <v>7.6</v>
      </c>
      <c r="E237" t="s">
        <v>1394</v>
      </c>
      <c r="F237" t="s">
        <v>1637</v>
      </c>
      <c r="G237" t="s">
        <v>1737</v>
      </c>
      <c r="H237" t="s">
        <v>1993</v>
      </c>
      <c r="I237">
        <v>0</v>
      </c>
      <c r="J237">
        <v>667.86</v>
      </c>
      <c r="K237">
        <f t="shared" si="12"/>
        <v>61.739999999999995</v>
      </c>
      <c r="L237">
        <f t="shared" si="13"/>
        <v>62.66</v>
      </c>
      <c r="M237">
        <f t="shared" si="14"/>
        <v>-0.92000000000000171</v>
      </c>
      <c r="N237">
        <v>7.23</v>
      </c>
      <c r="O237">
        <v>89.11</v>
      </c>
      <c r="P237">
        <v>72</v>
      </c>
      <c r="Q237">
        <v>22.8</v>
      </c>
      <c r="R237">
        <v>9.18</v>
      </c>
      <c r="S237">
        <v>19.16</v>
      </c>
      <c r="T237">
        <v>2.88</v>
      </c>
      <c r="U237">
        <v>8.2799999999999994</v>
      </c>
      <c r="V237">
        <v>3538.05</v>
      </c>
      <c r="W237">
        <v>1063.3800000000001</v>
      </c>
      <c r="X237">
        <v>1349.87</v>
      </c>
      <c r="Y237">
        <v>779.48</v>
      </c>
      <c r="Z237">
        <v>7.88</v>
      </c>
      <c r="AA237">
        <v>1.66</v>
      </c>
      <c r="AB237">
        <v>4.28</v>
      </c>
      <c r="AC237">
        <v>76.150000000000006</v>
      </c>
      <c r="AD237">
        <v>680</v>
      </c>
      <c r="AE237">
        <v>5900</v>
      </c>
      <c r="AF237">
        <v>82.9</v>
      </c>
      <c r="AG237">
        <v>0.59</v>
      </c>
      <c r="AH237">
        <v>11.39</v>
      </c>
      <c r="AI237">
        <v>60.17</v>
      </c>
      <c r="AJ237">
        <v>60</v>
      </c>
      <c r="AK237">
        <v>9</v>
      </c>
      <c r="AL237">
        <v>9</v>
      </c>
      <c r="AM237">
        <v>0.52</v>
      </c>
      <c r="AN237">
        <v>408</v>
      </c>
      <c r="AO237">
        <v>412.7</v>
      </c>
      <c r="AP237">
        <v>409000.8</v>
      </c>
      <c r="AQ237">
        <v>250235.16</v>
      </c>
      <c r="AR237" t="s">
        <v>1144</v>
      </c>
      <c r="AT237" s="6">
        <f t="shared" si="15"/>
        <v>9.0619657534246567</v>
      </c>
    </row>
    <row r="238" spans="1:46" x14ac:dyDescent="0.55000000000000004">
      <c r="A238">
        <v>18.46</v>
      </c>
      <c r="B238">
        <v>27.69</v>
      </c>
      <c r="C238">
        <v>5502.61</v>
      </c>
      <c r="D238">
        <v>7.6</v>
      </c>
      <c r="E238" t="s">
        <v>1395</v>
      </c>
      <c r="F238" t="s">
        <v>1638</v>
      </c>
      <c r="G238" t="s">
        <v>1749</v>
      </c>
      <c r="H238" t="s">
        <v>1994</v>
      </c>
      <c r="I238">
        <v>0</v>
      </c>
      <c r="J238">
        <v>594.66999999999996</v>
      </c>
      <c r="K238">
        <f t="shared" si="12"/>
        <v>57.22</v>
      </c>
      <c r="L238">
        <f t="shared" si="13"/>
        <v>64.41</v>
      </c>
      <c r="M238">
        <f t="shared" si="14"/>
        <v>-7.1899999999999977</v>
      </c>
      <c r="N238">
        <v>7.19</v>
      </c>
      <c r="O238">
        <v>88.99</v>
      </c>
      <c r="P238">
        <v>47</v>
      </c>
      <c r="Q238">
        <v>17.8</v>
      </c>
      <c r="R238">
        <v>9.23</v>
      </c>
      <c r="S238">
        <v>11.43</v>
      </c>
      <c r="T238">
        <v>7.03</v>
      </c>
      <c r="U238">
        <v>9.25</v>
      </c>
      <c r="V238">
        <v>3521.67</v>
      </c>
      <c r="W238">
        <v>1064.68</v>
      </c>
      <c r="X238">
        <v>1405.47</v>
      </c>
      <c r="Y238">
        <v>792.15</v>
      </c>
      <c r="Z238">
        <v>6.22</v>
      </c>
      <c r="AA238">
        <v>1.6</v>
      </c>
      <c r="AB238">
        <v>4.3899999999999997</v>
      </c>
      <c r="AC238">
        <v>56.76</v>
      </c>
      <c r="AD238">
        <v>680</v>
      </c>
      <c r="AE238">
        <v>5900</v>
      </c>
      <c r="AF238">
        <v>83.32</v>
      </c>
      <c r="AG238">
        <v>0.59</v>
      </c>
      <c r="AH238">
        <v>10.09</v>
      </c>
      <c r="AI238">
        <v>51.21</v>
      </c>
      <c r="AJ238">
        <v>60</v>
      </c>
      <c r="AK238">
        <v>9</v>
      </c>
      <c r="AL238">
        <v>9</v>
      </c>
      <c r="AM238">
        <v>0.61</v>
      </c>
      <c r="AN238">
        <v>408</v>
      </c>
      <c r="AO238">
        <v>413.52</v>
      </c>
      <c r="AP238">
        <v>354727.87</v>
      </c>
      <c r="AQ238">
        <v>203027.82</v>
      </c>
      <c r="AR238" t="s">
        <v>1145</v>
      </c>
      <c r="AT238" s="6">
        <f t="shared" si="15"/>
        <v>8.6586786529680353</v>
      </c>
    </row>
    <row r="239" spans="1:46" x14ac:dyDescent="0.55000000000000004">
      <c r="A239">
        <v>20.190000000000001</v>
      </c>
      <c r="B239">
        <v>29.34</v>
      </c>
      <c r="C239">
        <v>5530.49</v>
      </c>
      <c r="D239">
        <v>7.6</v>
      </c>
      <c r="E239" t="s">
        <v>1396</v>
      </c>
      <c r="F239" t="s">
        <v>1639</v>
      </c>
      <c r="G239" t="s">
        <v>1720</v>
      </c>
      <c r="H239" t="s">
        <v>1995</v>
      </c>
      <c r="I239">
        <v>0</v>
      </c>
      <c r="J239">
        <v>692.43</v>
      </c>
      <c r="K239">
        <f t="shared" si="12"/>
        <v>63.179999999999993</v>
      </c>
      <c r="L239">
        <f t="shared" si="13"/>
        <v>64.88</v>
      </c>
      <c r="M239">
        <f t="shared" si="14"/>
        <v>-1.7000000000000028</v>
      </c>
      <c r="N239">
        <v>7.25</v>
      </c>
      <c r="O239">
        <v>89</v>
      </c>
      <c r="P239">
        <v>37</v>
      </c>
      <c r="Q239">
        <v>23.6</v>
      </c>
      <c r="R239">
        <v>9.15</v>
      </c>
      <c r="S239">
        <v>14.75</v>
      </c>
      <c r="T239">
        <v>5.44</v>
      </c>
      <c r="U239">
        <v>7.99</v>
      </c>
      <c r="V239">
        <v>3539.51</v>
      </c>
      <c r="W239">
        <v>1061.8399999999999</v>
      </c>
      <c r="X239">
        <v>1331.2</v>
      </c>
      <c r="Y239">
        <v>774.66</v>
      </c>
      <c r="Z239">
        <v>9.74</v>
      </c>
      <c r="AA239">
        <v>1.62</v>
      </c>
      <c r="AB239">
        <v>4.37</v>
      </c>
      <c r="AC239">
        <v>62.71</v>
      </c>
      <c r="AD239">
        <v>680</v>
      </c>
      <c r="AE239">
        <v>5900</v>
      </c>
      <c r="AF239">
        <v>82.55</v>
      </c>
      <c r="AG239">
        <v>0.59</v>
      </c>
      <c r="AH239">
        <v>11.82</v>
      </c>
      <c r="AI239">
        <v>72.64</v>
      </c>
      <c r="AJ239">
        <v>60</v>
      </c>
      <c r="AK239">
        <v>9</v>
      </c>
      <c r="AL239">
        <v>9</v>
      </c>
      <c r="AM239">
        <v>0.43</v>
      </c>
      <c r="AN239">
        <v>408</v>
      </c>
      <c r="AO239">
        <v>411.89</v>
      </c>
      <c r="AP239">
        <v>388622.78</v>
      </c>
      <c r="AQ239">
        <v>345108.83</v>
      </c>
      <c r="AR239" t="s">
        <v>1146</v>
      </c>
      <c r="AT239" s="6">
        <f t="shared" si="15"/>
        <v>2.48367294520548</v>
      </c>
    </row>
    <row r="240" spans="1:46" x14ac:dyDescent="0.55000000000000004">
      <c r="A240">
        <v>21.11</v>
      </c>
      <c r="B240">
        <v>30.3</v>
      </c>
      <c r="C240">
        <v>5516.8</v>
      </c>
      <c r="D240">
        <v>7.61</v>
      </c>
      <c r="E240" t="s">
        <v>1397</v>
      </c>
      <c r="F240" t="s">
        <v>1640</v>
      </c>
      <c r="G240" t="s">
        <v>1687</v>
      </c>
      <c r="H240" t="s">
        <v>1996</v>
      </c>
      <c r="I240">
        <v>0</v>
      </c>
      <c r="J240">
        <v>760.78</v>
      </c>
      <c r="K240">
        <f t="shared" si="12"/>
        <v>68.75</v>
      </c>
      <c r="L240">
        <f t="shared" si="13"/>
        <v>71.83</v>
      </c>
      <c r="M240">
        <f t="shared" si="14"/>
        <v>-3.0799999999999983</v>
      </c>
      <c r="N240">
        <v>7.29</v>
      </c>
      <c r="O240">
        <v>88.98</v>
      </c>
      <c r="P240">
        <v>42</v>
      </c>
      <c r="Q240">
        <v>25</v>
      </c>
      <c r="R240">
        <v>9.19</v>
      </c>
      <c r="S240">
        <v>16.72</v>
      </c>
      <c r="T240">
        <v>4.3899999999999997</v>
      </c>
      <c r="U240">
        <v>7.25</v>
      </c>
      <c r="V240">
        <v>3530.75</v>
      </c>
      <c r="W240">
        <v>1055.5</v>
      </c>
      <c r="X240">
        <v>1289.23</v>
      </c>
      <c r="Y240">
        <v>762.85</v>
      </c>
      <c r="Z240">
        <v>7.66</v>
      </c>
      <c r="AA240">
        <v>1.62</v>
      </c>
      <c r="AB240">
        <v>4.3600000000000003</v>
      </c>
      <c r="AC240">
        <v>67.66</v>
      </c>
      <c r="AD240">
        <v>680</v>
      </c>
      <c r="AE240">
        <v>5900</v>
      </c>
      <c r="AF240">
        <v>82.97</v>
      </c>
      <c r="AG240">
        <v>0.59</v>
      </c>
      <c r="AH240">
        <v>13.27</v>
      </c>
      <c r="AI240">
        <v>52.48</v>
      </c>
      <c r="AJ240">
        <v>60</v>
      </c>
      <c r="AK240">
        <v>9</v>
      </c>
      <c r="AL240">
        <v>9</v>
      </c>
      <c r="AM240">
        <v>0.6</v>
      </c>
      <c r="AN240">
        <v>408</v>
      </c>
      <c r="AO240">
        <v>413.39</v>
      </c>
      <c r="AP240">
        <v>403881.23</v>
      </c>
      <c r="AQ240">
        <v>310354.31</v>
      </c>
      <c r="AR240" t="s">
        <v>1147</v>
      </c>
      <c r="AT240" s="6">
        <f t="shared" si="15"/>
        <v>5.3382945205479446</v>
      </c>
    </row>
    <row r="241" spans="1:46" x14ac:dyDescent="0.55000000000000004">
      <c r="A241">
        <v>22.36</v>
      </c>
      <c r="B241">
        <v>31.54</v>
      </c>
      <c r="C241">
        <v>5542.99</v>
      </c>
      <c r="D241">
        <v>7.59</v>
      </c>
      <c r="E241" t="s">
        <v>1398</v>
      </c>
      <c r="F241" t="s">
        <v>1641</v>
      </c>
      <c r="G241" t="s">
        <v>1765</v>
      </c>
      <c r="H241" t="s">
        <v>1997</v>
      </c>
      <c r="I241">
        <v>0</v>
      </c>
      <c r="J241">
        <v>649.02</v>
      </c>
      <c r="K241">
        <f t="shared" si="12"/>
        <v>61.1</v>
      </c>
      <c r="L241">
        <f t="shared" si="13"/>
        <v>62.61</v>
      </c>
      <c r="M241">
        <f t="shared" si="14"/>
        <v>-1.509999999999998</v>
      </c>
      <c r="N241">
        <v>7.22</v>
      </c>
      <c r="O241">
        <v>88.99</v>
      </c>
      <c r="P241">
        <v>72</v>
      </c>
      <c r="Q241">
        <v>22.2</v>
      </c>
      <c r="R241">
        <v>9.18</v>
      </c>
      <c r="S241">
        <v>18.59</v>
      </c>
      <c r="T241">
        <v>3.77</v>
      </c>
      <c r="U241">
        <v>8.5399999999999991</v>
      </c>
      <c r="V241">
        <v>3547.51</v>
      </c>
      <c r="W241">
        <v>1067.52</v>
      </c>
      <c r="X241">
        <v>1366.82</v>
      </c>
      <c r="Y241">
        <v>784.99</v>
      </c>
      <c r="Z241">
        <v>6.83</v>
      </c>
      <c r="AA241">
        <v>1.66</v>
      </c>
      <c r="AB241">
        <v>4.2699999999999996</v>
      </c>
      <c r="AC241">
        <v>70.89</v>
      </c>
      <c r="AD241">
        <v>680</v>
      </c>
      <c r="AE241">
        <v>5900</v>
      </c>
      <c r="AF241">
        <v>82.83</v>
      </c>
      <c r="AG241">
        <v>0.59</v>
      </c>
      <c r="AH241">
        <v>10.98</v>
      </c>
      <c r="AI241">
        <v>52.69</v>
      </c>
      <c r="AJ241">
        <v>60</v>
      </c>
      <c r="AK241">
        <v>9</v>
      </c>
      <c r="AL241">
        <v>9</v>
      </c>
      <c r="AM241">
        <v>0.6</v>
      </c>
      <c r="AN241">
        <v>408</v>
      </c>
      <c r="AO241">
        <v>413.37</v>
      </c>
      <c r="AP241">
        <v>416932.61</v>
      </c>
      <c r="AQ241">
        <v>194588.41</v>
      </c>
      <c r="AR241" t="s">
        <v>1148</v>
      </c>
      <c r="AT241" s="6">
        <f t="shared" si="15"/>
        <v>12.690878995433788</v>
      </c>
    </row>
    <row r="242" spans="1:46" x14ac:dyDescent="0.55000000000000004">
      <c r="A242">
        <v>21.01</v>
      </c>
      <c r="B242">
        <v>30.27</v>
      </c>
      <c r="C242">
        <v>5487.39</v>
      </c>
      <c r="D242">
        <v>7.6</v>
      </c>
      <c r="E242" t="s">
        <v>1399</v>
      </c>
      <c r="F242" t="s">
        <v>1642</v>
      </c>
      <c r="G242" t="s">
        <v>1733</v>
      </c>
      <c r="H242" t="s">
        <v>1998</v>
      </c>
      <c r="I242">
        <v>0</v>
      </c>
      <c r="J242">
        <v>768.44</v>
      </c>
      <c r="K242">
        <f t="shared" si="12"/>
        <v>69.41</v>
      </c>
      <c r="L242">
        <f t="shared" si="13"/>
        <v>70.260000000000005</v>
      </c>
      <c r="M242">
        <f t="shared" si="14"/>
        <v>-0.85000000000000853</v>
      </c>
      <c r="N242">
        <v>7.3</v>
      </c>
      <c r="O242">
        <v>89.04</v>
      </c>
      <c r="P242">
        <v>54</v>
      </c>
      <c r="Q242">
        <v>22</v>
      </c>
      <c r="R242">
        <v>9.27</v>
      </c>
      <c r="S242">
        <v>15.98</v>
      </c>
      <c r="T242">
        <v>5.03</v>
      </c>
      <c r="U242">
        <v>7.14</v>
      </c>
      <c r="V242">
        <v>3511.93</v>
      </c>
      <c r="W242">
        <v>1049.76</v>
      </c>
      <c r="X242">
        <v>1280.3399999999999</v>
      </c>
      <c r="Y242">
        <v>758.38</v>
      </c>
      <c r="Z242">
        <v>6.92</v>
      </c>
      <c r="AA242">
        <v>1.61</v>
      </c>
      <c r="AB242">
        <v>4.38</v>
      </c>
      <c r="AC242">
        <v>64.83</v>
      </c>
      <c r="AD242">
        <v>680</v>
      </c>
      <c r="AE242">
        <v>5900</v>
      </c>
      <c r="AF242">
        <v>83.64</v>
      </c>
      <c r="AG242">
        <v>0.59</v>
      </c>
      <c r="AH242">
        <v>13.62</v>
      </c>
      <c r="AI242">
        <v>46.95</v>
      </c>
      <c r="AJ242">
        <v>60</v>
      </c>
      <c r="AK242">
        <v>9</v>
      </c>
      <c r="AL242">
        <v>9</v>
      </c>
      <c r="AM242">
        <v>0.67</v>
      </c>
      <c r="AN242">
        <v>408</v>
      </c>
      <c r="AO242">
        <v>414.02</v>
      </c>
      <c r="AP242">
        <v>436463.35</v>
      </c>
      <c r="AQ242">
        <v>238215.35</v>
      </c>
      <c r="AR242" t="s">
        <v>1149</v>
      </c>
      <c r="AT242" s="6">
        <f t="shared" si="15"/>
        <v>11.31552511415525</v>
      </c>
    </row>
    <row r="243" spans="1:46" x14ac:dyDescent="0.55000000000000004">
      <c r="A243">
        <v>21.3</v>
      </c>
      <c r="B243">
        <v>30.57</v>
      </c>
      <c r="C243">
        <v>5509.72</v>
      </c>
      <c r="D243">
        <v>7.6</v>
      </c>
      <c r="E243" t="s">
        <v>1400</v>
      </c>
      <c r="F243" t="s">
        <v>1643</v>
      </c>
      <c r="G243" t="s">
        <v>1737</v>
      </c>
      <c r="H243" t="s">
        <v>1999</v>
      </c>
      <c r="I243">
        <v>0</v>
      </c>
      <c r="J243">
        <v>781.43</v>
      </c>
      <c r="K243">
        <f t="shared" si="12"/>
        <v>71.34</v>
      </c>
      <c r="L243">
        <f t="shared" si="13"/>
        <v>70.990000000000009</v>
      </c>
      <c r="M243">
        <f t="shared" si="14"/>
        <v>0.34999999999999432</v>
      </c>
      <c r="N243">
        <v>7.31</v>
      </c>
      <c r="O243">
        <v>88.98</v>
      </c>
      <c r="P243">
        <v>53</v>
      </c>
      <c r="Q243">
        <v>22.3</v>
      </c>
      <c r="R243">
        <v>9.26</v>
      </c>
      <c r="S243">
        <v>16.100000000000001</v>
      </c>
      <c r="T243">
        <v>5.2</v>
      </c>
      <c r="U243">
        <v>7.05</v>
      </c>
      <c r="V243">
        <v>3526.22</v>
      </c>
      <c r="W243">
        <v>1053.07</v>
      </c>
      <c r="X243">
        <v>1276.5999999999999</v>
      </c>
      <c r="Y243">
        <v>759.02</v>
      </c>
      <c r="Z243">
        <v>8.0399999999999991</v>
      </c>
      <c r="AA243">
        <v>1.61</v>
      </c>
      <c r="AB243">
        <v>4.37</v>
      </c>
      <c r="AC243">
        <v>64.06</v>
      </c>
      <c r="AD243">
        <v>680</v>
      </c>
      <c r="AE243">
        <v>5900</v>
      </c>
      <c r="AF243">
        <v>83.63</v>
      </c>
      <c r="AG243">
        <v>0.59</v>
      </c>
      <c r="AH243">
        <v>13.82</v>
      </c>
      <c r="AI243">
        <v>53.1</v>
      </c>
      <c r="AJ243">
        <v>60</v>
      </c>
      <c r="AK243">
        <v>9</v>
      </c>
      <c r="AL243">
        <v>9</v>
      </c>
      <c r="AM243">
        <v>0.59</v>
      </c>
      <c r="AN243">
        <v>408</v>
      </c>
      <c r="AO243">
        <v>413.32</v>
      </c>
      <c r="AP243">
        <v>442991.64</v>
      </c>
      <c r="AQ243">
        <v>303612.49</v>
      </c>
      <c r="AR243" t="s">
        <v>1150</v>
      </c>
      <c r="AT243" s="6">
        <f t="shared" si="15"/>
        <v>7.9554309360730606</v>
      </c>
    </row>
    <row r="244" spans="1:46" x14ac:dyDescent="0.55000000000000004">
      <c r="A244">
        <v>22.35</v>
      </c>
      <c r="B244">
        <v>31.62</v>
      </c>
      <c r="C244">
        <v>5536.54</v>
      </c>
      <c r="D244">
        <v>7.6</v>
      </c>
      <c r="E244" t="s">
        <v>1401</v>
      </c>
      <c r="F244" t="s">
        <v>1644</v>
      </c>
      <c r="G244" t="s">
        <v>1723</v>
      </c>
      <c r="H244" t="s">
        <v>2000</v>
      </c>
      <c r="I244">
        <v>0</v>
      </c>
      <c r="J244">
        <v>750.48</v>
      </c>
      <c r="K244">
        <f t="shared" si="12"/>
        <v>67.330000000000013</v>
      </c>
      <c r="L244">
        <f t="shared" si="13"/>
        <v>69.13</v>
      </c>
      <c r="M244">
        <f t="shared" si="14"/>
        <v>-1.7999999999999829</v>
      </c>
      <c r="N244">
        <v>7.29</v>
      </c>
      <c r="O244">
        <v>88.86</v>
      </c>
      <c r="P244">
        <v>71</v>
      </c>
      <c r="Q244">
        <v>22.1</v>
      </c>
      <c r="R244">
        <v>9.27</v>
      </c>
      <c r="S244">
        <v>18.37</v>
      </c>
      <c r="T244">
        <v>3.98</v>
      </c>
      <c r="U244">
        <v>7.38</v>
      </c>
      <c r="V244">
        <v>3543.39</v>
      </c>
      <c r="W244">
        <v>1059.97</v>
      </c>
      <c r="X244">
        <v>1300.48</v>
      </c>
      <c r="Y244">
        <v>767.35</v>
      </c>
      <c r="Z244">
        <v>6.82</v>
      </c>
      <c r="AA244">
        <v>1.65</v>
      </c>
      <c r="AB244">
        <v>4.3099999999999996</v>
      </c>
      <c r="AC244">
        <v>69.97</v>
      </c>
      <c r="AD244">
        <v>680</v>
      </c>
      <c r="AE244">
        <v>5900</v>
      </c>
      <c r="AF244">
        <v>83.72</v>
      </c>
      <c r="AG244">
        <v>0.59</v>
      </c>
      <c r="AH244">
        <v>13.13</v>
      </c>
      <c r="AI244">
        <v>47.72</v>
      </c>
      <c r="AJ244">
        <v>60</v>
      </c>
      <c r="AK244">
        <v>9</v>
      </c>
      <c r="AL244">
        <v>9</v>
      </c>
      <c r="AM244">
        <v>0.66</v>
      </c>
      <c r="AN244">
        <v>408</v>
      </c>
      <c r="AO244">
        <v>413.93</v>
      </c>
      <c r="AP244">
        <v>421960.55</v>
      </c>
      <c r="AQ244">
        <v>233947.03</v>
      </c>
      <c r="AR244" t="s">
        <v>1151</v>
      </c>
      <c r="AT244" s="6">
        <f t="shared" si="15"/>
        <v>10.731365296803652</v>
      </c>
    </row>
    <row r="245" spans="1:46" x14ac:dyDescent="0.55000000000000004">
      <c r="A245">
        <v>21.19</v>
      </c>
      <c r="B245">
        <v>30.28</v>
      </c>
      <c r="C245">
        <v>5550.76</v>
      </c>
      <c r="D245">
        <v>7.6</v>
      </c>
      <c r="E245" t="s">
        <v>1402</v>
      </c>
      <c r="F245" t="s">
        <v>1645</v>
      </c>
      <c r="G245" t="s">
        <v>1766</v>
      </c>
      <c r="H245" t="s">
        <v>2001</v>
      </c>
      <c r="I245">
        <v>0</v>
      </c>
      <c r="J245">
        <v>659.74</v>
      </c>
      <c r="K245">
        <f t="shared" si="12"/>
        <v>61.41</v>
      </c>
      <c r="L245">
        <f t="shared" si="13"/>
        <v>61.35</v>
      </c>
      <c r="M245">
        <f t="shared" si="14"/>
        <v>5.9999999999995168E-2</v>
      </c>
      <c r="N245">
        <v>7.22</v>
      </c>
      <c r="O245">
        <v>89.22</v>
      </c>
      <c r="P245">
        <v>77</v>
      </c>
      <c r="Q245">
        <v>19.8</v>
      </c>
      <c r="R245">
        <v>9.09</v>
      </c>
      <c r="S245">
        <v>16.97</v>
      </c>
      <c r="T245">
        <v>4.22</v>
      </c>
      <c r="U245">
        <v>8.41</v>
      </c>
      <c r="V245">
        <v>3552.49</v>
      </c>
      <c r="W245">
        <v>1067.75</v>
      </c>
      <c r="X245">
        <v>1357.26</v>
      </c>
      <c r="Y245">
        <v>782.9</v>
      </c>
      <c r="Z245">
        <v>6.51</v>
      </c>
      <c r="AA245">
        <v>1.64</v>
      </c>
      <c r="AB245">
        <v>4.3099999999999996</v>
      </c>
      <c r="AC245">
        <v>68.28</v>
      </c>
      <c r="AD245">
        <v>680</v>
      </c>
      <c r="AE245">
        <v>5900</v>
      </c>
      <c r="AF245">
        <v>82.05</v>
      </c>
      <c r="AG245">
        <v>0.59</v>
      </c>
      <c r="AH245">
        <v>11.07</v>
      </c>
      <c r="AI245">
        <v>49.93</v>
      </c>
      <c r="AJ245">
        <v>60</v>
      </c>
      <c r="AK245">
        <v>9</v>
      </c>
      <c r="AL245">
        <v>9</v>
      </c>
      <c r="AM245">
        <v>0.63</v>
      </c>
      <c r="AN245">
        <v>408</v>
      </c>
      <c r="AO245">
        <v>413.66</v>
      </c>
      <c r="AP245">
        <v>438111.34</v>
      </c>
      <c r="AQ245">
        <v>158418.88</v>
      </c>
      <c r="AR245" t="s">
        <v>1152</v>
      </c>
      <c r="AT245" s="6">
        <f t="shared" si="15"/>
        <v>15.964181506849316</v>
      </c>
    </row>
    <row r="246" spans="1:46" x14ac:dyDescent="0.55000000000000004">
      <c r="A246">
        <v>21.6</v>
      </c>
      <c r="B246">
        <v>30.92</v>
      </c>
      <c r="C246">
        <v>5517.01</v>
      </c>
      <c r="D246">
        <v>7.6</v>
      </c>
      <c r="E246" t="s">
        <v>1403</v>
      </c>
      <c r="F246" t="s">
        <v>1646</v>
      </c>
      <c r="G246" t="s">
        <v>1697</v>
      </c>
      <c r="H246" t="s">
        <v>2002</v>
      </c>
      <c r="I246">
        <v>0</v>
      </c>
      <c r="J246">
        <v>776.28</v>
      </c>
      <c r="K246">
        <f t="shared" si="12"/>
        <v>70.36</v>
      </c>
      <c r="L246">
        <f t="shared" si="13"/>
        <v>69.510000000000005</v>
      </c>
      <c r="M246">
        <f t="shared" si="14"/>
        <v>0.84999999999999432</v>
      </c>
      <c r="N246">
        <v>7.31</v>
      </c>
      <c r="O246">
        <v>88.95</v>
      </c>
      <c r="P246">
        <v>61</v>
      </c>
      <c r="Q246">
        <v>22.1</v>
      </c>
      <c r="R246">
        <v>9.32</v>
      </c>
      <c r="S246">
        <v>17.03</v>
      </c>
      <c r="T246">
        <v>4.57</v>
      </c>
      <c r="U246">
        <v>7.11</v>
      </c>
      <c r="V246">
        <v>3530.89</v>
      </c>
      <c r="W246">
        <v>1054.83</v>
      </c>
      <c r="X246">
        <v>1281.71</v>
      </c>
      <c r="Y246">
        <v>760.95</v>
      </c>
      <c r="Z246">
        <v>8.6</v>
      </c>
      <c r="AA246">
        <v>1.63</v>
      </c>
      <c r="AB246">
        <v>4.3499999999999996</v>
      </c>
      <c r="AC246">
        <v>67.11</v>
      </c>
      <c r="AD246">
        <v>680</v>
      </c>
      <c r="AE246">
        <v>5900</v>
      </c>
      <c r="AF246">
        <v>84.12</v>
      </c>
      <c r="AG246">
        <v>0.59</v>
      </c>
      <c r="AH246">
        <v>13.77</v>
      </c>
      <c r="AI246">
        <v>57.63</v>
      </c>
      <c r="AJ246">
        <v>60</v>
      </c>
      <c r="AK246">
        <v>9</v>
      </c>
      <c r="AL246">
        <v>9</v>
      </c>
      <c r="AM246">
        <v>0.55000000000000004</v>
      </c>
      <c r="AN246">
        <v>408</v>
      </c>
      <c r="AO246">
        <v>412.91</v>
      </c>
      <c r="AP246">
        <v>437584.03</v>
      </c>
      <c r="AQ246">
        <v>319093.19</v>
      </c>
      <c r="AR246" t="s">
        <v>1153</v>
      </c>
      <c r="AT246" s="6">
        <f t="shared" si="15"/>
        <v>6.7631757990867598</v>
      </c>
    </row>
    <row r="247" spans="1:46" x14ac:dyDescent="0.55000000000000004">
      <c r="A247">
        <v>22.01</v>
      </c>
      <c r="B247">
        <v>31.3</v>
      </c>
      <c r="C247">
        <v>5537.41</v>
      </c>
      <c r="D247">
        <v>7.6</v>
      </c>
      <c r="E247" t="s">
        <v>1404</v>
      </c>
      <c r="F247" t="s">
        <v>1647</v>
      </c>
      <c r="G247" t="s">
        <v>1731</v>
      </c>
      <c r="H247" t="s">
        <v>2003</v>
      </c>
      <c r="I247">
        <v>0</v>
      </c>
      <c r="J247">
        <v>749.92</v>
      </c>
      <c r="K247">
        <f t="shared" si="12"/>
        <v>68.100000000000009</v>
      </c>
      <c r="L247">
        <f t="shared" si="13"/>
        <v>67.400000000000006</v>
      </c>
      <c r="M247">
        <f t="shared" si="14"/>
        <v>0.70000000000000284</v>
      </c>
      <c r="N247">
        <v>7.29</v>
      </c>
      <c r="O247">
        <v>89</v>
      </c>
      <c r="P247">
        <v>68</v>
      </c>
      <c r="Q247">
        <v>22.2</v>
      </c>
      <c r="R247">
        <v>9.2899999999999991</v>
      </c>
      <c r="S247">
        <v>18.059999999999999</v>
      </c>
      <c r="T247">
        <v>3.95</v>
      </c>
      <c r="U247">
        <v>7.38</v>
      </c>
      <c r="V247">
        <v>3543.94</v>
      </c>
      <c r="W247">
        <v>1059.95</v>
      </c>
      <c r="X247">
        <v>1299.47</v>
      </c>
      <c r="Y247">
        <v>767.07</v>
      </c>
      <c r="Z247">
        <v>8.59</v>
      </c>
      <c r="AA247">
        <v>1.64</v>
      </c>
      <c r="AB247">
        <v>4.32</v>
      </c>
      <c r="AC247">
        <v>70.180000000000007</v>
      </c>
      <c r="AD247">
        <v>680</v>
      </c>
      <c r="AE247">
        <v>5900</v>
      </c>
      <c r="AF247">
        <v>83.85</v>
      </c>
      <c r="AG247">
        <v>0.59</v>
      </c>
      <c r="AH247">
        <v>13.13</v>
      </c>
      <c r="AI247">
        <v>59.43</v>
      </c>
      <c r="AJ247">
        <v>60</v>
      </c>
      <c r="AK247">
        <v>9</v>
      </c>
      <c r="AL247">
        <v>9</v>
      </c>
      <c r="AM247">
        <v>0.53</v>
      </c>
      <c r="AN247">
        <v>408</v>
      </c>
      <c r="AO247">
        <v>412.76</v>
      </c>
      <c r="AP247">
        <v>432667.29</v>
      </c>
      <c r="AQ247">
        <v>305618.49</v>
      </c>
      <c r="AR247" t="s">
        <v>1154</v>
      </c>
      <c r="AT247" s="6">
        <f t="shared" si="15"/>
        <v>7.2516438356164379</v>
      </c>
    </row>
    <row r="248" spans="1:46" x14ac:dyDescent="0.55000000000000004">
      <c r="A248">
        <v>21.59</v>
      </c>
      <c r="B248">
        <v>30.79</v>
      </c>
      <c r="C248">
        <v>5466.96</v>
      </c>
      <c r="D248">
        <v>7.6</v>
      </c>
      <c r="E248" t="s">
        <v>1405</v>
      </c>
      <c r="F248" t="s">
        <v>1648</v>
      </c>
      <c r="G248" t="s">
        <v>1708</v>
      </c>
      <c r="H248" t="s">
        <v>2004</v>
      </c>
      <c r="I248">
        <v>0</v>
      </c>
      <c r="J248">
        <v>703.13</v>
      </c>
      <c r="K248">
        <f t="shared" si="12"/>
        <v>64.289999999999992</v>
      </c>
      <c r="L248">
        <f t="shared" si="13"/>
        <v>64.73</v>
      </c>
      <c r="M248">
        <f t="shared" si="14"/>
        <v>-0.44000000000001194</v>
      </c>
      <c r="N248">
        <v>7.25</v>
      </c>
      <c r="O248">
        <v>89</v>
      </c>
      <c r="P248">
        <v>74</v>
      </c>
      <c r="Q248">
        <v>20.2</v>
      </c>
      <c r="R248">
        <v>9.1999999999999993</v>
      </c>
      <c r="S248">
        <v>16.97</v>
      </c>
      <c r="T248">
        <v>4.62</v>
      </c>
      <c r="U248">
        <v>7.78</v>
      </c>
      <c r="V248">
        <v>3498.85</v>
      </c>
      <c r="W248">
        <v>1048.8900000000001</v>
      </c>
      <c r="X248">
        <v>1308.51</v>
      </c>
      <c r="Y248">
        <v>763.81</v>
      </c>
      <c r="Z248">
        <v>6.46</v>
      </c>
      <c r="AA248">
        <v>1.63</v>
      </c>
      <c r="AB248">
        <v>4.34</v>
      </c>
      <c r="AC248">
        <v>66.58</v>
      </c>
      <c r="AD248">
        <v>680</v>
      </c>
      <c r="AE248">
        <v>5900</v>
      </c>
      <c r="AF248">
        <v>83.08</v>
      </c>
      <c r="AG248">
        <v>0.59</v>
      </c>
      <c r="AH248">
        <v>12.26</v>
      </c>
      <c r="AI248">
        <v>47.33</v>
      </c>
      <c r="AJ248">
        <v>60</v>
      </c>
      <c r="AK248">
        <v>9</v>
      </c>
      <c r="AL248">
        <v>9</v>
      </c>
      <c r="AM248">
        <v>0.66</v>
      </c>
      <c r="AN248">
        <v>408</v>
      </c>
      <c r="AO248">
        <v>413.97</v>
      </c>
      <c r="AP248">
        <v>439455.19</v>
      </c>
      <c r="AQ248">
        <v>175815.83</v>
      </c>
      <c r="AR248" t="s">
        <v>1155</v>
      </c>
      <c r="AT248" s="6">
        <f t="shared" si="15"/>
        <v>15.047908675799086</v>
      </c>
    </row>
    <row r="249" spans="1:46" x14ac:dyDescent="0.55000000000000004">
      <c r="A249">
        <v>22.12</v>
      </c>
      <c r="B249">
        <v>31.19</v>
      </c>
      <c r="C249">
        <v>5514.31</v>
      </c>
      <c r="D249">
        <v>7.6</v>
      </c>
      <c r="E249" t="s">
        <v>1406</v>
      </c>
      <c r="F249" t="s">
        <v>1649</v>
      </c>
      <c r="G249" t="s">
        <v>1767</v>
      </c>
      <c r="H249" t="s">
        <v>2005</v>
      </c>
      <c r="I249">
        <v>0</v>
      </c>
      <c r="J249">
        <v>716.21</v>
      </c>
      <c r="K249">
        <f t="shared" si="12"/>
        <v>65.929999999999993</v>
      </c>
      <c r="L249">
        <f t="shared" si="13"/>
        <v>66.09</v>
      </c>
      <c r="M249">
        <f t="shared" si="14"/>
        <v>-0.1600000000000108</v>
      </c>
      <c r="N249">
        <v>7.27</v>
      </c>
      <c r="O249">
        <v>88.65</v>
      </c>
      <c r="P249">
        <v>85</v>
      </c>
      <c r="Q249">
        <v>20.399999999999999</v>
      </c>
      <c r="R249">
        <v>9.06</v>
      </c>
      <c r="S249">
        <v>18.54</v>
      </c>
      <c r="T249">
        <v>3.59</v>
      </c>
      <c r="U249">
        <v>7.7</v>
      </c>
      <c r="V249">
        <v>3529.16</v>
      </c>
      <c r="W249">
        <v>1057.54</v>
      </c>
      <c r="X249">
        <v>1314.35</v>
      </c>
      <c r="Y249">
        <v>769.16</v>
      </c>
      <c r="Z249">
        <v>6.48</v>
      </c>
      <c r="AA249">
        <v>1.64</v>
      </c>
      <c r="AB249">
        <v>4.3099999999999996</v>
      </c>
      <c r="AC249">
        <v>71.650000000000006</v>
      </c>
      <c r="AD249">
        <v>680</v>
      </c>
      <c r="AE249">
        <v>5900</v>
      </c>
      <c r="AF249">
        <v>81.790000000000006</v>
      </c>
      <c r="AG249">
        <v>0.59</v>
      </c>
      <c r="AH249">
        <v>12.21</v>
      </c>
      <c r="AI249">
        <v>46.34</v>
      </c>
      <c r="AJ249">
        <v>60</v>
      </c>
      <c r="AK249">
        <v>9</v>
      </c>
      <c r="AL249">
        <v>9</v>
      </c>
      <c r="AM249">
        <v>0.68</v>
      </c>
      <c r="AN249">
        <v>408</v>
      </c>
      <c r="AO249">
        <v>414.1</v>
      </c>
      <c r="AP249">
        <v>446904.67</v>
      </c>
      <c r="AQ249">
        <v>179494.52</v>
      </c>
      <c r="AR249" t="s">
        <v>1156</v>
      </c>
      <c r="AT249" s="6">
        <f t="shared" si="15"/>
        <v>15.263136415525116</v>
      </c>
    </row>
    <row r="250" spans="1:46" x14ac:dyDescent="0.55000000000000004">
      <c r="A250">
        <v>22.08</v>
      </c>
      <c r="B250">
        <v>31.23</v>
      </c>
      <c r="C250">
        <v>5484.04</v>
      </c>
      <c r="D250">
        <v>7.6</v>
      </c>
      <c r="E250" t="s">
        <v>1407</v>
      </c>
      <c r="F250" t="s">
        <v>1650</v>
      </c>
      <c r="G250" t="s">
        <v>1768</v>
      </c>
      <c r="H250" t="s">
        <v>2006</v>
      </c>
      <c r="I250">
        <v>0</v>
      </c>
      <c r="J250">
        <v>708.21</v>
      </c>
      <c r="K250">
        <f t="shared" si="12"/>
        <v>64.400000000000006</v>
      </c>
      <c r="L250">
        <f t="shared" si="13"/>
        <v>64.41</v>
      </c>
      <c r="M250">
        <f t="shared" si="14"/>
        <v>-9.9999999999909051E-3</v>
      </c>
      <c r="N250">
        <v>7.26</v>
      </c>
      <c r="O250">
        <v>89.04</v>
      </c>
      <c r="P250">
        <v>80</v>
      </c>
      <c r="Q250">
        <v>20.3</v>
      </c>
      <c r="R250">
        <v>9.15</v>
      </c>
      <c r="S250">
        <v>17.82</v>
      </c>
      <c r="T250">
        <v>4.26</v>
      </c>
      <c r="U250">
        <v>7.74</v>
      </c>
      <c r="V250">
        <v>3509.78</v>
      </c>
      <c r="W250">
        <v>1052.6099999999999</v>
      </c>
      <c r="X250">
        <v>1314.87</v>
      </c>
      <c r="Y250">
        <v>767.12</v>
      </c>
      <c r="Z250">
        <v>6.5</v>
      </c>
      <c r="AA250">
        <v>1.64</v>
      </c>
      <c r="AB250">
        <v>4.32</v>
      </c>
      <c r="AC250">
        <v>68.22</v>
      </c>
      <c r="AD250">
        <v>680</v>
      </c>
      <c r="AE250">
        <v>5900</v>
      </c>
      <c r="AF250">
        <v>82.57</v>
      </c>
      <c r="AG250">
        <v>0.59</v>
      </c>
      <c r="AH250">
        <v>12.24</v>
      </c>
      <c r="AI250">
        <v>47.56</v>
      </c>
      <c r="AJ250">
        <v>60</v>
      </c>
      <c r="AK250">
        <v>9</v>
      </c>
      <c r="AL250">
        <v>9</v>
      </c>
      <c r="AM250">
        <v>0.66</v>
      </c>
      <c r="AN250">
        <v>408</v>
      </c>
      <c r="AO250">
        <v>413.95</v>
      </c>
      <c r="AP250">
        <v>438891.45</v>
      </c>
      <c r="AQ250">
        <v>171134.43</v>
      </c>
      <c r="AR250" t="s">
        <v>1157</v>
      </c>
      <c r="AT250" s="6">
        <f t="shared" si="15"/>
        <v>15.282934931506851</v>
      </c>
    </row>
    <row r="251" spans="1:46" x14ac:dyDescent="0.55000000000000004">
      <c r="A251">
        <v>21.76</v>
      </c>
      <c r="B251">
        <v>30.64</v>
      </c>
      <c r="C251">
        <v>5531.05</v>
      </c>
      <c r="D251">
        <v>7.6</v>
      </c>
      <c r="E251" t="s">
        <v>1408</v>
      </c>
      <c r="F251" t="s">
        <v>1651</v>
      </c>
      <c r="G251" t="s">
        <v>1735</v>
      </c>
      <c r="H251" t="s">
        <v>2007</v>
      </c>
      <c r="I251">
        <v>0</v>
      </c>
      <c r="J251">
        <v>454.09</v>
      </c>
      <c r="K251">
        <f t="shared" si="12"/>
        <v>49.269999999999996</v>
      </c>
      <c r="L251">
        <f t="shared" si="13"/>
        <v>45.34</v>
      </c>
      <c r="M251">
        <f t="shared" si="14"/>
        <v>3.9299999999999926</v>
      </c>
      <c r="N251">
        <v>7.1</v>
      </c>
      <c r="O251">
        <v>89.21</v>
      </c>
      <c r="P251">
        <v>87</v>
      </c>
      <c r="Q251">
        <v>19.600000000000001</v>
      </c>
      <c r="R251">
        <v>8.8800000000000008</v>
      </c>
      <c r="S251">
        <v>18.010000000000002</v>
      </c>
      <c r="T251">
        <v>3.75</v>
      </c>
      <c r="U251">
        <v>12.18</v>
      </c>
      <c r="V251">
        <v>3539.87</v>
      </c>
      <c r="W251">
        <v>1086.05</v>
      </c>
      <c r="X251">
        <v>1575.24</v>
      </c>
      <c r="Y251">
        <v>838.28</v>
      </c>
      <c r="Z251">
        <v>8.15</v>
      </c>
      <c r="AA251">
        <v>1.73</v>
      </c>
      <c r="AB251">
        <v>4.1500000000000004</v>
      </c>
      <c r="AC251">
        <v>70.290000000000006</v>
      </c>
      <c r="AD251">
        <v>680</v>
      </c>
      <c r="AE251">
        <v>5900</v>
      </c>
      <c r="AF251">
        <v>80.150000000000006</v>
      </c>
      <c r="AG251">
        <v>0.59</v>
      </c>
      <c r="AH251">
        <v>7.17</v>
      </c>
      <c r="AI251">
        <v>77.95</v>
      </c>
      <c r="AJ251">
        <v>60</v>
      </c>
      <c r="AK251">
        <v>9</v>
      </c>
      <c r="AL251">
        <v>9</v>
      </c>
      <c r="AM251">
        <v>0.4</v>
      </c>
      <c r="AN251">
        <v>408</v>
      </c>
      <c r="AO251">
        <v>411.63</v>
      </c>
      <c r="AP251">
        <v>426364.03</v>
      </c>
      <c r="AQ251">
        <v>120724.4</v>
      </c>
      <c r="AR251" t="s">
        <v>1158</v>
      </c>
      <c r="AT251" s="6">
        <f t="shared" si="15"/>
        <v>17.445184360730593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51"/>
  <sheetViews>
    <sheetView topLeftCell="AN1" workbookViewId="0">
      <selection activeCell="AT2" sqref="AT2"/>
    </sheetView>
  </sheetViews>
  <sheetFormatPr defaultRowHeight="14.4" x14ac:dyDescent="0.55000000000000004"/>
  <cols>
    <col min="4" max="4" width="5.20703125" bestFit="1" customWidth="1"/>
    <col min="5" max="6" width="11.68359375" bestFit="1" customWidth="1"/>
    <col min="7" max="7" width="15.3671875" bestFit="1" customWidth="1"/>
    <col min="11" max="11" width="11.15625" bestFit="1" customWidth="1"/>
    <col min="12" max="12" width="11.26171875" bestFit="1" customWidth="1"/>
    <col min="13" max="13" width="14.578125" bestFit="1" customWidth="1"/>
    <col min="39" max="39" width="18" bestFit="1" customWidth="1"/>
    <col min="40" max="40" width="11.578125" bestFit="1" customWidth="1"/>
    <col min="41" max="41" width="10.26171875" bestFit="1" customWidth="1"/>
    <col min="42" max="42" width="18.47265625" bestFit="1" customWidth="1"/>
    <col min="43" max="43" width="16" bestFit="1" customWidth="1"/>
    <col min="44" max="44" width="54" bestFit="1" customWidth="1"/>
    <col min="47" max="47" width="12.41796875" bestFit="1" customWidth="1"/>
  </cols>
  <sheetData>
    <row r="1" spans="1:4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2757</v>
      </c>
      <c r="F1" s="1" t="s">
        <v>2756</v>
      </c>
      <c r="G1" s="1" t="s">
        <v>2755</v>
      </c>
      <c r="H1" s="1" t="s">
        <v>2754</v>
      </c>
      <c r="I1" s="1" t="s">
        <v>8</v>
      </c>
      <c r="J1" s="1" t="s">
        <v>9</v>
      </c>
      <c r="K1" s="1" t="s">
        <v>2752</v>
      </c>
      <c r="L1" s="1" t="s">
        <v>2751</v>
      </c>
      <c r="M1" s="1" t="s">
        <v>2753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2" t="s">
        <v>2741</v>
      </c>
      <c r="AT1" s="7">
        <f>SUM(AT2:AT251)</f>
        <v>64.275469178082204</v>
      </c>
      <c r="AU1" s="2" t="s">
        <v>2743</v>
      </c>
    </row>
    <row r="2" spans="1:47" x14ac:dyDescent="0.5500000000000000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IF(E2=0,0,
VALUE(MID(E2,2,FIND(",",E2)-2))+
VALUE(MID(F2,2,FIND(",",F2)-2))+
VALUE(MID(G2,2,FIND(",",G2)-2))
)</f>
        <v>0</v>
      </c>
      <c r="L2">
        <f>IF(E2=0,0,
VALUE(MID(E2,FIND(",",E2)+1,FIND("]",E2)-FIND(",",E2)-1))+
VALUE(MID(F2,FIND(",",F2)+1,FIND("]",F2)-FIND(",",F2)-1))+
VALUE(MID(G2,FIND(",",G2)+1,FIND("]",G2)-FIND(",",G2)-1))
)</f>
        <v>0</v>
      </c>
      <c r="M2">
        <f>(K2-L2)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T2" s="6">
        <f>(AP2-AQ2)/(365*24*2)</f>
        <v>0</v>
      </c>
      <c r="AU2" s="3">
        <f>SUM(AT2:AT251)</f>
        <v>64.275469178082204</v>
      </c>
    </row>
    <row r="3" spans="1:47" x14ac:dyDescent="0.5500000000000000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0">IF(E3=0,0,
VALUE(MID(E3,2,FIND(",",E3)-2))+
VALUE(MID(F3,2,FIND(",",F3)-2))+
VALUE(MID(G3,2,FIND(",",G3)-2))
)</f>
        <v>0</v>
      </c>
      <c r="L3">
        <f t="shared" ref="L3:L66" si="1">IF(E3=0,0,
VALUE(MID(E3,FIND(",",E3)+1,FIND("]",E3)-FIND(",",E3)-1))+
VALUE(MID(F3,FIND(",",F3)+1,FIND("]",F3)-FIND(",",F3)-1))+
VALUE(MID(G3,FIND(",",G3)+1,FIND("]",G3)-FIND(",",G3)-1))
)</f>
        <v>0</v>
      </c>
      <c r="M3">
        <f t="shared" ref="M3:M66" si="2">(K3-L3)</f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T3" s="6">
        <f t="shared" ref="AT3:AT66" si="3">(AP3-AQ3)/(365*24*2)</f>
        <v>0</v>
      </c>
    </row>
    <row r="4" spans="1:47" x14ac:dyDescent="0.5500000000000000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  <c r="L4">
        <f t="shared" si="1"/>
        <v>0</v>
      </c>
      <c r="M4">
        <f t="shared" si="2"/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T4" s="6">
        <f t="shared" si="3"/>
        <v>0</v>
      </c>
    </row>
    <row r="5" spans="1:47" x14ac:dyDescent="0.5500000000000000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  <c r="L5">
        <f t="shared" si="1"/>
        <v>0</v>
      </c>
      <c r="M5">
        <f t="shared" si="2"/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T5" s="6">
        <f t="shared" si="3"/>
        <v>0</v>
      </c>
    </row>
    <row r="6" spans="1:47" x14ac:dyDescent="0.5500000000000000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0"/>
        <v>0</v>
      </c>
      <c r="L6">
        <f t="shared" si="1"/>
        <v>0</v>
      </c>
      <c r="M6">
        <f t="shared" si="2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T6" s="6">
        <f t="shared" si="3"/>
        <v>0</v>
      </c>
    </row>
    <row r="7" spans="1:47" x14ac:dyDescent="0.5500000000000000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0"/>
        <v>0</v>
      </c>
      <c r="L7">
        <f t="shared" si="1"/>
        <v>0</v>
      </c>
      <c r="M7">
        <f t="shared" si="2"/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T7" s="6">
        <f t="shared" si="3"/>
        <v>0</v>
      </c>
    </row>
    <row r="8" spans="1:47" x14ac:dyDescent="0.5500000000000000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0"/>
        <v>0</v>
      </c>
      <c r="L8">
        <f t="shared" si="1"/>
        <v>0</v>
      </c>
      <c r="M8">
        <f t="shared" si="2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T8" s="6">
        <f t="shared" si="3"/>
        <v>0</v>
      </c>
    </row>
    <row r="9" spans="1:47" x14ac:dyDescent="0.5500000000000000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0"/>
        <v>0</v>
      </c>
      <c r="L9">
        <f t="shared" si="1"/>
        <v>0</v>
      </c>
      <c r="M9">
        <f t="shared" si="2"/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T9" s="6">
        <f t="shared" si="3"/>
        <v>0</v>
      </c>
    </row>
    <row r="10" spans="1:47" x14ac:dyDescent="0.5500000000000000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0"/>
        <v>0</v>
      </c>
      <c r="L10">
        <f t="shared" si="1"/>
        <v>0</v>
      </c>
      <c r="M10">
        <f t="shared" si="2"/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 s="6">
        <f t="shared" si="3"/>
        <v>0</v>
      </c>
    </row>
    <row r="11" spans="1:47" x14ac:dyDescent="0.5500000000000000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0"/>
        <v>0</v>
      </c>
      <c r="L11">
        <f t="shared" si="1"/>
        <v>0</v>
      </c>
      <c r="M11">
        <f t="shared" si="2"/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 s="6">
        <f t="shared" si="3"/>
        <v>0</v>
      </c>
    </row>
    <row r="12" spans="1:47" x14ac:dyDescent="0.5500000000000000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0"/>
        <v>0</v>
      </c>
      <c r="L12">
        <f t="shared" si="1"/>
        <v>0</v>
      </c>
      <c r="M12">
        <f t="shared" si="2"/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T12" s="6">
        <f t="shared" si="3"/>
        <v>0</v>
      </c>
    </row>
    <row r="13" spans="1:47" x14ac:dyDescent="0.5500000000000000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0"/>
        <v>0</v>
      </c>
      <c r="L13">
        <f t="shared" si="1"/>
        <v>0</v>
      </c>
      <c r="M13">
        <f t="shared" si="2"/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 s="6">
        <f t="shared" si="3"/>
        <v>0</v>
      </c>
    </row>
    <row r="14" spans="1:47" x14ac:dyDescent="0.5500000000000000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0"/>
        <v>0</v>
      </c>
      <c r="L14">
        <f t="shared" si="1"/>
        <v>0</v>
      </c>
      <c r="M14">
        <f t="shared" si="2"/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T14" s="6">
        <f t="shared" si="3"/>
        <v>0</v>
      </c>
    </row>
    <row r="15" spans="1:47" x14ac:dyDescent="0.5500000000000000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0"/>
        <v>0</v>
      </c>
      <c r="L15">
        <f t="shared" si="1"/>
        <v>0</v>
      </c>
      <c r="M15">
        <f t="shared" si="2"/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T15" s="6">
        <f t="shared" si="3"/>
        <v>0</v>
      </c>
    </row>
    <row r="16" spans="1:47" x14ac:dyDescent="0.5500000000000000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0"/>
        <v>0</v>
      </c>
      <c r="L16">
        <f t="shared" si="1"/>
        <v>0</v>
      </c>
      <c r="M16">
        <f t="shared" si="2"/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T16" s="6">
        <f t="shared" si="3"/>
        <v>0</v>
      </c>
    </row>
    <row r="17" spans="1:46" x14ac:dyDescent="0.5500000000000000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0"/>
        <v>0</v>
      </c>
      <c r="L17">
        <f t="shared" si="1"/>
        <v>0</v>
      </c>
      <c r="M17">
        <f t="shared" si="2"/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T17" s="6">
        <f t="shared" si="3"/>
        <v>0</v>
      </c>
    </row>
    <row r="18" spans="1:46" x14ac:dyDescent="0.5500000000000000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0"/>
        <v>0</v>
      </c>
      <c r="L18">
        <f t="shared" si="1"/>
        <v>0</v>
      </c>
      <c r="M18">
        <f t="shared" si="2"/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 s="6">
        <f t="shared" si="3"/>
        <v>0</v>
      </c>
    </row>
    <row r="19" spans="1:46" x14ac:dyDescent="0.5500000000000000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0"/>
        <v>0</v>
      </c>
      <c r="L19">
        <f t="shared" si="1"/>
        <v>0</v>
      </c>
      <c r="M19">
        <f t="shared" si="2"/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T19" s="6">
        <f t="shared" si="3"/>
        <v>0</v>
      </c>
    </row>
    <row r="20" spans="1:46" x14ac:dyDescent="0.5500000000000000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0"/>
        <v>0</v>
      </c>
      <c r="L20">
        <f t="shared" si="1"/>
        <v>0</v>
      </c>
      <c r="M20">
        <f t="shared" si="2"/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T20" s="6">
        <f t="shared" si="3"/>
        <v>0</v>
      </c>
    </row>
    <row r="21" spans="1:46" x14ac:dyDescent="0.5500000000000000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0"/>
        <v>0</v>
      </c>
      <c r="L21">
        <f t="shared" si="1"/>
        <v>0</v>
      </c>
      <c r="M21">
        <f t="shared" si="2"/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 s="6">
        <f t="shared" si="3"/>
        <v>0</v>
      </c>
    </row>
    <row r="22" spans="1:46" x14ac:dyDescent="0.5500000000000000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0"/>
        <v>0</v>
      </c>
      <c r="L22">
        <f t="shared" si="1"/>
        <v>0</v>
      </c>
      <c r="M22">
        <f t="shared" si="2"/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 s="6">
        <f t="shared" si="3"/>
        <v>0</v>
      </c>
    </row>
    <row r="23" spans="1:46" x14ac:dyDescent="0.5500000000000000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0"/>
        <v>0</v>
      </c>
      <c r="L23">
        <f t="shared" si="1"/>
        <v>0</v>
      </c>
      <c r="M23">
        <f t="shared" si="2"/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T23" s="6">
        <f t="shared" si="3"/>
        <v>0</v>
      </c>
    </row>
    <row r="24" spans="1:46" x14ac:dyDescent="0.5500000000000000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0"/>
        <v>0</v>
      </c>
      <c r="L24">
        <f t="shared" si="1"/>
        <v>0</v>
      </c>
      <c r="M24">
        <f t="shared" si="2"/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T24" s="6">
        <f t="shared" si="3"/>
        <v>0</v>
      </c>
    </row>
    <row r="25" spans="1:46" x14ac:dyDescent="0.5500000000000000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0"/>
        <v>0</v>
      </c>
      <c r="L25">
        <f t="shared" si="1"/>
        <v>0</v>
      </c>
      <c r="M25">
        <f t="shared" si="2"/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T25" s="6">
        <f t="shared" si="3"/>
        <v>0</v>
      </c>
    </row>
    <row r="26" spans="1:46" x14ac:dyDescent="0.5500000000000000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0"/>
        <v>0</v>
      </c>
      <c r="L26">
        <f t="shared" si="1"/>
        <v>0</v>
      </c>
      <c r="M26">
        <f t="shared" si="2"/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T26" s="6">
        <f t="shared" si="3"/>
        <v>0</v>
      </c>
    </row>
    <row r="27" spans="1:46" x14ac:dyDescent="0.5500000000000000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0"/>
        <v>0</v>
      </c>
      <c r="L27">
        <f t="shared" si="1"/>
        <v>0</v>
      </c>
      <c r="M27">
        <f t="shared" si="2"/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T27" s="6">
        <f t="shared" si="3"/>
        <v>0</v>
      </c>
    </row>
    <row r="28" spans="1:46" x14ac:dyDescent="0.5500000000000000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0"/>
        <v>0</v>
      </c>
      <c r="L28">
        <f t="shared" si="1"/>
        <v>0</v>
      </c>
      <c r="M28">
        <f t="shared" si="2"/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T28" s="6">
        <f t="shared" si="3"/>
        <v>0</v>
      </c>
    </row>
    <row r="29" spans="1:46" x14ac:dyDescent="0.5500000000000000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0"/>
        <v>0</v>
      </c>
      <c r="L29">
        <f t="shared" si="1"/>
        <v>0</v>
      </c>
      <c r="M29">
        <f t="shared" si="2"/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T29" s="6">
        <f t="shared" si="3"/>
        <v>0</v>
      </c>
    </row>
    <row r="30" spans="1:46" x14ac:dyDescent="0.5500000000000000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0"/>
        <v>0</v>
      </c>
      <c r="L30">
        <f t="shared" si="1"/>
        <v>0</v>
      </c>
      <c r="M30">
        <f t="shared" si="2"/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T30" s="6">
        <f t="shared" si="3"/>
        <v>0</v>
      </c>
    </row>
    <row r="31" spans="1:46" x14ac:dyDescent="0.5500000000000000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0"/>
        <v>0</v>
      </c>
      <c r="L31">
        <f t="shared" si="1"/>
        <v>0</v>
      </c>
      <c r="M31">
        <f t="shared" si="2"/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T31" s="6">
        <f t="shared" si="3"/>
        <v>0</v>
      </c>
    </row>
    <row r="32" spans="1:46" x14ac:dyDescent="0.5500000000000000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0"/>
        <v>0</v>
      </c>
      <c r="L32">
        <f t="shared" si="1"/>
        <v>0</v>
      </c>
      <c r="M32">
        <f t="shared" si="2"/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T32" s="6">
        <f t="shared" si="3"/>
        <v>0</v>
      </c>
    </row>
    <row r="33" spans="1:46" x14ac:dyDescent="0.5500000000000000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0"/>
        <v>0</v>
      </c>
      <c r="L33">
        <f t="shared" si="1"/>
        <v>0</v>
      </c>
      <c r="M33">
        <f t="shared" si="2"/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 s="6">
        <f t="shared" si="3"/>
        <v>0</v>
      </c>
    </row>
    <row r="34" spans="1:46" x14ac:dyDescent="0.5500000000000000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0"/>
        <v>0</v>
      </c>
      <c r="L34">
        <f t="shared" si="1"/>
        <v>0</v>
      </c>
      <c r="M34">
        <f t="shared" si="2"/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T34" s="6">
        <f t="shared" si="3"/>
        <v>0</v>
      </c>
    </row>
    <row r="35" spans="1:46" x14ac:dyDescent="0.5500000000000000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0"/>
        <v>0</v>
      </c>
      <c r="L35">
        <f t="shared" si="1"/>
        <v>0</v>
      </c>
      <c r="M35">
        <f t="shared" si="2"/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T35" s="6">
        <f t="shared" si="3"/>
        <v>0</v>
      </c>
    </row>
    <row r="36" spans="1:46" x14ac:dyDescent="0.5500000000000000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0"/>
        <v>0</v>
      </c>
      <c r="L36">
        <f t="shared" si="1"/>
        <v>0</v>
      </c>
      <c r="M36">
        <f t="shared" si="2"/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T36" s="6">
        <f t="shared" si="3"/>
        <v>0</v>
      </c>
    </row>
    <row r="37" spans="1:46" x14ac:dyDescent="0.55000000000000004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0"/>
        <v>0</v>
      </c>
      <c r="L37">
        <f t="shared" si="1"/>
        <v>0</v>
      </c>
      <c r="M37">
        <f t="shared" si="2"/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T37" s="6">
        <f t="shared" si="3"/>
        <v>0</v>
      </c>
    </row>
    <row r="38" spans="1:46" x14ac:dyDescent="0.5500000000000000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0"/>
        <v>0</v>
      </c>
      <c r="L38">
        <f t="shared" si="1"/>
        <v>0</v>
      </c>
      <c r="M38">
        <f t="shared" si="2"/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T38" s="6">
        <f t="shared" si="3"/>
        <v>0</v>
      </c>
    </row>
    <row r="39" spans="1:46" x14ac:dyDescent="0.5500000000000000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0"/>
        <v>0</v>
      </c>
      <c r="L39">
        <f t="shared" si="1"/>
        <v>0</v>
      </c>
      <c r="M39">
        <f t="shared" si="2"/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T39" s="6">
        <f t="shared" si="3"/>
        <v>0</v>
      </c>
    </row>
    <row r="40" spans="1:46" x14ac:dyDescent="0.5500000000000000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0"/>
        <v>0</v>
      </c>
      <c r="L40">
        <f t="shared" si="1"/>
        <v>0</v>
      </c>
      <c r="M40">
        <f t="shared" si="2"/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T40" s="6">
        <f t="shared" si="3"/>
        <v>0</v>
      </c>
    </row>
    <row r="41" spans="1:46" x14ac:dyDescent="0.5500000000000000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0"/>
        <v>0</v>
      </c>
      <c r="L41">
        <f t="shared" si="1"/>
        <v>0</v>
      </c>
      <c r="M41">
        <f t="shared" si="2"/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T41" s="6">
        <f t="shared" si="3"/>
        <v>0</v>
      </c>
    </row>
    <row r="42" spans="1:46" x14ac:dyDescent="0.5500000000000000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0"/>
        <v>0</v>
      </c>
      <c r="L42">
        <f t="shared" si="1"/>
        <v>0</v>
      </c>
      <c r="M42">
        <f t="shared" si="2"/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T42" s="6">
        <f t="shared" si="3"/>
        <v>0</v>
      </c>
    </row>
    <row r="43" spans="1:46" x14ac:dyDescent="0.5500000000000000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0"/>
        <v>0</v>
      </c>
      <c r="L43">
        <f t="shared" si="1"/>
        <v>0</v>
      </c>
      <c r="M43">
        <f t="shared" si="2"/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T43" s="6">
        <f t="shared" si="3"/>
        <v>0</v>
      </c>
    </row>
    <row r="44" spans="1:46" x14ac:dyDescent="0.5500000000000000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0"/>
        <v>0</v>
      </c>
      <c r="L44">
        <f t="shared" si="1"/>
        <v>0</v>
      </c>
      <c r="M44">
        <f t="shared" si="2"/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T44" s="6">
        <f t="shared" si="3"/>
        <v>0</v>
      </c>
    </row>
    <row r="45" spans="1:46" x14ac:dyDescent="0.5500000000000000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0"/>
        <v>0</v>
      </c>
      <c r="L45">
        <f t="shared" si="1"/>
        <v>0</v>
      </c>
      <c r="M45">
        <f t="shared" si="2"/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T45" s="6">
        <f t="shared" si="3"/>
        <v>0</v>
      </c>
    </row>
    <row r="46" spans="1:46" x14ac:dyDescent="0.5500000000000000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0"/>
        <v>0</v>
      </c>
      <c r="L46">
        <f t="shared" si="1"/>
        <v>0</v>
      </c>
      <c r="M46">
        <f t="shared" si="2"/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T46" s="6">
        <f t="shared" si="3"/>
        <v>0</v>
      </c>
    </row>
    <row r="47" spans="1:46" x14ac:dyDescent="0.5500000000000000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0"/>
        <v>0</v>
      </c>
      <c r="L47">
        <f t="shared" si="1"/>
        <v>0</v>
      </c>
      <c r="M47">
        <f t="shared" si="2"/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T47" s="6">
        <f t="shared" si="3"/>
        <v>0</v>
      </c>
    </row>
    <row r="48" spans="1:46" x14ac:dyDescent="0.5500000000000000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0"/>
        <v>0</v>
      </c>
      <c r="L48">
        <f t="shared" si="1"/>
        <v>0</v>
      </c>
      <c r="M48">
        <f t="shared" si="2"/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T48" s="6">
        <f t="shared" si="3"/>
        <v>0</v>
      </c>
    </row>
    <row r="49" spans="1:46" x14ac:dyDescent="0.5500000000000000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0"/>
        <v>0</v>
      </c>
      <c r="L49">
        <f t="shared" si="1"/>
        <v>0</v>
      </c>
      <c r="M49">
        <f t="shared" si="2"/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T49" s="6">
        <f t="shared" si="3"/>
        <v>0</v>
      </c>
    </row>
    <row r="50" spans="1:46" x14ac:dyDescent="0.5500000000000000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0"/>
        <v>0</v>
      </c>
      <c r="L50">
        <f t="shared" si="1"/>
        <v>0</v>
      </c>
      <c r="M50">
        <f t="shared" si="2"/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T50" s="6">
        <f t="shared" si="3"/>
        <v>0</v>
      </c>
    </row>
    <row r="51" spans="1:46" x14ac:dyDescent="0.5500000000000000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0"/>
        <v>0</v>
      </c>
      <c r="L51">
        <f t="shared" si="1"/>
        <v>0</v>
      </c>
      <c r="M51">
        <f t="shared" si="2"/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T51" s="6">
        <f t="shared" si="3"/>
        <v>0</v>
      </c>
    </row>
    <row r="52" spans="1:46" x14ac:dyDescent="0.5500000000000000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0"/>
        <v>0</v>
      </c>
      <c r="L52">
        <f t="shared" si="1"/>
        <v>0</v>
      </c>
      <c r="M52">
        <f t="shared" si="2"/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T52" s="6">
        <f t="shared" si="3"/>
        <v>0</v>
      </c>
    </row>
    <row r="53" spans="1:46" x14ac:dyDescent="0.5500000000000000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0"/>
        <v>0</v>
      </c>
      <c r="L53">
        <f t="shared" si="1"/>
        <v>0</v>
      </c>
      <c r="M53">
        <f t="shared" si="2"/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T53" s="6">
        <f t="shared" si="3"/>
        <v>0</v>
      </c>
    </row>
    <row r="54" spans="1:46" x14ac:dyDescent="0.5500000000000000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0"/>
        <v>0</v>
      </c>
      <c r="L54">
        <f t="shared" si="1"/>
        <v>0</v>
      </c>
      <c r="M54">
        <f t="shared" si="2"/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T54" s="6">
        <f t="shared" si="3"/>
        <v>0</v>
      </c>
    </row>
    <row r="55" spans="1:46" x14ac:dyDescent="0.55000000000000004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0"/>
        <v>0</v>
      </c>
      <c r="L55">
        <f t="shared" si="1"/>
        <v>0</v>
      </c>
      <c r="M55">
        <f t="shared" si="2"/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T55" s="6">
        <f t="shared" si="3"/>
        <v>0</v>
      </c>
    </row>
    <row r="56" spans="1:46" x14ac:dyDescent="0.5500000000000000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0"/>
        <v>0</v>
      </c>
      <c r="L56">
        <f t="shared" si="1"/>
        <v>0</v>
      </c>
      <c r="M56">
        <f t="shared" si="2"/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T56" s="6">
        <f t="shared" si="3"/>
        <v>0</v>
      </c>
    </row>
    <row r="57" spans="1:46" x14ac:dyDescent="0.55000000000000004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0"/>
        <v>0</v>
      </c>
      <c r="L57">
        <f t="shared" si="1"/>
        <v>0</v>
      </c>
      <c r="M57">
        <f t="shared" si="2"/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T57" s="6">
        <f t="shared" si="3"/>
        <v>0</v>
      </c>
    </row>
    <row r="58" spans="1:46" x14ac:dyDescent="0.5500000000000000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0"/>
        <v>0</v>
      </c>
      <c r="L58">
        <f t="shared" si="1"/>
        <v>0</v>
      </c>
      <c r="M58">
        <f t="shared" si="2"/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T58" s="6">
        <f t="shared" si="3"/>
        <v>0</v>
      </c>
    </row>
    <row r="59" spans="1:46" x14ac:dyDescent="0.5500000000000000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0"/>
        <v>0</v>
      </c>
      <c r="L59">
        <f t="shared" si="1"/>
        <v>0</v>
      </c>
      <c r="M59">
        <f t="shared" si="2"/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T59" s="6">
        <f t="shared" si="3"/>
        <v>0</v>
      </c>
    </row>
    <row r="60" spans="1:46" x14ac:dyDescent="0.5500000000000000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0"/>
        <v>0</v>
      </c>
      <c r="L60">
        <f t="shared" si="1"/>
        <v>0</v>
      </c>
      <c r="M60">
        <f t="shared" si="2"/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T60" s="6">
        <f t="shared" si="3"/>
        <v>0</v>
      </c>
    </row>
    <row r="61" spans="1:46" x14ac:dyDescent="0.5500000000000000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0"/>
        <v>0</v>
      </c>
      <c r="L61">
        <f t="shared" si="1"/>
        <v>0</v>
      </c>
      <c r="M61">
        <f t="shared" si="2"/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T61" s="6">
        <f t="shared" si="3"/>
        <v>0</v>
      </c>
    </row>
    <row r="62" spans="1:46" x14ac:dyDescent="0.55000000000000004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0"/>
        <v>0</v>
      </c>
      <c r="L62">
        <f t="shared" si="1"/>
        <v>0</v>
      </c>
      <c r="M62">
        <f t="shared" si="2"/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T62" s="6">
        <f t="shared" si="3"/>
        <v>0</v>
      </c>
    </row>
    <row r="63" spans="1:46" x14ac:dyDescent="0.5500000000000000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0"/>
        <v>0</v>
      </c>
      <c r="L63">
        <f t="shared" si="1"/>
        <v>0</v>
      </c>
      <c r="M63">
        <f t="shared" si="2"/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T63" s="6">
        <f t="shared" si="3"/>
        <v>0</v>
      </c>
    </row>
    <row r="64" spans="1:46" x14ac:dyDescent="0.5500000000000000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0"/>
        <v>0</v>
      </c>
      <c r="L64">
        <f t="shared" si="1"/>
        <v>0</v>
      </c>
      <c r="M64">
        <f t="shared" si="2"/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T64" s="6">
        <f t="shared" si="3"/>
        <v>0</v>
      </c>
    </row>
    <row r="65" spans="1:46" x14ac:dyDescent="0.5500000000000000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0"/>
        <v>0</v>
      </c>
      <c r="L65">
        <f t="shared" si="1"/>
        <v>0</v>
      </c>
      <c r="M65">
        <f t="shared" si="2"/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T65" s="6">
        <f t="shared" si="3"/>
        <v>0</v>
      </c>
    </row>
    <row r="66" spans="1:46" x14ac:dyDescent="0.5500000000000000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0"/>
        <v>0</v>
      </c>
      <c r="L66">
        <f t="shared" si="1"/>
        <v>0</v>
      </c>
      <c r="M66">
        <f t="shared" si="2"/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T66" s="6">
        <f t="shared" si="3"/>
        <v>0</v>
      </c>
    </row>
    <row r="67" spans="1:46" x14ac:dyDescent="0.5500000000000000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4">IF(E67=0,0,
VALUE(MID(E67,2,FIND(",",E67)-2))+
VALUE(MID(F67,2,FIND(",",F67)-2))+
VALUE(MID(G67,2,FIND(",",G67)-2))
)</f>
        <v>0</v>
      </c>
      <c r="L67">
        <f t="shared" ref="L67:L130" si="5">IF(E67=0,0,
VALUE(MID(E67,FIND(",",E67)+1,FIND("]",E67)-FIND(",",E67)-1))+
VALUE(MID(F67,FIND(",",F67)+1,FIND("]",F67)-FIND(",",F67)-1))+
VALUE(MID(G67,FIND(",",G67)+1,FIND("]",G67)-FIND(",",G67)-1))
)</f>
        <v>0</v>
      </c>
      <c r="M67">
        <f t="shared" ref="M67:M130" si="6">(K67-L67)</f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T67" s="6">
        <f t="shared" ref="AT67:AT130" si="7">(AP67-AQ67)/(365*24*2)</f>
        <v>0</v>
      </c>
    </row>
    <row r="68" spans="1:46" x14ac:dyDescent="0.5500000000000000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4"/>
        <v>0</v>
      </c>
      <c r="L68">
        <f t="shared" si="5"/>
        <v>0</v>
      </c>
      <c r="M68">
        <f t="shared" si="6"/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T68" s="6">
        <f t="shared" si="7"/>
        <v>0</v>
      </c>
    </row>
    <row r="69" spans="1:46" x14ac:dyDescent="0.5500000000000000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4"/>
        <v>0</v>
      </c>
      <c r="L69">
        <f t="shared" si="5"/>
        <v>0</v>
      </c>
      <c r="M69">
        <f t="shared" si="6"/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T69" s="6">
        <f t="shared" si="7"/>
        <v>0</v>
      </c>
    </row>
    <row r="70" spans="1:46" x14ac:dyDescent="0.5500000000000000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4"/>
        <v>0</v>
      </c>
      <c r="L70">
        <f t="shared" si="5"/>
        <v>0</v>
      </c>
      <c r="M70">
        <f t="shared" si="6"/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T70" s="6">
        <f t="shared" si="7"/>
        <v>0</v>
      </c>
    </row>
    <row r="71" spans="1:46" x14ac:dyDescent="0.5500000000000000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4"/>
        <v>0</v>
      </c>
      <c r="L71">
        <f t="shared" si="5"/>
        <v>0</v>
      </c>
      <c r="M71">
        <f t="shared" si="6"/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T71" s="6">
        <f t="shared" si="7"/>
        <v>0</v>
      </c>
    </row>
    <row r="72" spans="1:46" x14ac:dyDescent="0.5500000000000000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4"/>
        <v>0</v>
      </c>
      <c r="L72">
        <f t="shared" si="5"/>
        <v>0</v>
      </c>
      <c r="M72">
        <f t="shared" si="6"/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T72" s="6">
        <f t="shared" si="7"/>
        <v>0</v>
      </c>
    </row>
    <row r="73" spans="1:46" x14ac:dyDescent="0.5500000000000000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4"/>
        <v>0</v>
      </c>
      <c r="L73">
        <f t="shared" si="5"/>
        <v>0</v>
      </c>
      <c r="M73">
        <f t="shared" si="6"/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T73" s="6">
        <f t="shared" si="7"/>
        <v>0</v>
      </c>
    </row>
    <row r="74" spans="1:46" x14ac:dyDescent="0.5500000000000000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4"/>
        <v>0</v>
      </c>
      <c r="L74">
        <f t="shared" si="5"/>
        <v>0</v>
      </c>
      <c r="M74">
        <f t="shared" si="6"/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T74" s="6">
        <f t="shared" si="7"/>
        <v>0</v>
      </c>
    </row>
    <row r="75" spans="1:46" x14ac:dyDescent="0.5500000000000000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4"/>
        <v>0</v>
      </c>
      <c r="L75">
        <f t="shared" si="5"/>
        <v>0</v>
      </c>
      <c r="M75">
        <f t="shared" si="6"/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T75" s="6">
        <f t="shared" si="7"/>
        <v>0</v>
      </c>
    </row>
    <row r="76" spans="1:46" x14ac:dyDescent="0.5500000000000000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4"/>
        <v>0</v>
      </c>
      <c r="L76">
        <f t="shared" si="5"/>
        <v>0</v>
      </c>
      <c r="M76">
        <f t="shared" si="6"/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T76" s="6">
        <f t="shared" si="7"/>
        <v>0</v>
      </c>
    </row>
    <row r="77" spans="1:46" x14ac:dyDescent="0.5500000000000000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4"/>
        <v>0</v>
      </c>
      <c r="L77">
        <f t="shared" si="5"/>
        <v>0</v>
      </c>
      <c r="M77">
        <f t="shared" si="6"/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T77" s="6">
        <f t="shared" si="7"/>
        <v>0</v>
      </c>
    </row>
    <row r="78" spans="1:46" x14ac:dyDescent="0.5500000000000000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4"/>
        <v>0</v>
      </c>
      <c r="L78">
        <f t="shared" si="5"/>
        <v>0</v>
      </c>
      <c r="M78">
        <f t="shared" si="6"/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T78" s="6">
        <f t="shared" si="7"/>
        <v>0</v>
      </c>
    </row>
    <row r="79" spans="1:46" x14ac:dyDescent="0.5500000000000000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4"/>
        <v>0</v>
      </c>
      <c r="L79">
        <f t="shared" si="5"/>
        <v>0</v>
      </c>
      <c r="M79">
        <f t="shared" si="6"/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T79" s="6">
        <f t="shared" si="7"/>
        <v>0</v>
      </c>
    </row>
    <row r="80" spans="1:46" x14ac:dyDescent="0.5500000000000000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4"/>
        <v>0</v>
      </c>
      <c r="L80">
        <f t="shared" si="5"/>
        <v>0</v>
      </c>
      <c r="M80">
        <f t="shared" si="6"/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T80" s="6">
        <f t="shared" si="7"/>
        <v>0</v>
      </c>
    </row>
    <row r="81" spans="1:46" x14ac:dyDescent="0.5500000000000000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4"/>
        <v>0</v>
      </c>
      <c r="L81">
        <f t="shared" si="5"/>
        <v>0</v>
      </c>
      <c r="M81">
        <f t="shared" si="6"/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T81" s="6">
        <f t="shared" si="7"/>
        <v>0</v>
      </c>
    </row>
    <row r="82" spans="1:46" x14ac:dyDescent="0.5500000000000000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4"/>
        <v>0</v>
      </c>
      <c r="L82">
        <f t="shared" si="5"/>
        <v>0</v>
      </c>
      <c r="M82">
        <f t="shared" si="6"/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T82" s="6">
        <f t="shared" si="7"/>
        <v>0</v>
      </c>
    </row>
    <row r="83" spans="1:46" x14ac:dyDescent="0.5500000000000000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4"/>
        <v>0</v>
      </c>
      <c r="L83">
        <f t="shared" si="5"/>
        <v>0</v>
      </c>
      <c r="M83">
        <f t="shared" si="6"/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T83" s="6">
        <f t="shared" si="7"/>
        <v>0</v>
      </c>
    </row>
    <row r="84" spans="1:46" x14ac:dyDescent="0.5500000000000000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4"/>
        <v>0</v>
      </c>
      <c r="L84">
        <f t="shared" si="5"/>
        <v>0</v>
      </c>
      <c r="M84">
        <f t="shared" si="6"/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T84" s="6">
        <f t="shared" si="7"/>
        <v>0</v>
      </c>
    </row>
    <row r="85" spans="1:46" x14ac:dyDescent="0.5500000000000000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4"/>
        <v>0</v>
      </c>
      <c r="L85">
        <f t="shared" si="5"/>
        <v>0</v>
      </c>
      <c r="M85">
        <f t="shared" si="6"/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T85" s="6">
        <f t="shared" si="7"/>
        <v>0</v>
      </c>
    </row>
    <row r="86" spans="1:46" x14ac:dyDescent="0.5500000000000000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4"/>
        <v>0</v>
      </c>
      <c r="L86">
        <f t="shared" si="5"/>
        <v>0</v>
      </c>
      <c r="M86">
        <f t="shared" si="6"/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T86" s="6">
        <f t="shared" si="7"/>
        <v>0</v>
      </c>
    </row>
    <row r="87" spans="1:46" x14ac:dyDescent="0.5500000000000000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4"/>
        <v>0</v>
      </c>
      <c r="L87">
        <f t="shared" si="5"/>
        <v>0</v>
      </c>
      <c r="M87">
        <f t="shared" si="6"/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T87" s="6">
        <f t="shared" si="7"/>
        <v>0</v>
      </c>
    </row>
    <row r="88" spans="1:46" x14ac:dyDescent="0.5500000000000000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4"/>
        <v>0</v>
      </c>
      <c r="L88">
        <f t="shared" si="5"/>
        <v>0</v>
      </c>
      <c r="M88">
        <f t="shared" si="6"/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T88" s="6">
        <f t="shared" si="7"/>
        <v>0</v>
      </c>
    </row>
    <row r="89" spans="1:46" x14ac:dyDescent="0.5500000000000000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f t="shared" si="4"/>
        <v>0</v>
      </c>
      <c r="L89">
        <f t="shared" si="5"/>
        <v>0</v>
      </c>
      <c r="M89">
        <f t="shared" si="6"/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T89" s="6">
        <f t="shared" si="7"/>
        <v>0</v>
      </c>
    </row>
    <row r="90" spans="1:46" x14ac:dyDescent="0.55000000000000004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f t="shared" si="4"/>
        <v>0</v>
      </c>
      <c r="L90">
        <f t="shared" si="5"/>
        <v>0</v>
      </c>
      <c r="M90">
        <f t="shared" si="6"/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T90" s="6">
        <f t="shared" si="7"/>
        <v>0</v>
      </c>
    </row>
    <row r="91" spans="1:46" x14ac:dyDescent="0.55000000000000004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f t="shared" si="4"/>
        <v>0</v>
      </c>
      <c r="L91">
        <f t="shared" si="5"/>
        <v>0</v>
      </c>
      <c r="M91">
        <f t="shared" si="6"/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T91" s="6">
        <f t="shared" si="7"/>
        <v>0</v>
      </c>
    </row>
    <row r="92" spans="1:46" x14ac:dyDescent="0.5500000000000000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f t="shared" si="4"/>
        <v>0</v>
      </c>
      <c r="L92">
        <f t="shared" si="5"/>
        <v>0</v>
      </c>
      <c r="M92">
        <f t="shared" si="6"/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T92" s="6">
        <f t="shared" si="7"/>
        <v>0</v>
      </c>
    </row>
    <row r="93" spans="1:46" x14ac:dyDescent="0.5500000000000000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f t="shared" si="4"/>
        <v>0</v>
      </c>
      <c r="L93">
        <f t="shared" si="5"/>
        <v>0</v>
      </c>
      <c r="M93">
        <f t="shared" si="6"/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T93" s="6">
        <f t="shared" si="7"/>
        <v>0</v>
      </c>
    </row>
    <row r="94" spans="1:46" x14ac:dyDescent="0.5500000000000000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f t="shared" si="4"/>
        <v>0</v>
      </c>
      <c r="L94">
        <f t="shared" si="5"/>
        <v>0</v>
      </c>
      <c r="M94">
        <f t="shared" si="6"/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T94" s="6">
        <f t="shared" si="7"/>
        <v>0</v>
      </c>
    </row>
    <row r="95" spans="1:46" x14ac:dyDescent="0.5500000000000000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f t="shared" si="4"/>
        <v>0</v>
      </c>
      <c r="L95">
        <f t="shared" si="5"/>
        <v>0</v>
      </c>
      <c r="M95">
        <f t="shared" si="6"/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T95" s="6">
        <f t="shared" si="7"/>
        <v>0</v>
      </c>
    </row>
    <row r="96" spans="1:46" x14ac:dyDescent="0.5500000000000000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f t="shared" si="4"/>
        <v>0</v>
      </c>
      <c r="L96">
        <f t="shared" si="5"/>
        <v>0</v>
      </c>
      <c r="M96">
        <f t="shared" si="6"/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T96" s="6">
        <f t="shared" si="7"/>
        <v>0</v>
      </c>
    </row>
    <row r="97" spans="1:46" x14ac:dyDescent="0.5500000000000000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f t="shared" si="4"/>
        <v>0</v>
      </c>
      <c r="L97">
        <f t="shared" si="5"/>
        <v>0</v>
      </c>
      <c r="M97">
        <f t="shared" si="6"/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T97" s="6">
        <f t="shared" si="7"/>
        <v>0</v>
      </c>
    </row>
    <row r="98" spans="1:46" x14ac:dyDescent="0.5500000000000000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f t="shared" si="4"/>
        <v>0</v>
      </c>
      <c r="L98">
        <f t="shared" si="5"/>
        <v>0</v>
      </c>
      <c r="M98">
        <f t="shared" si="6"/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T98" s="6">
        <f t="shared" si="7"/>
        <v>0</v>
      </c>
    </row>
    <row r="99" spans="1:46" x14ac:dyDescent="0.5500000000000000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f t="shared" si="4"/>
        <v>0</v>
      </c>
      <c r="L99">
        <f t="shared" si="5"/>
        <v>0</v>
      </c>
      <c r="M99">
        <f t="shared" si="6"/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T99" s="6">
        <f t="shared" si="7"/>
        <v>0</v>
      </c>
    </row>
    <row r="100" spans="1:46" x14ac:dyDescent="0.5500000000000000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f t="shared" si="4"/>
        <v>0</v>
      </c>
      <c r="L100">
        <f t="shared" si="5"/>
        <v>0</v>
      </c>
      <c r="M100">
        <f t="shared" si="6"/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T100" s="6">
        <f t="shared" si="7"/>
        <v>0</v>
      </c>
    </row>
    <row r="101" spans="1:46" x14ac:dyDescent="0.5500000000000000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f t="shared" si="4"/>
        <v>0</v>
      </c>
      <c r="L101">
        <f t="shared" si="5"/>
        <v>0</v>
      </c>
      <c r="M101">
        <f t="shared" si="6"/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T101" s="6">
        <f t="shared" si="7"/>
        <v>0</v>
      </c>
    </row>
    <row r="102" spans="1:46" x14ac:dyDescent="0.5500000000000000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f t="shared" si="4"/>
        <v>0</v>
      </c>
      <c r="L102">
        <f t="shared" si="5"/>
        <v>0</v>
      </c>
      <c r="M102">
        <f t="shared" si="6"/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T102" s="6">
        <f t="shared" si="7"/>
        <v>0</v>
      </c>
    </row>
    <row r="103" spans="1:46" x14ac:dyDescent="0.5500000000000000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f t="shared" si="4"/>
        <v>0</v>
      </c>
      <c r="L103">
        <f t="shared" si="5"/>
        <v>0</v>
      </c>
      <c r="M103">
        <f t="shared" si="6"/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T103" s="6">
        <f t="shared" si="7"/>
        <v>0</v>
      </c>
    </row>
    <row r="104" spans="1:46" x14ac:dyDescent="0.5500000000000000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f t="shared" si="4"/>
        <v>0</v>
      </c>
      <c r="L104">
        <f t="shared" si="5"/>
        <v>0</v>
      </c>
      <c r="M104">
        <f t="shared" si="6"/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T104" s="6">
        <f t="shared" si="7"/>
        <v>0</v>
      </c>
    </row>
    <row r="105" spans="1:46" x14ac:dyDescent="0.5500000000000000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f t="shared" si="4"/>
        <v>0</v>
      </c>
      <c r="L105">
        <f t="shared" si="5"/>
        <v>0</v>
      </c>
      <c r="M105">
        <f t="shared" si="6"/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T105" s="6">
        <f t="shared" si="7"/>
        <v>0</v>
      </c>
    </row>
    <row r="106" spans="1:46" x14ac:dyDescent="0.5500000000000000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f t="shared" si="4"/>
        <v>0</v>
      </c>
      <c r="L106">
        <f t="shared" si="5"/>
        <v>0</v>
      </c>
      <c r="M106">
        <f t="shared" si="6"/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T106" s="6">
        <f t="shared" si="7"/>
        <v>0</v>
      </c>
    </row>
    <row r="107" spans="1:46" x14ac:dyDescent="0.5500000000000000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f t="shared" si="4"/>
        <v>0</v>
      </c>
      <c r="L107">
        <f t="shared" si="5"/>
        <v>0</v>
      </c>
      <c r="M107">
        <f t="shared" si="6"/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T107" s="6">
        <f t="shared" si="7"/>
        <v>0</v>
      </c>
    </row>
    <row r="108" spans="1:46" x14ac:dyDescent="0.5500000000000000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f t="shared" si="4"/>
        <v>0</v>
      </c>
      <c r="L108">
        <f t="shared" si="5"/>
        <v>0</v>
      </c>
      <c r="M108">
        <f t="shared" si="6"/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T108" s="6">
        <f t="shared" si="7"/>
        <v>0</v>
      </c>
    </row>
    <row r="109" spans="1:46" x14ac:dyDescent="0.5500000000000000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f t="shared" si="4"/>
        <v>0</v>
      </c>
      <c r="L109">
        <f t="shared" si="5"/>
        <v>0</v>
      </c>
      <c r="M109">
        <f t="shared" si="6"/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T109" s="6">
        <f t="shared" si="7"/>
        <v>0</v>
      </c>
    </row>
    <row r="110" spans="1:46" x14ac:dyDescent="0.5500000000000000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f t="shared" si="4"/>
        <v>0</v>
      </c>
      <c r="L110">
        <f t="shared" si="5"/>
        <v>0</v>
      </c>
      <c r="M110">
        <f t="shared" si="6"/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T110" s="6">
        <f t="shared" si="7"/>
        <v>0</v>
      </c>
    </row>
    <row r="111" spans="1:46" x14ac:dyDescent="0.5500000000000000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f t="shared" si="4"/>
        <v>0</v>
      </c>
      <c r="L111">
        <f t="shared" si="5"/>
        <v>0</v>
      </c>
      <c r="M111">
        <f t="shared" si="6"/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T111" s="6">
        <f t="shared" si="7"/>
        <v>0</v>
      </c>
    </row>
    <row r="112" spans="1:46" x14ac:dyDescent="0.5500000000000000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f t="shared" si="4"/>
        <v>0</v>
      </c>
      <c r="L112">
        <f t="shared" si="5"/>
        <v>0</v>
      </c>
      <c r="M112">
        <f t="shared" si="6"/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T112" s="6">
        <f t="shared" si="7"/>
        <v>0</v>
      </c>
    </row>
    <row r="113" spans="1:46" x14ac:dyDescent="0.5500000000000000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f t="shared" si="4"/>
        <v>0</v>
      </c>
      <c r="L113">
        <f t="shared" si="5"/>
        <v>0</v>
      </c>
      <c r="M113">
        <f t="shared" si="6"/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T113" s="6">
        <f t="shared" si="7"/>
        <v>0</v>
      </c>
    </row>
    <row r="114" spans="1:46" x14ac:dyDescent="0.5500000000000000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f t="shared" si="4"/>
        <v>0</v>
      </c>
      <c r="L114">
        <f t="shared" si="5"/>
        <v>0</v>
      </c>
      <c r="M114">
        <f t="shared" si="6"/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T114" s="6">
        <f t="shared" si="7"/>
        <v>0</v>
      </c>
    </row>
    <row r="115" spans="1:46" x14ac:dyDescent="0.5500000000000000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f t="shared" si="4"/>
        <v>0</v>
      </c>
      <c r="L115">
        <f t="shared" si="5"/>
        <v>0</v>
      </c>
      <c r="M115">
        <f t="shared" si="6"/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T115" s="6">
        <f t="shared" si="7"/>
        <v>0</v>
      </c>
    </row>
    <row r="116" spans="1:46" x14ac:dyDescent="0.5500000000000000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f t="shared" si="4"/>
        <v>0</v>
      </c>
      <c r="L116">
        <f t="shared" si="5"/>
        <v>0</v>
      </c>
      <c r="M116">
        <f t="shared" si="6"/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T116" s="6">
        <f t="shared" si="7"/>
        <v>0</v>
      </c>
    </row>
    <row r="117" spans="1:46" x14ac:dyDescent="0.5500000000000000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f t="shared" si="4"/>
        <v>0</v>
      </c>
      <c r="L117">
        <f t="shared" si="5"/>
        <v>0</v>
      </c>
      <c r="M117">
        <f t="shared" si="6"/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T117" s="6">
        <f t="shared" si="7"/>
        <v>0</v>
      </c>
    </row>
    <row r="118" spans="1:46" x14ac:dyDescent="0.5500000000000000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f t="shared" si="4"/>
        <v>0</v>
      </c>
      <c r="L118">
        <f t="shared" si="5"/>
        <v>0</v>
      </c>
      <c r="M118">
        <f t="shared" si="6"/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T118" s="6">
        <f t="shared" si="7"/>
        <v>0</v>
      </c>
    </row>
    <row r="119" spans="1:46" x14ac:dyDescent="0.5500000000000000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f t="shared" si="4"/>
        <v>0</v>
      </c>
      <c r="L119">
        <f t="shared" si="5"/>
        <v>0</v>
      </c>
      <c r="M119">
        <f t="shared" si="6"/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T119" s="6">
        <f t="shared" si="7"/>
        <v>0</v>
      </c>
    </row>
    <row r="120" spans="1:46" x14ac:dyDescent="0.5500000000000000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f t="shared" si="4"/>
        <v>0</v>
      </c>
      <c r="L120">
        <f t="shared" si="5"/>
        <v>0</v>
      </c>
      <c r="M120">
        <f t="shared" si="6"/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T120" s="6">
        <f t="shared" si="7"/>
        <v>0</v>
      </c>
    </row>
    <row r="121" spans="1:46" x14ac:dyDescent="0.5500000000000000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f t="shared" si="4"/>
        <v>0</v>
      </c>
      <c r="L121">
        <f t="shared" si="5"/>
        <v>0</v>
      </c>
      <c r="M121">
        <f t="shared" si="6"/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T121" s="6">
        <f t="shared" si="7"/>
        <v>0</v>
      </c>
    </row>
    <row r="122" spans="1:46" x14ac:dyDescent="0.5500000000000000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f t="shared" si="4"/>
        <v>0</v>
      </c>
      <c r="L122">
        <f t="shared" si="5"/>
        <v>0</v>
      </c>
      <c r="M122">
        <f t="shared" si="6"/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T122" s="6">
        <f t="shared" si="7"/>
        <v>0</v>
      </c>
    </row>
    <row r="123" spans="1:46" x14ac:dyDescent="0.55000000000000004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f t="shared" si="4"/>
        <v>0</v>
      </c>
      <c r="L123">
        <f t="shared" si="5"/>
        <v>0</v>
      </c>
      <c r="M123">
        <f t="shared" si="6"/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T123" s="6">
        <f t="shared" si="7"/>
        <v>0</v>
      </c>
    </row>
    <row r="124" spans="1:46" x14ac:dyDescent="0.5500000000000000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f t="shared" si="4"/>
        <v>0</v>
      </c>
      <c r="L124">
        <f t="shared" si="5"/>
        <v>0</v>
      </c>
      <c r="M124">
        <f t="shared" si="6"/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T124" s="6">
        <f t="shared" si="7"/>
        <v>0</v>
      </c>
    </row>
    <row r="125" spans="1:46" x14ac:dyDescent="0.5500000000000000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f t="shared" si="4"/>
        <v>0</v>
      </c>
      <c r="L125">
        <f t="shared" si="5"/>
        <v>0</v>
      </c>
      <c r="M125">
        <f t="shared" si="6"/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T125" s="6">
        <f t="shared" si="7"/>
        <v>0</v>
      </c>
    </row>
    <row r="126" spans="1:46" x14ac:dyDescent="0.5500000000000000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f t="shared" si="4"/>
        <v>0</v>
      </c>
      <c r="L126">
        <f t="shared" si="5"/>
        <v>0</v>
      </c>
      <c r="M126">
        <f t="shared" si="6"/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T126" s="6">
        <f t="shared" si="7"/>
        <v>0</v>
      </c>
    </row>
    <row r="127" spans="1:46" x14ac:dyDescent="0.5500000000000000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f t="shared" si="4"/>
        <v>0</v>
      </c>
      <c r="L127">
        <f t="shared" si="5"/>
        <v>0</v>
      </c>
      <c r="M127">
        <f t="shared" si="6"/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T127" s="6">
        <f t="shared" si="7"/>
        <v>0</v>
      </c>
    </row>
    <row r="128" spans="1:46" x14ac:dyDescent="0.5500000000000000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f t="shared" si="4"/>
        <v>0</v>
      </c>
      <c r="L128">
        <f t="shared" si="5"/>
        <v>0</v>
      </c>
      <c r="M128">
        <f t="shared" si="6"/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T128" s="6">
        <f t="shared" si="7"/>
        <v>0</v>
      </c>
    </row>
    <row r="129" spans="1:46" x14ac:dyDescent="0.55000000000000004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f t="shared" si="4"/>
        <v>0</v>
      </c>
      <c r="L129">
        <f t="shared" si="5"/>
        <v>0</v>
      </c>
      <c r="M129">
        <f t="shared" si="6"/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T129" s="6">
        <f t="shared" si="7"/>
        <v>0</v>
      </c>
    </row>
    <row r="130" spans="1:46" x14ac:dyDescent="0.5500000000000000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f t="shared" si="4"/>
        <v>0</v>
      </c>
      <c r="L130">
        <f t="shared" si="5"/>
        <v>0</v>
      </c>
      <c r="M130">
        <f t="shared" si="6"/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T130" s="6">
        <f t="shared" si="7"/>
        <v>0</v>
      </c>
    </row>
    <row r="131" spans="1:46" x14ac:dyDescent="0.5500000000000000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f t="shared" ref="K131:K194" si="8">IF(E131=0,0,
VALUE(MID(E131,2,FIND(",",E131)-2))+
VALUE(MID(F131,2,FIND(",",F131)-2))+
VALUE(MID(G131,2,FIND(",",G131)-2))
)</f>
        <v>0</v>
      </c>
      <c r="L131">
        <f t="shared" ref="L131:L194" si="9">IF(E131=0,0,
VALUE(MID(E131,FIND(",",E131)+1,FIND("]",E131)-FIND(",",E131)-1))+
VALUE(MID(F131,FIND(",",F131)+1,FIND("]",F131)-FIND(",",F131)-1))+
VALUE(MID(G131,FIND(",",G131)+1,FIND("]",G131)-FIND(",",G131)-1))
)</f>
        <v>0</v>
      </c>
      <c r="M131">
        <f t="shared" ref="M131:M194" si="10">(K131-L131)</f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T131" s="6">
        <f t="shared" ref="AT131:AT194" si="11">(AP131-AQ131)/(365*24*2)</f>
        <v>0</v>
      </c>
    </row>
    <row r="132" spans="1:46" x14ac:dyDescent="0.5500000000000000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f t="shared" si="8"/>
        <v>0</v>
      </c>
      <c r="L132">
        <f t="shared" si="9"/>
        <v>0</v>
      </c>
      <c r="M132">
        <f t="shared" si="10"/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T132" s="6">
        <f t="shared" si="11"/>
        <v>0</v>
      </c>
    </row>
    <row r="133" spans="1:46" x14ac:dyDescent="0.5500000000000000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f t="shared" si="8"/>
        <v>0</v>
      </c>
      <c r="L133">
        <f t="shared" si="9"/>
        <v>0</v>
      </c>
      <c r="M133">
        <f t="shared" si="10"/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T133" s="6">
        <f t="shared" si="11"/>
        <v>0</v>
      </c>
    </row>
    <row r="134" spans="1:46" x14ac:dyDescent="0.5500000000000000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f t="shared" si="8"/>
        <v>0</v>
      </c>
      <c r="L134">
        <f t="shared" si="9"/>
        <v>0</v>
      </c>
      <c r="M134">
        <f t="shared" si="10"/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T134" s="6">
        <f t="shared" si="11"/>
        <v>0</v>
      </c>
    </row>
    <row r="135" spans="1:46" x14ac:dyDescent="0.5500000000000000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f t="shared" si="8"/>
        <v>0</v>
      </c>
      <c r="L135">
        <f t="shared" si="9"/>
        <v>0</v>
      </c>
      <c r="M135">
        <f t="shared" si="10"/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T135" s="6">
        <f t="shared" si="11"/>
        <v>0</v>
      </c>
    </row>
    <row r="136" spans="1:46" x14ac:dyDescent="0.5500000000000000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f t="shared" si="8"/>
        <v>0</v>
      </c>
      <c r="L136">
        <f t="shared" si="9"/>
        <v>0</v>
      </c>
      <c r="M136">
        <f t="shared" si="10"/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T136" s="6">
        <f t="shared" si="11"/>
        <v>0</v>
      </c>
    </row>
    <row r="137" spans="1:46" x14ac:dyDescent="0.5500000000000000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f t="shared" si="8"/>
        <v>0</v>
      </c>
      <c r="L137">
        <f t="shared" si="9"/>
        <v>0</v>
      </c>
      <c r="M137">
        <f t="shared" si="10"/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T137" s="6">
        <f t="shared" si="11"/>
        <v>0</v>
      </c>
    </row>
    <row r="138" spans="1:46" x14ac:dyDescent="0.5500000000000000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f t="shared" si="8"/>
        <v>0</v>
      </c>
      <c r="L138">
        <f t="shared" si="9"/>
        <v>0</v>
      </c>
      <c r="M138">
        <f t="shared" si="10"/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T138" s="6">
        <f t="shared" si="11"/>
        <v>0</v>
      </c>
    </row>
    <row r="139" spans="1:46" x14ac:dyDescent="0.5500000000000000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f t="shared" si="8"/>
        <v>0</v>
      </c>
      <c r="L139">
        <f t="shared" si="9"/>
        <v>0</v>
      </c>
      <c r="M139">
        <f t="shared" si="10"/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T139" s="6">
        <f t="shared" si="11"/>
        <v>0</v>
      </c>
    </row>
    <row r="140" spans="1:46" x14ac:dyDescent="0.5500000000000000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f t="shared" si="8"/>
        <v>0</v>
      </c>
      <c r="L140">
        <f t="shared" si="9"/>
        <v>0</v>
      </c>
      <c r="M140">
        <f t="shared" si="10"/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T140" s="6">
        <f t="shared" si="11"/>
        <v>0</v>
      </c>
    </row>
    <row r="141" spans="1:46" x14ac:dyDescent="0.5500000000000000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f t="shared" si="8"/>
        <v>0</v>
      </c>
      <c r="L141">
        <f t="shared" si="9"/>
        <v>0</v>
      </c>
      <c r="M141">
        <f t="shared" si="10"/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T141" s="6">
        <f t="shared" si="11"/>
        <v>0</v>
      </c>
    </row>
    <row r="142" spans="1:46" x14ac:dyDescent="0.5500000000000000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f t="shared" si="8"/>
        <v>0</v>
      </c>
      <c r="L142">
        <f t="shared" si="9"/>
        <v>0</v>
      </c>
      <c r="M142">
        <f t="shared" si="10"/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T142" s="6">
        <f t="shared" si="11"/>
        <v>0</v>
      </c>
    </row>
    <row r="143" spans="1:46" x14ac:dyDescent="0.5500000000000000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f t="shared" si="8"/>
        <v>0</v>
      </c>
      <c r="L143">
        <f t="shared" si="9"/>
        <v>0</v>
      </c>
      <c r="M143">
        <f t="shared" si="10"/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T143" s="6">
        <f t="shared" si="11"/>
        <v>0</v>
      </c>
    </row>
    <row r="144" spans="1:46" x14ac:dyDescent="0.5500000000000000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f t="shared" si="8"/>
        <v>0</v>
      </c>
      <c r="L144">
        <f t="shared" si="9"/>
        <v>0</v>
      </c>
      <c r="M144">
        <f t="shared" si="10"/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T144" s="6">
        <f t="shared" si="11"/>
        <v>0</v>
      </c>
    </row>
    <row r="145" spans="1:46" x14ac:dyDescent="0.5500000000000000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f t="shared" si="8"/>
        <v>0</v>
      </c>
      <c r="L145">
        <f t="shared" si="9"/>
        <v>0</v>
      </c>
      <c r="M145">
        <f t="shared" si="10"/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T145" s="6">
        <f t="shared" si="11"/>
        <v>0</v>
      </c>
    </row>
    <row r="146" spans="1:46" x14ac:dyDescent="0.5500000000000000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f t="shared" si="8"/>
        <v>0</v>
      </c>
      <c r="L146">
        <f t="shared" si="9"/>
        <v>0</v>
      </c>
      <c r="M146">
        <f t="shared" si="10"/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T146" s="6">
        <f t="shared" si="11"/>
        <v>0</v>
      </c>
    </row>
    <row r="147" spans="1:46" x14ac:dyDescent="0.5500000000000000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f t="shared" si="8"/>
        <v>0</v>
      </c>
      <c r="L147">
        <f t="shared" si="9"/>
        <v>0</v>
      </c>
      <c r="M147">
        <f t="shared" si="10"/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T147" s="6">
        <f t="shared" si="11"/>
        <v>0</v>
      </c>
    </row>
    <row r="148" spans="1:46" x14ac:dyDescent="0.5500000000000000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f t="shared" si="8"/>
        <v>0</v>
      </c>
      <c r="L148">
        <f t="shared" si="9"/>
        <v>0</v>
      </c>
      <c r="M148">
        <f t="shared" si="10"/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T148" s="6">
        <f t="shared" si="11"/>
        <v>0</v>
      </c>
    </row>
    <row r="149" spans="1:46" x14ac:dyDescent="0.5500000000000000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f t="shared" si="8"/>
        <v>0</v>
      </c>
      <c r="L149">
        <f t="shared" si="9"/>
        <v>0</v>
      </c>
      <c r="M149">
        <f t="shared" si="10"/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T149" s="6">
        <f t="shared" si="11"/>
        <v>0</v>
      </c>
    </row>
    <row r="150" spans="1:46" x14ac:dyDescent="0.5500000000000000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f t="shared" si="8"/>
        <v>0</v>
      </c>
      <c r="L150">
        <f t="shared" si="9"/>
        <v>0</v>
      </c>
      <c r="M150">
        <f t="shared" si="10"/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T150" s="6">
        <f t="shared" si="11"/>
        <v>0</v>
      </c>
    </row>
    <row r="151" spans="1:46" x14ac:dyDescent="0.55000000000000004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f t="shared" si="8"/>
        <v>0</v>
      </c>
      <c r="L151">
        <f t="shared" si="9"/>
        <v>0</v>
      </c>
      <c r="M151">
        <f t="shared" si="10"/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T151" s="6">
        <f t="shared" si="11"/>
        <v>0</v>
      </c>
    </row>
    <row r="152" spans="1:46" x14ac:dyDescent="0.5500000000000000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f t="shared" si="8"/>
        <v>0</v>
      </c>
      <c r="L152">
        <f t="shared" si="9"/>
        <v>0</v>
      </c>
      <c r="M152">
        <f t="shared" si="10"/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T152" s="6">
        <f t="shared" si="11"/>
        <v>0</v>
      </c>
    </row>
    <row r="153" spans="1:46" x14ac:dyDescent="0.5500000000000000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f t="shared" si="8"/>
        <v>0</v>
      </c>
      <c r="L153">
        <f t="shared" si="9"/>
        <v>0</v>
      </c>
      <c r="M153">
        <f t="shared" si="10"/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T153" s="6">
        <f t="shared" si="11"/>
        <v>0</v>
      </c>
    </row>
    <row r="154" spans="1:46" x14ac:dyDescent="0.5500000000000000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f t="shared" si="8"/>
        <v>0</v>
      </c>
      <c r="L154">
        <f t="shared" si="9"/>
        <v>0</v>
      </c>
      <c r="M154">
        <f t="shared" si="10"/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T154" s="6">
        <f t="shared" si="11"/>
        <v>0</v>
      </c>
    </row>
    <row r="155" spans="1:46" x14ac:dyDescent="0.5500000000000000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f t="shared" si="8"/>
        <v>0</v>
      </c>
      <c r="L155">
        <f t="shared" si="9"/>
        <v>0</v>
      </c>
      <c r="M155">
        <f t="shared" si="10"/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T155" s="6">
        <f t="shared" si="11"/>
        <v>0</v>
      </c>
    </row>
    <row r="156" spans="1:46" x14ac:dyDescent="0.5500000000000000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f t="shared" si="8"/>
        <v>0</v>
      </c>
      <c r="L156">
        <f t="shared" si="9"/>
        <v>0</v>
      </c>
      <c r="M156">
        <f t="shared" si="10"/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T156" s="6">
        <f t="shared" si="11"/>
        <v>0</v>
      </c>
    </row>
    <row r="157" spans="1:46" x14ac:dyDescent="0.5500000000000000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f t="shared" si="8"/>
        <v>0</v>
      </c>
      <c r="L157">
        <f t="shared" si="9"/>
        <v>0</v>
      </c>
      <c r="M157">
        <f t="shared" si="10"/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T157" s="6">
        <f t="shared" si="11"/>
        <v>0</v>
      </c>
    </row>
    <row r="158" spans="1:46" x14ac:dyDescent="0.55000000000000004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f t="shared" si="8"/>
        <v>0</v>
      </c>
      <c r="L158">
        <f t="shared" si="9"/>
        <v>0</v>
      </c>
      <c r="M158">
        <f t="shared" si="10"/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T158" s="6">
        <f t="shared" si="11"/>
        <v>0</v>
      </c>
    </row>
    <row r="159" spans="1:46" x14ac:dyDescent="0.5500000000000000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f t="shared" si="8"/>
        <v>0</v>
      </c>
      <c r="L159">
        <f t="shared" si="9"/>
        <v>0</v>
      </c>
      <c r="M159">
        <f t="shared" si="10"/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T159" s="6">
        <f t="shared" si="11"/>
        <v>0</v>
      </c>
    </row>
    <row r="160" spans="1:46" x14ac:dyDescent="0.5500000000000000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f t="shared" si="8"/>
        <v>0</v>
      </c>
      <c r="L160">
        <f t="shared" si="9"/>
        <v>0</v>
      </c>
      <c r="M160">
        <f t="shared" si="10"/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T160" s="6">
        <f t="shared" si="11"/>
        <v>0</v>
      </c>
    </row>
    <row r="161" spans="1:46" x14ac:dyDescent="0.5500000000000000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f t="shared" si="8"/>
        <v>0</v>
      </c>
      <c r="L161">
        <f t="shared" si="9"/>
        <v>0</v>
      </c>
      <c r="M161">
        <f t="shared" si="10"/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T161" s="6">
        <f t="shared" si="11"/>
        <v>0</v>
      </c>
    </row>
    <row r="162" spans="1:46" x14ac:dyDescent="0.5500000000000000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f t="shared" si="8"/>
        <v>0</v>
      </c>
      <c r="L162">
        <f t="shared" si="9"/>
        <v>0</v>
      </c>
      <c r="M162">
        <f t="shared" si="10"/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T162" s="6">
        <f t="shared" si="11"/>
        <v>0</v>
      </c>
    </row>
    <row r="163" spans="1:46" x14ac:dyDescent="0.5500000000000000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f t="shared" si="8"/>
        <v>0</v>
      </c>
      <c r="L163">
        <f t="shared" si="9"/>
        <v>0</v>
      </c>
      <c r="M163">
        <f t="shared" si="10"/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T163" s="6">
        <f t="shared" si="11"/>
        <v>0</v>
      </c>
    </row>
    <row r="164" spans="1:46" x14ac:dyDescent="0.5500000000000000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f t="shared" si="8"/>
        <v>0</v>
      </c>
      <c r="L164">
        <f t="shared" si="9"/>
        <v>0</v>
      </c>
      <c r="M164">
        <f t="shared" si="10"/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T164" s="6">
        <f t="shared" si="11"/>
        <v>0</v>
      </c>
    </row>
    <row r="165" spans="1:46" x14ac:dyDescent="0.5500000000000000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f t="shared" si="8"/>
        <v>0</v>
      </c>
      <c r="L165">
        <f t="shared" si="9"/>
        <v>0</v>
      </c>
      <c r="M165">
        <f t="shared" si="10"/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T165" s="6">
        <f t="shared" si="11"/>
        <v>0</v>
      </c>
    </row>
    <row r="166" spans="1:46" x14ac:dyDescent="0.5500000000000000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f t="shared" si="8"/>
        <v>0</v>
      </c>
      <c r="L166">
        <f t="shared" si="9"/>
        <v>0</v>
      </c>
      <c r="M166">
        <f t="shared" si="10"/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T166" s="6">
        <f t="shared" si="11"/>
        <v>0</v>
      </c>
    </row>
    <row r="167" spans="1:46" x14ac:dyDescent="0.55000000000000004">
      <c r="A167">
        <v>18.93</v>
      </c>
      <c r="B167">
        <v>27.16</v>
      </c>
      <c r="C167">
        <v>4755</v>
      </c>
      <c r="D167">
        <v>7.56</v>
      </c>
      <c r="E167" t="s">
        <v>2013</v>
      </c>
      <c r="F167" t="s">
        <v>2081</v>
      </c>
      <c r="G167" t="s">
        <v>2127</v>
      </c>
      <c r="H167" t="s">
        <v>898</v>
      </c>
      <c r="I167">
        <v>0</v>
      </c>
      <c r="J167">
        <v>837.5</v>
      </c>
      <c r="K167">
        <f t="shared" si="8"/>
        <v>56.45</v>
      </c>
      <c r="L167">
        <f t="shared" si="9"/>
        <v>56.45</v>
      </c>
      <c r="M167">
        <f t="shared" si="10"/>
        <v>0</v>
      </c>
      <c r="N167">
        <v>7.29</v>
      </c>
      <c r="O167">
        <v>82.15</v>
      </c>
      <c r="P167">
        <v>42</v>
      </c>
      <c r="Q167">
        <v>21.2</v>
      </c>
      <c r="R167">
        <v>8.23</v>
      </c>
      <c r="S167">
        <v>13.59</v>
      </c>
      <c r="T167">
        <v>5.34</v>
      </c>
      <c r="U167">
        <v>5.68</v>
      </c>
      <c r="V167">
        <v>3043.2</v>
      </c>
      <c r="W167">
        <v>902.9</v>
      </c>
      <c r="X167">
        <v>1052.02</v>
      </c>
      <c r="Y167">
        <v>640.54</v>
      </c>
      <c r="Z167">
        <v>28.22</v>
      </c>
      <c r="AA167">
        <v>1.39</v>
      </c>
      <c r="AB167">
        <v>4.79</v>
      </c>
      <c r="AC167">
        <v>60.65</v>
      </c>
      <c r="AD167">
        <v>680</v>
      </c>
      <c r="AE167">
        <v>5900</v>
      </c>
      <c r="AF167">
        <v>74.319999999999993</v>
      </c>
      <c r="AG167">
        <v>0.59</v>
      </c>
      <c r="AH167">
        <v>15.89</v>
      </c>
      <c r="AI167">
        <v>235.54</v>
      </c>
      <c r="AJ167">
        <v>60</v>
      </c>
      <c r="AK167">
        <v>9</v>
      </c>
      <c r="AL167">
        <v>9</v>
      </c>
      <c r="AM167">
        <v>0.13</v>
      </c>
      <c r="AN167">
        <v>408</v>
      </c>
      <c r="AO167">
        <v>409.2</v>
      </c>
      <c r="AP167">
        <v>298167.74</v>
      </c>
      <c r="AQ167">
        <v>298167.74</v>
      </c>
      <c r="AR167" t="s">
        <v>1074</v>
      </c>
      <c r="AT167" s="6">
        <f t="shared" si="11"/>
        <v>0</v>
      </c>
    </row>
    <row r="168" spans="1:46" x14ac:dyDescent="0.5500000000000000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f t="shared" si="8"/>
        <v>0</v>
      </c>
      <c r="L168">
        <f t="shared" si="9"/>
        <v>0</v>
      </c>
      <c r="M168">
        <f t="shared" si="10"/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T168" s="6">
        <f t="shared" si="11"/>
        <v>0</v>
      </c>
    </row>
    <row r="169" spans="1:46" x14ac:dyDescent="0.5500000000000000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f t="shared" si="8"/>
        <v>0</v>
      </c>
      <c r="L169">
        <f t="shared" si="9"/>
        <v>0</v>
      </c>
      <c r="M169">
        <f t="shared" si="10"/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T169" s="6">
        <f t="shared" si="11"/>
        <v>0</v>
      </c>
    </row>
    <row r="170" spans="1:46" x14ac:dyDescent="0.5500000000000000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f t="shared" si="8"/>
        <v>0</v>
      </c>
      <c r="L170">
        <f t="shared" si="9"/>
        <v>0</v>
      </c>
      <c r="M170">
        <f t="shared" si="10"/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T170" s="6">
        <f t="shared" si="11"/>
        <v>0</v>
      </c>
    </row>
    <row r="171" spans="1:46" x14ac:dyDescent="0.5500000000000000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f t="shared" si="8"/>
        <v>0</v>
      </c>
      <c r="L171">
        <f t="shared" si="9"/>
        <v>0</v>
      </c>
      <c r="M171">
        <f t="shared" si="10"/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T171" s="6">
        <f t="shared" si="11"/>
        <v>0</v>
      </c>
    </row>
    <row r="172" spans="1:46" x14ac:dyDescent="0.5500000000000000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f t="shared" si="8"/>
        <v>0</v>
      </c>
      <c r="L172">
        <f t="shared" si="9"/>
        <v>0</v>
      </c>
      <c r="M172">
        <f t="shared" si="10"/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T172" s="6">
        <f t="shared" si="11"/>
        <v>0</v>
      </c>
    </row>
    <row r="173" spans="1:46" x14ac:dyDescent="0.5500000000000000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f t="shared" si="8"/>
        <v>0</v>
      </c>
      <c r="L173">
        <f t="shared" si="9"/>
        <v>0</v>
      </c>
      <c r="M173">
        <f t="shared" si="10"/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T173" s="6">
        <f t="shared" si="11"/>
        <v>0</v>
      </c>
    </row>
    <row r="174" spans="1:46" x14ac:dyDescent="0.5500000000000000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f t="shared" si="8"/>
        <v>0</v>
      </c>
      <c r="L174">
        <f t="shared" si="9"/>
        <v>0</v>
      </c>
      <c r="M174">
        <f t="shared" si="10"/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T174" s="6">
        <f t="shared" si="11"/>
        <v>0</v>
      </c>
    </row>
    <row r="175" spans="1:46" x14ac:dyDescent="0.5500000000000000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f t="shared" si="8"/>
        <v>0</v>
      </c>
      <c r="L175">
        <f t="shared" si="9"/>
        <v>0</v>
      </c>
      <c r="M175">
        <f t="shared" si="10"/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T175" s="6">
        <f t="shared" si="11"/>
        <v>0</v>
      </c>
    </row>
    <row r="176" spans="1:46" x14ac:dyDescent="0.55000000000000004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f t="shared" si="8"/>
        <v>0</v>
      </c>
      <c r="L176">
        <f t="shared" si="9"/>
        <v>0</v>
      </c>
      <c r="M176">
        <f t="shared" si="10"/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T176" s="6">
        <f t="shared" si="11"/>
        <v>0</v>
      </c>
    </row>
    <row r="177" spans="1:46" x14ac:dyDescent="0.5500000000000000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f t="shared" si="8"/>
        <v>0</v>
      </c>
      <c r="L177">
        <f t="shared" si="9"/>
        <v>0</v>
      </c>
      <c r="M177">
        <f t="shared" si="10"/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T177" s="6">
        <f t="shared" si="11"/>
        <v>0</v>
      </c>
    </row>
    <row r="178" spans="1:46" x14ac:dyDescent="0.5500000000000000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f t="shared" si="8"/>
        <v>0</v>
      </c>
      <c r="L178">
        <f t="shared" si="9"/>
        <v>0</v>
      </c>
      <c r="M178">
        <f t="shared" si="10"/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T178" s="6">
        <f t="shared" si="11"/>
        <v>0</v>
      </c>
    </row>
    <row r="179" spans="1:46" x14ac:dyDescent="0.5500000000000000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f t="shared" si="8"/>
        <v>0</v>
      </c>
      <c r="L179">
        <f t="shared" si="9"/>
        <v>0</v>
      </c>
      <c r="M179">
        <f t="shared" si="10"/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T179" s="6">
        <f t="shared" si="11"/>
        <v>0</v>
      </c>
    </row>
    <row r="180" spans="1:46" x14ac:dyDescent="0.55000000000000004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f t="shared" si="8"/>
        <v>0</v>
      </c>
      <c r="L180">
        <f t="shared" si="9"/>
        <v>0</v>
      </c>
      <c r="M180">
        <f t="shared" si="10"/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T180" s="6">
        <f t="shared" si="11"/>
        <v>0</v>
      </c>
    </row>
    <row r="181" spans="1:46" x14ac:dyDescent="0.5500000000000000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f t="shared" si="8"/>
        <v>0</v>
      </c>
      <c r="L181">
        <f t="shared" si="9"/>
        <v>0</v>
      </c>
      <c r="M181">
        <f t="shared" si="10"/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T181" s="6">
        <f t="shared" si="11"/>
        <v>0</v>
      </c>
    </row>
    <row r="182" spans="1:46" x14ac:dyDescent="0.55000000000000004">
      <c r="A182">
        <v>20.18</v>
      </c>
      <c r="B182">
        <v>28.02</v>
      </c>
      <c r="C182">
        <v>4786.1000000000004</v>
      </c>
      <c r="D182">
        <v>7.55</v>
      </c>
      <c r="E182" t="s">
        <v>2014</v>
      </c>
      <c r="F182" t="s">
        <v>2082</v>
      </c>
      <c r="G182" t="s">
        <v>2128</v>
      </c>
      <c r="H182" t="s">
        <v>898</v>
      </c>
      <c r="I182">
        <v>0</v>
      </c>
      <c r="J182">
        <v>868.89</v>
      </c>
      <c r="K182">
        <f t="shared" si="8"/>
        <v>58.97</v>
      </c>
      <c r="L182">
        <f t="shared" si="9"/>
        <v>58.97</v>
      </c>
      <c r="M182">
        <f t="shared" si="10"/>
        <v>0</v>
      </c>
      <c r="N182">
        <v>7.32</v>
      </c>
      <c r="O182">
        <v>81.97</v>
      </c>
      <c r="P182">
        <v>38</v>
      </c>
      <c r="Q182">
        <v>25</v>
      </c>
      <c r="R182">
        <v>7.84</v>
      </c>
      <c r="S182">
        <v>16.04</v>
      </c>
      <c r="T182">
        <v>4.1399999999999997</v>
      </c>
      <c r="U182">
        <v>5.51</v>
      </c>
      <c r="V182">
        <v>3063.1</v>
      </c>
      <c r="W182">
        <v>907.9</v>
      </c>
      <c r="X182">
        <v>1048.94</v>
      </c>
      <c r="Y182">
        <v>642.26</v>
      </c>
      <c r="Z182">
        <v>29.44</v>
      </c>
      <c r="AA182">
        <v>1.4</v>
      </c>
      <c r="AB182">
        <v>4.75</v>
      </c>
      <c r="AC182">
        <v>65.44</v>
      </c>
      <c r="AD182">
        <v>680</v>
      </c>
      <c r="AE182">
        <v>5900</v>
      </c>
      <c r="AF182">
        <v>70.73</v>
      </c>
      <c r="AG182">
        <v>0.59</v>
      </c>
      <c r="AH182">
        <v>15.69</v>
      </c>
      <c r="AI182">
        <v>235.22</v>
      </c>
      <c r="AJ182">
        <v>60</v>
      </c>
      <c r="AK182">
        <v>9</v>
      </c>
      <c r="AL182">
        <v>9</v>
      </c>
      <c r="AM182">
        <v>0.13</v>
      </c>
      <c r="AN182">
        <v>408</v>
      </c>
      <c r="AO182">
        <v>409.2</v>
      </c>
      <c r="AP182">
        <v>300281.12</v>
      </c>
      <c r="AQ182">
        <v>300281.12</v>
      </c>
      <c r="AR182" t="s">
        <v>1089</v>
      </c>
      <c r="AT182" s="6">
        <f t="shared" si="11"/>
        <v>0</v>
      </c>
    </row>
    <row r="183" spans="1:46" x14ac:dyDescent="0.55000000000000004">
      <c r="A183">
        <v>19.690000000000001</v>
      </c>
      <c r="B183">
        <v>27.53</v>
      </c>
      <c r="C183">
        <v>4934.5</v>
      </c>
      <c r="D183">
        <v>7.56</v>
      </c>
      <c r="E183" t="s">
        <v>2015</v>
      </c>
      <c r="F183" t="s">
        <v>1414</v>
      </c>
      <c r="G183" t="s">
        <v>1662</v>
      </c>
      <c r="H183" t="s">
        <v>898</v>
      </c>
      <c r="I183">
        <v>0</v>
      </c>
      <c r="J183">
        <v>867.13</v>
      </c>
      <c r="K183">
        <f t="shared" si="8"/>
        <v>58.1</v>
      </c>
      <c r="L183">
        <f t="shared" si="9"/>
        <v>58.1</v>
      </c>
      <c r="M183">
        <f t="shared" si="10"/>
        <v>0</v>
      </c>
      <c r="N183">
        <v>7.31</v>
      </c>
      <c r="O183">
        <v>81.86</v>
      </c>
      <c r="P183">
        <v>56</v>
      </c>
      <c r="Q183">
        <v>20.399999999999999</v>
      </c>
      <c r="R183">
        <v>7.84</v>
      </c>
      <c r="S183">
        <v>14.85</v>
      </c>
      <c r="T183">
        <v>4.84</v>
      </c>
      <c r="U183">
        <v>5.69</v>
      </c>
      <c r="V183">
        <v>3158.08</v>
      </c>
      <c r="W183">
        <v>935.65</v>
      </c>
      <c r="X183">
        <v>1078.71</v>
      </c>
      <c r="Y183">
        <v>661.25</v>
      </c>
      <c r="Z183">
        <v>29.09</v>
      </c>
      <c r="AA183">
        <v>1.42</v>
      </c>
      <c r="AB183">
        <v>4.72</v>
      </c>
      <c r="AC183">
        <v>61.83</v>
      </c>
      <c r="AD183">
        <v>680</v>
      </c>
      <c r="AE183">
        <v>5900</v>
      </c>
      <c r="AF183">
        <v>70.78</v>
      </c>
      <c r="AG183">
        <v>0.59</v>
      </c>
      <c r="AH183">
        <v>15.09</v>
      </c>
      <c r="AI183">
        <v>235.9</v>
      </c>
      <c r="AJ183">
        <v>60</v>
      </c>
      <c r="AK183">
        <v>9</v>
      </c>
      <c r="AL183">
        <v>9</v>
      </c>
      <c r="AM183">
        <v>0.13</v>
      </c>
      <c r="AN183">
        <v>408</v>
      </c>
      <c r="AO183">
        <v>409.2</v>
      </c>
      <c r="AP183">
        <v>299005.74</v>
      </c>
      <c r="AQ183">
        <v>299005.74</v>
      </c>
      <c r="AR183" t="s">
        <v>1090</v>
      </c>
      <c r="AT183" s="6">
        <f t="shared" si="11"/>
        <v>0</v>
      </c>
    </row>
    <row r="184" spans="1:46" x14ac:dyDescent="0.55000000000000004">
      <c r="A184">
        <v>20.079999999999998</v>
      </c>
      <c r="B184">
        <v>27.88</v>
      </c>
      <c r="C184">
        <v>4870.5</v>
      </c>
      <c r="D184">
        <v>7.56</v>
      </c>
      <c r="E184" t="s">
        <v>2016</v>
      </c>
      <c r="F184" t="s">
        <v>2082</v>
      </c>
      <c r="G184" t="s">
        <v>2129</v>
      </c>
      <c r="H184" t="s">
        <v>898</v>
      </c>
      <c r="I184">
        <v>0</v>
      </c>
      <c r="J184">
        <v>823.39</v>
      </c>
      <c r="K184">
        <f t="shared" si="8"/>
        <v>55.38</v>
      </c>
      <c r="L184">
        <f t="shared" si="9"/>
        <v>55.38</v>
      </c>
      <c r="M184">
        <f t="shared" si="10"/>
        <v>0</v>
      </c>
      <c r="N184">
        <v>7.28</v>
      </c>
      <c r="O184">
        <v>82.03</v>
      </c>
      <c r="P184">
        <v>49</v>
      </c>
      <c r="Q184">
        <v>22.5</v>
      </c>
      <c r="R184">
        <v>7.79</v>
      </c>
      <c r="S184">
        <v>15.7</v>
      </c>
      <c r="T184">
        <v>4.38</v>
      </c>
      <c r="U184">
        <v>5.92</v>
      </c>
      <c r="V184">
        <v>3117.12</v>
      </c>
      <c r="W184">
        <v>925.31</v>
      </c>
      <c r="X184">
        <v>1082.67</v>
      </c>
      <c r="Y184">
        <v>657.38</v>
      </c>
      <c r="Z184">
        <v>27.67</v>
      </c>
      <c r="AA184">
        <v>1.43</v>
      </c>
      <c r="AB184">
        <v>4.7</v>
      </c>
      <c r="AC184">
        <v>64.010000000000005</v>
      </c>
      <c r="AD184">
        <v>680</v>
      </c>
      <c r="AE184">
        <v>5900</v>
      </c>
      <c r="AF184">
        <v>70.33</v>
      </c>
      <c r="AG184">
        <v>0.59</v>
      </c>
      <c r="AH184">
        <v>14.31</v>
      </c>
      <c r="AI184">
        <v>235.41</v>
      </c>
      <c r="AJ184">
        <v>60</v>
      </c>
      <c r="AK184">
        <v>9</v>
      </c>
      <c r="AL184">
        <v>9</v>
      </c>
      <c r="AM184">
        <v>0.13</v>
      </c>
      <c r="AN184">
        <v>408</v>
      </c>
      <c r="AO184">
        <v>409.2</v>
      </c>
      <c r="AP184">
        <v>297074.15000000002</v>
      </c>
      <c r="AQ184">
        <v>297074.15000000002</v>
      </c>
      <c r="AR184" t="s">
        <v>1091</v>
      </c>
      <c r="AT184" s="6">
        <f t="shared" si="11"/>
        <v>0</v>
      </c>
    </row>
    <row r="185" spans="1:46" x14ac:dyDescent="0.55000000000000004">
      <c r="A185">
        <v>19.920000000000002</v>
      </c>
      <c r="B185">
        <v>27.63</v>
      </c>
      <c r="C185">
        <v>4890.2</v>
      </c>
      <c r="D185">
        <v>7.56</v>
      </c>
      <c r="E185" t="s">
        <v>2017</v>
      </c>
      <c r="F185" t="s">
        <v>2083</v>
      </c>
      <c r="G185" t="s">
        <v>2130</v>
      </c>
      <c r="H185" t="s">
        <v>2176</v>
      </c>
      <c r="I185">
        <v>0</v>
      </c>
      <c r="J185">
        <v>799.84</v>
      </c>
      <c r="K185">
        <f t="shared" si="8"/>
        <v>55.46</v>
      </c>
      <c r="L185">
        <f t="shared" si="9"/>
        <v>61.1</v>
      </c>
      <c r="M185">
        <f t="shared" si="10"/>
        <v>-5.6400000000000006</v>
      </c>
      <c r="N185">
        <v>7.29</v>
      </c>
      <c r="O185">
        <v>82.04</v>
      </c>
      <c r="P185">
        <v>52</v>
      </c>
      <c r="Q185">
        <v>21.5</v>
      </c>
      <c r="R185">
        <v>7.71</v>
      </c>
      <c r="S185">
        <v>15.27</v>
      </c>
      <c r="T185">
        <v>4.66</v>
      </c>
      <c r="U185">
        <v>6.11</v>
      </c>
      <c r="V185">
        <v>3129.73</v>
      </c>
      <c r="W185">
        <v>931.57</v>
      </c>
      <c r="X185">
        <v>1108.26</v>
      </c>
      <c r="Y185">
        <v>666.23</v>
      </c>
      <c r="Z185">
        <v>7.26</v>
      </c>
      <c r="AA185">
        <v>1.44</v>
      </c>
      <c r="AB185">
        <v>4.68</v>
      </c>
      <c r="AC185">
        <v>62.34</v>
      </c>
      <c r="AD185">
        <v>680</v>
      </c>
      <c r="AE185">
        <v>5900</v>
      </c>
      <c r="AF185">
        <v>69.56</v>
      </c>
      <c r="AG185">
        <v>0.59</v>
      </c>
      <c r="AH185">
        <v>13.6</v>
      </c>
      <c r="AI185">
        <v>61.7</v>
      </c>
      <c r="AJ185">
        <v>60</v>
      </c>
      <c r="AK185">
        <v>9</v>
      </c>
      <c r="AL185">
        <v>9</v>
      </c>
      <c r="AM185">
        <v>0.51</v>
      </c>
      <c r="AN185">
        <v>408</v>
      </c>
      <c r="AO185">
        <v>412.58</v>
      </c>
      <c r="AP185">
        <v>296755.65000000002</v>
      </c>
      <c r="AQ185">
        <v>289490.64</v>
      </c>
      <c r="AR185" t="s">
        <v>1092</v>
      </c>
      <c r="AT185" s="6">
        <f t="shared" si="11"/>
        <v>0.41466952054794576</v>
      </c>
    </row>
    <row r="186" spans="1:46" x14ac:dyDescent="0.55000000000000004">
      <c r="A186">
        <v>20.239999999999998</v>
      </c>
      <c r="B186">
        <v>28.04</v>
      </c>
      <c r="C186">
        <v>4850</v>
      </c>
      <c r="D186">
        <v>7.57</v>
      </c>
      <c r="E186" t="s">
        <v>2018</v>
      </c>
      <c r="F186" t="s">
        <v>2084</v>
      </c>
      <c r="G186" t="s">
        <v>2131</v>
      </c>
      <c r="H186" t="s">
        <v>898</v>
      </c>
      <c r="I186">
        <v>0</v>
      </c>
      <c r="J186">
        <v>853.14</v>
      </c>
      <c r="K186">
        <f t="shared" si="8"/>
        <v>56.879999999999995</v>
      </c>
      <c r="L186">
        <f t="shared" si="9"/>
        <v>56.879999999999995</v>
      </c>
      <c r="M186">
        <f t="shared" si="10"/>
        <v>0</v>
      </c>
      <c r="N186">
        <v>7.31</v>
      </c>
      <c r="O186">
        <v>82.02</v>
      </c>
      <c r="P186">
        <v>45</v>
      </c>
      <c r="Q186">
        <v>23.5</v>
      </c>
      <c r="R186">
        <v>7.8</v>
      </c>
      <c r="S186">
        <v>15.95</v>
      </c>
      <c r="T186">
        <v>4.29</v>
      </c>
      <c r="U186">
        <v>5.68</v>
      </c>
      <c r="V186">
        <v>3104</v>
      </c>
      <c r="W186">
        <v>920.95</v>
      </c>
      <c r="X186">
        <v>1071.3800000000001</v>
      </c>
      <c r="Y186">
        <v>653.16999999999996</v>
      </c>
      <c r="Z186">
        <v>28.46</v>
      </c>
      <c r="AA186">
        <v>1.43</v>
      </c>
      <c r="AB186">
        <v>4.7</v>
      </c>
      <c r="AC186">
        <v>64.510000000000005</v>
      </c>
      <c r="AD186">
        <v>680</v>
      </c>
      <c r="AE186">
        <v>5900</v>
      </c>
      <c r="AF186">
        <v>70.42</v>
      </c>
      <c r="AG186">
        <v>0.59</v>
      </c>
      <c r="AH186">
        <v>15.03</v>
      </c>
      <c r="AI186">
        <v>235.76</v>
      </c>
      <c r="AJ186">
        <v>60</v>
      </c>
      <c r="AK186">
        <v>9</v>
      </c>
      <c r="AL186">
        <v>9</v>
      </c>
      <c r="AM186">
        <v>0.13</v>
      </c>
      <c r="AN186">
        <v>408</v>
      </c>
      <c r="AO186">
        <v>409.2</v>
      </c>
      <c r="AP186">
        <v>292934.96000000002</v>
      </c>
      <c r="AQ186">
        <v>292934.96000000002</v>
      </c>
      <c r="AR186" t="s">
        <v>1093</v>
      </c>
      <c r="AT186" s="6">
        <f t="shared" si="11"/>
        <v>0</v>
      </c>
    </row>
    <row r="187" spans="1:46" x14ac:dyDescent="0.55000000000000004">
      <c r="A187">
        <v>19.079999999999998</v>
      </c>
      <c r="B187">
        <v>27.3</v>
      </c>
      <c r="C187">
        <v>4757.8</v>
      </c>
      <c r="D187">
        <v>7.56</v>
      </c>
      <c r="E187" t="s">
        <v>2019</v>
      </c>
      <c r="F187" t="s">
        <v>2085</v>
      </c>
      <c r="G187" t="s">
        <v>2132</v>
      </c>
      <c r="H187" t="s">
        <v>898</v>
      </c>
      <c r="I187">
        <v>0</v>
      </c>
      <c r="J187">
        <v>907.85</v>
      </c>
      <c r="K187">
        <f t="shared" si="8"/>
        <v>56.71</v>
      </c>
      <c r="L187">
        <f t="shared" si="9"/>
        <v>56.71</v>
      </c>
      <c r="M187">
        <f t="shared" si="10"/>
        <v>0</v>
      </c>
      <c r="N187">
        <v>7.3</v>
      </c>
      <c r="O187">
        <v>81.900000000000006</v>
      </c>
      <c r="P187">
        <v>42</v>
      </c>
      <c r="Q187">
        <v>21.6</v>
      </c>
      <c r="R187">
        <v>8.2200000000000006</v>
      </c>
      <c r="S187">
        <v>13.92</v>
      </c>
      <c r="T187">
        <v>5.16</v>
      </c>
      <c r="U187">
        <v>5.24</v>
      </c>
      <c r="V187">
        <v>3044.99</v>
      </c>
      <c r="W187">
        <v>898.55</v>
      </c>
      <c r="X187">
        <v>1009.92</v>
      </c>
      <c r="Y187">
        <v>628.76</v>
      </c>
      <c r="Z187">
        <v>28.38</v>
      </c>
      <c r="AA187">
        <v>1.37</v>
      </c>
      <c r="AB187">
        <v>4.82</v>
      </c>
      <c r="AC187">
        <v>61.41</v>
      </c>
      <c r="AD187">
        <v>680</v>
      </c>
      <c r="AE187">
        <v>5900</v>
      </c>
      <c r="AF187">
        <v>74.180000000000007</v>
      </c>
      <c r="AG187">
        <v>0.59</v>
      </c>
      <c r="AH187">
        <v>17.489999999999998</v>
      </c>
      <c r="AI187">
        <v>235.79</v>
      </c>
      <c r="AJ187">
        <v>60</v>
      </c>
      <c r="AK187">
        <v>9</v>
      </c>
      <c r="AL187">
        <v>9</v>
      </c>
      <c r="AM187">
        <v>0.13</v>
      </c>
      <c r="AN187">
        <v>408</v>
      </c>
      <c r="AO187">
        <v>409.2</v>
      </c>
      <c r="AP187">
        <v>293122.01</v>
      </c>
      <c r="AQ187">
        <v>293122.01</v>
      </c>
      <c r="AR187" t="s">
        <v>1094</v>
      </c>
      <c r="AT187" s="6">
        <f t="shared" si="11"/>
        <v>0</v>
      </c>
    </row>
    <row r="188" spans="1:46" x14ac:dyDescent="0.55000000000000004">
      <c r="A188">
        <v>19.62</v>
      </c>
      <c r="B188">
        <v>27.58</v>
      </c>
      <c r="C188">
        <v>4767.8</v>
      </c>
      <c r="D188">
        <v>7.56</v>
      </c>
      <c r="E188" t="s">
        <v>2020</v>
      </c>
      <c r="F188" t="s">
        <v>2086</v>
      </c>
      <c r="G188" t="s">
        <v>2133</v>
      </c>
      <c r="H188" t="s">
        <v>898</v>
      </c>
      <c r="I188">
        <v>0</v>
      </c>
      <c r="J188">
        <v>921.18</v>
      </c>
      <c r="K188">
        <f t="shared" si="8"/>
        <v>55.43</v>
      </c>
      <c r="L188">
        <f t="shared" si="9"/>
        <v>55.43</v>
      </c>
      <c r="M188">
        <f t="shared" si="10"/>
        <v>0</v>
      </c>
      <c r="N188">
        <v>7.28</v>
      </c>
      <c r="O188">
        <v>82.05</v>
      </c>
      <c r="P188">
        <v>40</v>
      </c>
      <c r="Q188">
        <v>23.1</v>
      </c>
      <c r="R188">
        <v>7.96</v>
      </c>
      <c r="S188">
        <v>14.84</v>
      </c>
      <c r="T188">
        <v>4.78</v>
      </c>
      <c r="U188">
        <v>5.18</v>
      </c>
      <c r="V188">
        <v>3051.39</v>
      </c>
      <c r="W188">
        <v>898.19</v>
      </c>
      <c r="X188">
        <v>994.44</v>
      </c>
      <c r="Y188">
        <v>624.70000000000005</v>
      </c>
      <c r="Z188">
        <v>27.66</v>
      </c>
      <c r="AA188">
        <v>1.37</v>
      </c>
      <c r="AB188">
        <v>4.82</v>
      </c>
      <c r="AC188">
        <v>62.45</v>
      </c>
      <c r="AD188">
        <v>680</v>
      </c>
      <c r="AE188">
        <v>5900</v>
      </c>
      <c r="AF188">
        <v>71.849999999999994</v>
      </c>
      <c r="AG188">
        <v>0.59</v>
      </c>
      <c r="AH188">
        <v>17.21</v>
      </c>
      <c r="AI188">
        <v>235.17</v>
      </c>
      <c r="AJ188">
        <v>60</v>
      </c>
      <c r="AK188">
        <v>9</v>
      </c>
      <c r="AL188">
        <v>9</v>
      </c>
      <c r="AM188">
        <v>0.13</v>
      </c>
      <c r="AN188">
        <v>408</v>
      </c>
      <c r="AO188">
        <v>409.2</v>
      </c>
      <c r="AP188">
        <v>293349.93</v>
      </c>
      <c r="AQ188">
        <v>293349.93</v>
      </c>
      <c r="AR188" t="s">
        <v>1095</v>
      </c>
      <c r="AT188" s="6">
        <f t="shared" si="11"/>
        <v>0</v>
      </c>
    </row>
    <row r="189" spans="1:46" x14ac:dyDescent="0.55000000000000004">
      <c r="A189">
        <v>19.760000000000002</v>
      </c>
      <c r="B189">
        <v>27.67</v>
      </c>
      <c r="C189">
        <v>4766.6000000000004</v>
      </c>
      <c r="D189">
        <v>7.56</v>
      </c>
      <c r="E189" t="s">
        <v>2021</v>
      </c>
      <c r="F189" t="s">
        <v>2087</v>
      </c>
      <c r="G189" t="s">
        <v>2134</v>
      </c>
      <c r="H189" t="s">
        <v>898</v>
      </c>
      <c r="I189">
        <v>0</v>
      </c>
      <c r="J189">
        <v>895.98</v>
      </c>
      <c r="K189">
        <f t="shared" si="8"/>
        <v>59.019999999999996</v>
      </c>
      <c r="L189">
        <f t="shared" si="9"/>
        <v>59.019999999999996</v>
      </c>
      <c r="M189">
        <f t="shared" si="10"/>
        <v>0</v>
      </c>
      <c r="N189">
        <v>7.31</v>
      </c>
      <c r="O189">
        <v>82.01</v>
      </c>
      <c r="P189">
        <v>40</v>
      </c>
      <c r="Q189">
        <v>23.8</v>
      </c>
      <c r="R189">
        <v>7.91</v>
      </c>
      <c r="S189">
        <v>15.41</v>
      </c>
      <c r="T189">
        <v>4.3499999999999996</v>
      </c>
      <c r="U189">
        <v>5.32</v>
      </c>
      <c r="V189">
        <v>3050.62</v>
      </c>
      <c r="W189">
        <v>901.5</v>
      </c>
      <c r="X189">
        <v>1022.29</v>
      </c>
      <c r="Y189">
        <v>633.04</v>
      </c>
      <c r="Z189">
        <v>29.56</v>
      </c>
      <c r="AA189">
        <v>1.38</v>
      </c>
      <c r="AB189">
        <v>4.79</v>
      </c>
      <c r="AC189">
        <v>64.489999999999995</v>
      </c>
      <c r="AD189">
        <v>680</v>
      </c>
      <c r="AE189">
        <v>5900</v>
      </c>
      <c r="AF189">
        <v>71.39</v>
      </c>
      <c r="AG189">
        <v>0.59</v>
      </c>
      <c r="AH189">
        <v>16.53</v>
      </c>
      <c r="AI189">
        <v>236.02</v>
      </c>
      <c r="AJ189">
        <v>60</v>
      </c>
      <c r="AK189">
        <v>9</v>
      </c>
      <c r="AL189">
        <v>9</v>
      </c>
      <c r="AM189">
        <v>0.13</v>
      </c>
      <c r="AN189">
        <v>408</v>
      </c>
      <c r="AO189">
        <v>409.2</v>
      </c>
      <c r="AP189">
        <v>302422.84000000003</v>
      </c>
      <c r="AQ189">
        <v>302422.84000000003</v>
      </c>
      <c r="AR189" t="s">
        <v>1096</v>
      </c>
      <c r="AT189" s="6">
        <f t="shared" si="11"/>
        <v>0</v>
      </c>
    </row>
    <row r="190" spans="1:46" x14ac:dyDescent="0.55000000000000004">
      <c r="A190">
        <v>19.55</v>
      </c>
      <c r="B190">
        <v>27.37</v>
      </c>
      <c r="C190">
        <v>4937.7</v>
      </c>
      <c r="D190">
        <v>7.56</v>
      </c>
      <c r="E190" t="s">
        <v>2022</v>
      </c>
      <c r="F190" t="s">
        <v>1446</v>
      </c>
      <c r="G190" t="s">
        <v>1747</v>
      </c>
      <c r="H190" t="s">
        <v>898</v>
      </c>
      <c r="I190">
        <v>0</v>
      </c>
      <c r="J190">
        <v>646.98</v>
      </c>
      <c r="K190">
        <f t="shared" si="8"/>
        <v>53.46</v>
      </c>
      <c r="L190">
        <f t="shared" si="9"/>
        <v>53.46</v>
      </c>
      <c r="M190">
        <f t="shared" si="10"/>
        <v>0</v>
      </c>
      <c r="N190">
        <v>7.29</v>
      </c>
      <c r="O190">
        <v>82.25</v>
      </c>
      <c r="P190">
        <v>56</v>
      </c>
      <c r="Q190">
        <v>20.100000000000001</v>
      </c>
      <c r="R190">
        <v>7.82</v>
      </c>
      <c r="S190">
        <v>14.58</v>
      </c>
      <c r="T190">
        <v>4.97</v>
      </c>
      <c r="U190">
        <v>7.63</v>
      </c>
      <c r="V190">
        <v>3160.13</v>
      </c>
      <c r="W190">
        <v>958.15</v>
      </c>
      <c r="X190">
        <v>1270.3599999999999</v>
      </c>
      <c r="Y190">
        <v>716.11</v>
      </c>
      <c r="Z190">
        <v>26.73</v>
      </c>
      <c r="AA190">
        <v>1.51</v>
      </c>
      <c r="AB190">
        <v>4.55</v>
      </c>
      <c r="AC190">
        <v>61.12</v>
      </c>
      <c r="AD190">
        <v>680</v>
      </c>
      <c r="AE190">
        <v>5900</v>
      </c>
      <c r="AF190">
        <v>70.56</v>
      </c>
      <c r="AG190">
        <v>0.59</v>
      </c>
      <c r="AH190">
        <v>10.64</v>
      </c>
      <c r="AI190">
        <v>235.68</v>
      </c>
      <c r="AJ190">
        <v>60</v>
      </c>
      <c r="AK190">
        <v>9</v>
      </c>
      <c r="AL190">
        <v>9</v>
      </c>
      <c r="AM190">
        <v>0.13</v>
      </c>
      <c r="AN190">
        <v>408</v>
      </c>
      <c r="AO190">
        <v>409.2</v>
      </c>
      <c r="AP190">
        <v>294968.24</v>
      </c>
      <c r="AQ190">
        <v>294968.24</v>
      </c>
      <c r="AR190" t="s">
        <v>1097</v>
      </c>
      <c r="AT190" s="6">
        <f t="shared" si="11"/>
        <v>0</v>
      </c>
    </row>
    <row r="191" spans="1:46" x14ac:dyDescent="0.55000000000000004">
      <c r="A191">
        <v>19.27</v>
      </c>
      <c r="B191">
        <v>27.37</v>
      </c>
      <c r="C191">
        <v>4774.3</v>
      </c>
      <c r="D191">
        <v>7.56</v>
      </c>
      <c r="E191" t="s">
        <v>2023</v>
      </c>
      <c r="F191" t="s">
        <v>1362</v>
      </c>
      <c r="G191" t="s">
        <v>2135</v>
      </c>
      <c r="H191" t="s">
        <v>898</v>
      </c>
      <c r="I191">
        <v>0</v>
      </c>
      <c r="J191">
        <v>948.62</v>
      </c>
      <c r="K191">
        <f t="shared" si="8"/>
        <v>55.58</v>
      </c>
      <c r="L191">
        <f t="shared" si="9"/>
        <v>55.58</v>
      </c>
      <c r="M191">
        <f t="shared" si="10"/>
        <v>0</v>
      </c>
      <c r="N191">
        <v>7.27</v>
      </c>
      <c r="O191">
        <v>81.99</v>
      </c>
      <c r="P191">
        <v>41</v>
      </c>
      <c r="Q191">
        <v>22.1</v>
      </c>
      <c r="R191">
        <v>8.11</v>
      </c>
      <c r="S191">
        <v>14.18</v>
      </c>
      <c r="T191">
        <v>5.09</v>
      </c>
      <c r="U191">
        <v>5.03</v>
      </c>
      <c r="V191">
        <v>3055.55</v>
      </c>
      <c r="W191">
        <v>896.88</v>
      </c>
      <c r="X191">
        <v>974.93</v>
      </c>
      <c r="Y191">
        <v>619.39</v>
      </c>
      <c r="Z191">
        <v>27.76</v>
      </c>
      <c r="AA191">
        <v>1.35</v>
      </c>
      <c r="AB191">
        <v>4.8499999999999996</v>
      </c>
      <c r="AC191">
        <v>61.45</v>
      </c>
      <c r="AD191">
        <v>680</v>
      </c>
      <c r="AE191">
        <v>5900</v>
      </c>
      <c r="AF191">
        <v>73.180000000000007</v>
      </c>
      <c r="AG191">
        <v>0.59</v>
      </c>
      <c r="AH191">
        <v>18.149999999999999</v>
      </c>
      <c r="AI191">
        <v>235.43</v>
      </c>
      <c r="AJ191">
        <v>60</v>
      </c>
      <c r="AK191">
        <v>9</v>
      </c>
      <c r="AL191">
        <v>9</v>
      </c>
      <c r="AM191">
        <v>0.13</v>
      </c>
      <c r="AN191">
        <v>408</v>
      </c>
      <c r="AO191">
        <v>409.2</v>
      </c>
      <c r="AP191">
        <v>296632.83</v>
      </c>
      <c r="AQ191">
        <v>296632.83</v>
      </c>
      <c r="AR191" t="s">
        <v>1098</v>
      </c>
      <c r="AT191" s="6">
        <f t="shared" si="11"/>
        <v>0</v>
      </c>
    </row>
    <row r="192" spans="1:46" x14ac:dyDescent="0.55000000000000004">
      <c r="A192">
        <v>20.05</v>
      </c>
      <c r="B192">
        <v>27.93</v>
      </c>
      <c r="C192">
        <v>4776.8999999999996</v>
      </c>
      <c r="D192">
        <v>7.56</v>
      </c>
      <c r="E192" t="s">
        <v>2024</v>
      </c>
      <c r="F192" t="s">
        <v>2088</v>
      </c>
      <c r="G192" t="s">
        <v>2136</v>
      </c>
      <c r="H192" t="s">
        <v>898</v>
      </c>
      <c r="I192">
        <v>0</v>
      </c>
      <c r="J192">
        <v>832.6</v>
      </c>
      <c r="K192">
        <f t="shared" si="8"/>
        <v>55.629999999999995</v>
      </c>
      <c r="L192">
        <f t="shared" si="9"/>
        <v>55.629999999999995</v>
      </c>
      <c r="M192">
        <f t="shared" si="10"/>
        <v>0</v>
      </c>
      <c r="N192">
        <v>7.29</v>
      </c>
      <c r="O192">
        <v>82.04</v>
      </c>
      <c r="P192">
        <v>38</v>
      </c>
      <c r="Q192">
        <v>24.8</v>
      </c>
      <c r="R192">
        <v>7.88</v>
      </c>
      <c r="S192">
        <v>15.88</v>
      </c>
      <c r="T192">
        <v>4.17</v>
      </c>
      <c r="U192">
        <v>5.74</v>
      </c>
      <c r="V192">
        <v>3057.22</v>
      </c>
      <c r="W192">
        <v>907.07</v>
      </c>
      <c r="X192">
        <v>1057.48</v>
      </c>
      <c r="Y192">
        <v>643.57000000000005</v>
      </c>
      <c r="Z192">
        <v>27.82</v>
      </c>
      <c r="AA192">
        <v>1.41</v>
      </c>
      <c r="AB192">
        <v>4.74</v>
      </c>
      <c r="AC192">
        <v>65.38</v>
      </c>
      <c r="AD192">
        <v>680</v>
      </c>
      <c r="AE192">
        <v>5900</v>
      </c>
      <c r="AF192">
        <v>71.12</v>
      </c>
      <c r="AG192">
        <v>0.59</v>
      </c>
      <c r="AH192">
        <v>15.01</v>
      </c>
      <c r="AI192">
        <v>235.69</v>
      </c>
      <c r="AJ192">
        <v>60</v>
      </c>
      <c r="AK192">
        <v>9</v>
      </c>
      <c r="AL192">
        <v>9</v>
      </c>
      <c r="AM192">
        <v>0.13</v>
      </c>
      <c r="AN192">
        <v>408</v>
      </c>
      <c r="AO192">
        <v>409.2</v>
      </c>
      <c r="AP192">
        <v>296270.52</v>
      </c>
      <c r="AQ192">
        <v>296270.52</v>
      </c>
      <c r="AR192" t="s">
        <v>1099</v>
      </c>
      <c r="AT192" s="6">
        <f t="shared" si="11"/>
        <v>0</v>
      </c>
    </row>
    <row r="193" spans="1:46" x14ac:dyDescent="0.55000000000000004">
      <c r="A193">
        <v>19.440000000000001</v>
      </c>
      <c r="B193">
        <v>27.26</v>
      </c>
      <c r="C193">
        <v>4953.5</v>
      </c>
      <c r="D193">
        <v>7.56</v>
      </c>
      <c r="E193" t="s">
        <v>2025</v>
      </c>
      <c r="F193" t="s">
        <v>1414</v>
      </c>
      <c r="G193" t="s">
        <v>1747</v>
      </c>
      <c r="H193" t="s">
        <v>898</v>
      </c>
      <c r="I193">
        <v>0</v>
      </c>
      <c r="J193">
        <v>590.5</v>
      </c>
      <c r="K193">
        <f t="shared" si="8"/>
        <v>50.269999999999996</v>
      </c>
      <c r="L193">
        <f t="shared" si="9"/>
        <v>50.269999999999996</v>
      </c>
      <c r="M193">
        <f t="shared" si="10"/>
        <v>0</v>
      </c>
      <c r="N193">
        <v>7.26</v>
      </c>
      <c r="O193">
        <v>82.03</v>
      </c>
      <c r="P193">
        <v>56</v>
      </c>
      <c r="Q193">
        <v>19.7</v>
      </c>
      <c r="R193">
        <v>7.83</v>
      </c>
      <c r="S193">
        <v>14.23</v>
      </c>
      <c r="T193">
        <v>5.21</v>
      </c>
      <c r="U193">
        <v>8.39</v>
      </c>
      <c r="V193">
        <v>3170.24</v>
      </c>
      <c r="W193">
        <v>966.46</v>
      </c>
      <c r="X193">
        <v>1324.5</v>
      </c>
      <c r="Y193">
        <v>731.9</v>
      </c>
      <c r="Z193">
        <v>25.13</v>
      </c>
      <c r="AA193">
        <v>1.52</v>
      </c>
      <c r="AB193">
        <v>4.5199999999999996</v>
      </c>
      <c r="AC193">
        <v>60.03</v>
      </c>
      <c r="AD193">
        <v>680</v>
      </c>
      <c r="AE193">
        <v>5900</v>
      </c>
      <c r="AF193">
        <v>70.650000000000006</v>
      </c>
      <c r="AG193">
        <v>0.59</v>
      </c>
      <c r="AH193">
        <v>9.56</v>
      </c>
      <c r="AI193">
        <v>235.57</v>
      </c>
      <c r="AJ193">
        <v>60</v>
      </c>
      <c r="AK193">
        <v>9</v>
      </c>
      <c r="AL193">
        <v>9</v>
      </c>
      <c r="AM193">
        <v>0.13</v>
      </c>
      <c r="AN193">
        <v>408</v>
      </c>
      <c r="AO193">
        <v>409.2</v>
      </c>
      <c r="AP193">
        <v>292061.25</v>
      </c>
      <c r="AQ193">
        <v>292061.25</v>
      </c>
      <c r="AR193" t="s">
        <v>1100</v>
      </c>
      <c r="AT193" s="6">
        <f t="shared" si="11"/>
        <v>0</v>
      </c>
    </row>
    <row r="194" spans="1:46" x14ac:dyDescent="0.55000000000000004">
      <c r="A194">
        <v>20.309999999999999</v>
      </c>
      <c r="B194">
        <v>28.11</v>
      </c>
      <c r="C194">
        <v>4798.5</v>
      </c>
      <c r="D194">
        <v>7.56</v>
      </c>
      <c r="E194" t="s">
        <v>2026</v>
      </c>
      <c r="F194" t="s">
        <v>2089</v>
      </c>
      <c r="G194" t="s">
        <v>2131</v>
      </c>
      <c r="H194" t="s">
        <v>898</v>
      </c>
      <c r="I194">
        <v>0</v>
      </c>
      <c r="J194">
        <v>842.33</v>
      </c>
      <c r="K194">
        <f t="shared" si="8"/>
        <v>57.68</v>
      </c>
      <c r="L194">
        <f t="shared" si="9"/>
        <v>57.68</v>
      </c>
      <c r="M194">
        <f t="shared" si="10"/>
        <v>0</v>
      </c>
      <c r="N194">
        <v>7.3</v>
      </c>
      <c r="O194">
        <v>82.05</v>
      </c>
      <c r="P194">
        <v>40</v>
      </c>
      <c r="Q194">
        <v>25</v>
      </c>
      <c r="R194">
        <v>7.8</v>
      </c>
      <c r="S194">
        <v>16.38</v>
      </c>
      <c r="T194">
        <v>3.92</v>
      </c>
      <c r="U194">
        <v>5.7</v>
      </c>
      <c r="V194">
        <v>3071.04</v>
      </c>
      <c r="W194">
        <v>911.04</v>
      </c>
      <c r="X194">
        <v>1060.2</v>
      </c>
      <c r="Y194">
        <v>646.04999999999995</v>
      </c>
      <c r="Z194">
        <v>28.85</v>
      </c>
      <c r="AA194">
        <v>1.41</v>
      </c>
      <c r="AB194">
        <v>4.7300000000000004</v>
      </c>
      <c r="AC194">
        <v>66.55</v>
      </c>
      <c r="AD194">
        <v>680</v>
      </c>
      <c r="AE194">
        <v>5900</v>
      </c>
      <c r="AF194">
        <v>70.45</v>
      </c>
      <c r="AG194">
        <v>0.59</v>
      </c>
      <c r="AH194">
        <v>15</v>
      </c>
      <c r="AI194">
        <v>235.74</v>
      </c>
      <c r="AJ194">
        <v>60</v>
      </c>
      <c r="AK194">
        <v>9</v>
      </c>
      <c r="AL194">
        <v>9</v>
      </c>
      <c r="AM194">
        <v>0.13</v>
      </c>
      <c r="AN194">
        <v>408</v>
      </c>
      <c r="AO194">
        <v>409.2</v>
      </c>
      <c r="AP194">
        <v>302530.95</v>
      </c>
      <c r="AQ194">
        <v>302530.95</v>
      </c>
      <c r="AR194" t="s">
        <v>1101</v>
      </c>
      <c r="AT194" s="6">
        <f t="shared" si="11"/>
        <v>0</v>
      </c>
    </row>
    <row r="195" spans="1:46" x14ac:dyDescent="0.55000000000000004">
      <c r="A195">
        <v>20.3</v>
      </c>
      <c r="B195">
        <v>28.09</v>
      </c>
      <c r="C195">
        <v>4830.2</v>
      </c>
      <c r="D195">
        <v>7.56</v>
      </c>
      <c r="E195" t="s">
        <v>2027</v>
      </c>
      <c r="F195" t="s">
        <v>2090</v>
      </c>
      <c r="G195" t="s">
        <v>1672</v>
      </c>
      <c r="H195" t="s">
        <v>898</v>
      </c>
      <c r="I195">
        <v>0</v>
      </c>
      <c r="J195">
        <v>850.39</v>
      </c>
      <c r="K195">
        <f t="shared" ref="K195:K251" si="12">IF(E195=0,0,
VALUE(MID(E195,2,FIND(",",E195)-2))+
VALUE(MID(F195,2,FIND(",",F195)-2))+
VALUE(MID(G195,2,FIND(",",G195)-2))
)</f>
        <v>56.459999999999994</v>
      </c>
      <c r="L195">
        <f t="shared" ref="L195:L251" si="13">IF(E195=0,0,
VALUE(MID(E195,FIND(",",E195)+1,FIND("]",E195)-FIND(",",E195)-1))+
VALUE(MID(F195,FIND(",",F195)+1,FIND("]",F195)-FIND(",",F195)-1))+
VALUE(MID(G195,FIND(",",G195)+1,FIND("]",G195)-FIND(",",G195)-1))
)</f>
        <v>56.459999999999994</v>
      </c>
      <c r="M195">
        <f t="shared" ref="M195:M251" si="14">(K195-L195)</f>
        <v>0</v>
      </c>
      <c r="N195">
        <v>7.28</v>
      </c>
      <c r="O195">
        <v>81.98</v>
      </c>
      <c r="P195">
        <v>43</v>
      </c>
      <c r="Q195">
        <v>24.3</v>
      </c>
      <c r="R195">
        <v>7.79</v>
      </c>
      <c r="S195">
        <v>16.3</v>
      </c>
      <c r="T195">
        <v>4</v>
      </c>
      <c r="U195">
        <v>5.68</v>
      </c>
      <c r="V195">
        <v>3091.33</v>
      </c>
      <c r="W195">
        <v>915.29</v>
      </c>
      <c r="X195">
        <v>1053.51</v>
      </c>
      <c r="Y195">
        <v>646.12</v>
      </c>
      <c r="Z195">
        <v>28.24</v>
      </c>
      <c r="AA195">
        <v>1.42</v>
      </c>
      <c r="AB195">
        <v>4.72</v>
      </c>
      <c r="AC195">
        <v>66.09</v>
      </c>
      <c r="AD195">
        <v>680</v>
      </c>
      <c r="AE195">
        <v>5900</v>
      </c>
      <c r="AF195">
        <v>70.34</v>
      </c>
      <c r="AG195">
        <v>0.59</v>
      </c>
      <c r="AH195">
        <v>15.03</v>
      </c>
      <c r="AI195">
        <v>235.68</v>
      </c>
      <c r="AJ195">
        <v>60</v>
      </c>
      <c r="AK195">
        <v>9</v>
      </c>
      <c r="AL195">
        <v>9</v>
      </c>
      <c r="AM195">
        <v>0.13</v>
      </c>
      <c r="AN195">
        <v>408</v>
      </c>
      <c r="AO195">
        <v>409.2</v>
      </c>
      <c r="AP195">
        <v>301578.81</v>
      </c>
      <c r="AQ195">
        <v>301578.81</v>
      </c>
      <c r="AR195" t="s">
        <v>1102</v>
      </c>
      <c r="AT195" s="6">
        <f t="shared" ref="AT195:AT251" si="15">(AP195-AQ195)/(365*24*2)</f>
        <v>0</v>
      </c>
    </row>
    <row r="196" spans="1:46" x14ac:dyDescent="0.55000000000000004">
      <c r="A196">
        <v>19.89</v>
      </c>
      <c r="B196">
        <v>27.79</v>
      </c>
      <c r="C196">
        <v>4761.6000000000004</v>
      </c>
      <c r="D196">
        <v>7.56</v>
      </c>
      <c r="E196" t="s">
        <v>2028</v>
      </c>
      <c r="F196" t="s">
        <v>2091</v>
      </c>
      <c r="G196" t="s">
        <v>2137</v>
      </c>
      <c r="H196" t="s">
        <v>898</v>
      </c>
      <c r="I196">
        <v>0</v>
      </c>
      <c r="J196">
        <v>860.56</v>
      </c>
      <c r="K196">
        <f t="shared" si="12"/>
        <v>57.650000000000006</v>
      </c>
      <c r="L196">
        <f t="shared" si="13"/>
        <v>57.650000000000006</v>
      </c>
      <c r="M196">
        <f t="shared" si="14"/>
        <v>0</v>
      </c>
      <c r="N196">
        <v>7.31</v>
      </c>
      <c r="O196">
        <v>82.04</v>
      </c>
      <c r="P196">
        <v>39</v>
      </c>
      <c r="Q196">
        <v>24.2</v>
      </c>
      <c r="R196">
        <v>7.91</v>
      </c>
      <c r="S196">
        <v>15.57</v>
      </c>
      <c r="T196">
        <v>4.32</v>
      </c>
      <c r="U196">
        <v>5.53</v>
      </c>
      <c r="V196">
        <v>3047.42</v>
      </c>
      <c r="W196">
        <v>903.55</v>
      </c>
      <c r="X196">
        <v>1046.5999999999999</v>
      </c>
      <c r="Y196">
        <v>639.75</v>
      </c>
      <c r="Z196">
        <v>28.8</v>
      </c>
      <c r="AA196">
        <v>1.4</v>
      </c>
      <c r="AB196">
        <v>4.76</v>
      </c>
      <c r="AC196">
        <v>64.69</v>
      </c>
      <c r="AD196">
        <v>680</v>
      </c>
      <c r="AE196">
        <v>5900</v>
      </c>
      <c r="AF196">
        <v>71.39</v>
      </c>
      <c r="AG196">
        <v>0.59</v>
      </c>
      <c r="AH196">
        <v>15.75</v>
      </c>
      <c r="AI196">
        <v>235.42</v>
      </c>
      <c r="AJ196">
        <v>60</v>
      </c>
      <c r="AK196">
        <v>9</v>
      </c>
      <c r="AL196">
        <v>9</v>
      </c>
      <c r="AM196">
        <v>0.13</v>
      </c>
      <c r="AN196">
        <v>408</v>
      </c>
      <c r="AO196">
        <v>409.2</v>
      </c>
      <c r="AP196">
        <v>296273.15999999997</v>
      </c>
      <c r="AQ196">
        <v>296273.15999999997</v>
      </c>
      <c r="AR196" t="s">
        <v>1103</v>
      </c>
      <c r="AT196" s="6">
        <f t="shared" si="15"/>
        <v>0</v>
      </c>
    </row>
    <row r="197" spans="1:46" x14ac:dyDescent="0.55000000000000004">
      <c r="A197">
        <v>20.149999999999999</v>
      </c>
      <c r="B197">
        <v>28.02</v>
      </c>
      <c r="C197">
        <v>4780.1000000000004</v>
      </c>
      <c r="D197">
        <v>7.55</v>
      </c>
      <c r="E197" t="s">
        <v>2029</v>
      </c>
      <c r="F197" t="s">
        <v>2092</v>
      </c>
      <c r="G197" t="s">
        <v>2138</v>
      </c>
      <c r="H197" t="s">
        <v>898</v>
      </c>
      <c r="I197">
        <v>0</v>
      </c>
      <c r="J197">
        <v>854.97</v>
      </c>
      <c r="K197">
        <f t="shared" si="12"/>
        <v>57.44</v>
      </c>
      <c r="L197">
        <f t="shared" si="13"/>
        <v>57.44</v>
      </c>
      <c r="M197">
        <f t="shared" si="14"/>
        <v>0</v>
      </c>
      <c r="N197">
        <v>7.3</v>
      </c>
      <c r="O197">
        <v>81.96</v>
      </c>
      <c r="P197">
        <v>38</v>
      </c>
      <c r="Q197">
        <v>24.9</v>
      </c>
      <c r="R197">
        <v>7.87</v>
      </c>
      <c r="S197">
        <v>15.96</v>
      </c>
      <c r="T197">
        <v>4.1900000000000004</v>
      </c>
      <c r="U197">
        <v>5.59</v>
      </c>
      <c r="V197">
        <v>3059.26</v>
      </c>
      <c r="W197">
        <v>907.05</v>
      </c>
      <c r="X197">
        <v>1051.19</v>
      </c>
      <c r="Y197">
        <v>642.28</v>
      </c>
      <c r="Z197">
        <v>28.75</v>
      </c>
      <c r="AA197">
        <v>1.4</v>
      </c>
      <c r="AB197">
        <v>4.75</v>
      </c>
      <c r="AC197">
        <v>65.290000000000006</v>
      </c>
      <c r="AD197">
        <v>680</v>
      </c>
      <c r="AE197">
        <v>5900</v>
      </c>
      <c r="AF197">
        <v>71.069999999999993</v>
      </c>
      <c r="AG197">
        <v>0.59</v>
      </c>
      <c r="AH197">
        <v>15.48</v>
      </c>
      <c r="AI197">
        <v>235.88</v>
      </c>
      <c r="AJ197">
        <v>60</v>
      </c>
      <c r="AK197">
        <v>9</v>
      </c>
      <c r="AL197">
        <v>9</v>
      </c>
      <c r="AM197">
        <v>0.13</v>
      </c>
      <c r="AN197">
        <v>408</v>
      </c>
      <c r="AO197">
        <v>409.2</v>
      </c>
      <c r="AP197">
        <v>297939</v>
      </c>
      <c r="AQ197">
        <v>297939</v>
      </c>
      <c r="AR197" t="s">
        <v>1104</v>
      </c>
      <c r="AT197" s="6">
        <f t="shared" si="15"/>
        <v>0</v>
      </c>
    </row>
    <row r="198" spans="1:46" x14ac:dyDescent="0.55000000000000004">
      <c r="A198">
        <v>20.39</v>
      </c>
      <c r="B198">
        <v>28.18</v>
      </c>
      <c r="C198">
        <v>4810.1000000000004</v>
      </c>
      <c r="D198">
        <v>7.56</v>
      </c>
      <c r="E198" t="s">
        <v>2030</v>
      </c>
      <c r="F198" t="s">
        <v>2093</v>
      </c>
      <c r="G198" t="s">
        <v>2139</v>
      </c>
      <c r="H198" t="s">
        <v>898</v>
      </c>
      <c r="I198">
        <v>0</v>
      </c>
      <c r="J198">
        <v>855.9</v>
      </c>
      <c r="K198">
        <f t="shared" si="12"/>
        <v>56.52</v>
      </c>
      <c r="L198">
        <f t="shared" si="13"/>
        <v>56.52</v>
      </c>
      <c r="M198">
        <f t="shared" si="14"/>
        <v>0</v>
      </c>
      <c r="N198">
        <v>7.3</v>
      </c>
      <c r="O198">
        <v>82.01</v>
      </c>
      <c r="P198">
        <v>41</v>
      </c>
      <c r="Q198">
        <v>24.8</v>
      </c>
      <c r="R198">
        <v>7.78</v>
      </c>
      <c r="S198">
        <v>16.39</v>
      </c>
      <c r="T198">
        <v>4</v>
      </c>
      <c r="U198">
        <v>5.62</v>
      </c>
      <c r="V198">
        <v>3078.46</v>
      </c>
      <c r="W198">
        <v>912.54</v>
      </c>
      <c r="X198">
        <v>1056.19</v>
      </c>
      <c r="Y198">
        <v>645.82000000000005</v>
      </c>
      <c r="Z198">
        <v>28.25</v>
      </c>
      <c r="AA198">
        <v>1.42</v>
      </c>
      <c r="AB198">
        <v>4.72</v>
      </c>
      <c r="AC198">
        <v>66.040000000000006</v>
      </c>
      <c r="AD198">
        <v>680</v>
      </c>
      <c r="AE198">
        <v>5900</v>
      </c>
      <c r="AF198">
        <v>70.27</v>
      </c>
      <c r="AG198">
        <v>0.59</v>
      </c>
      <c r="AH198">
        <v>15.21</v>
      </c>
      <c r="AI198">
        <v>235.54</v>
      </c>
      <c r="AJ198">
        <v>60</v>
      </c>
      <c r="AK198">
        <v>9</v>
      </c>
      <c r="AL198">
        <v>9</v>
      </c>
      <c r="AM198">
        <v>0.13</v>
      </c>
      <c r="AN198">
        <v>408</v>
      </c>
      <c r="AO198">
        <v>409.2</v>
      </c>
      <c r="AP198">
        <v>294111.57</v>
      </c>
      <c r="AQ198">
        <v>294111.57</v>
      </c>
      <c r="AR198" t="s">
        <v>1105</v>
      </c>
      <c r="AT198" s="6">
        <f t="shared" si="15"/>
        <v>0</v>
      </c>
    </row>
    <row r="199" spans="1:46" x14ac:dyDescent="0.55000000000000004">
      <c r="A199">
        <v>19.329999999999998</v>
      </c>
      <c r="B199">
        <v>27.19</v>
      </c>
      <c r="C199">
        <v>4953.7</v>
      </c>
      <c r="D199">
        <v>7.55</v>
      </c>
      <c r="E199" t="s">
        <v>2031</v>
      </c>
      <c r="F199" t="s">
        <v>1446</v>
      </c>
      <c r="G199" t="s">
        <v>2140</v>
      </c>
      <c r="H199" t="s">
        <v>898</v>
      </c>
      <c r="I199">
        <v>0</v>
      </c>
      <c r="J199">
        <v>658.99</v>
      </c>
      <c r="K199">
        <f t="shared" si="12"/>
        <v>54.210000000000008</v>
      </c>
      <c r="L199">
        <f t="shared" si="13"/>
        <v>54.210000000000008</v>
      </c>
      <c r="M199">
        <f t="shared" si="14"/>
        <v>0</v>
      </c>
      <c r="N199">
        <v>7.3</v>
      </c>
      <c r="O199">
        <v>81.93</v>
      </c>
      <c r="P199">
        <v>56</v>
      </c>
      <c r="Q199">
        <v>19.5</v>
      </c>
      <c r="R199">
        <v>7.86</v>
      </c>
      <c r="S199">
        <v>14.05</v>
      </c>
      <c r="T199">
        <v>5.28</v>
      </c>
      <c r="U199">
        <v>7.52</v>
      </c>
      <c r="V199">
        <v>3170.37</v>
      </c>
      <c r="W199">
        <v>960.29</v>
      </c>
      <c r="X199">
        <v>1265.1400000000001</v>
      </c>
      <c r="Y199">
        <v>715.93</v>
      </c>
      <c r="Z199">
        <v>27.11</v>
      </c>
      <c r="AA199">
        <v>1.49</v>
      </c>
      <c r="AB199">
        <v>4.58</v>
      </c>
      <c r="AC199">
        <v>59.79</v>
      </c>
      <c r="AD199">
        <v>680</v>
      </c>
      <c r="AE199">
        <v>5900</v>
      </c>
      <c r="AF199">
        <v>70.930000000000007</v>
      </c>
      <c r="AG199">
        <v>0.59</v>
      </c>
      <c r="AH199">
        <v>10.88</v>
      </c>
      <c r="AI199">
        <v>235.6</v>
      </c>
      <c r="AJ199">
        <v>60</v>
      </c>
      <c r="AK199">
        <v>9</v>
      </c>
      <c r="AL199">
        <v>9</v>
      </c>
      <c r="AM199">
        <v>0.13</v>
      </c>
      <c r="AN199">
        <v>408</v>
      </c>
      <c r="AO199">
        <v>409.2</v>
      </c>
      <c r="AP199">
        <v>295690.15999999997</v>
      </c>
      <c r="AQ199">
        <v>295690.15999999997</v>
      </c>
      <c r="AR199" t="s">
        <v>1106</v>
      </c>
      <c r="AT199" s="6">
        <f t="shared" si="15"/>
        <v>0</v>
      </c>
    </row>
    <row r="200" spans="1:46" x14ac:dyDescent="0.55000000000000004">
      <c r="A200">
        <v>19.48</v>
      </c>
      <c r="B200">
        <v>27.47</v>
      </c>
      <c r="C200">
        <v>4769.6000000000004</v>
      </c>
      <c r="D200">
        <v>7.56</v>
      </c>
      <c r="E200" t="s">
        <v>2032</v>
      </c>
      <c r="F200" t="s">
        <v>2094</v>
      </c>
      <c r="G200" t="s">
        <v>2141</v>
      </c>
      <c r="H200" t="s">
        <v>898</v>
      </c>
      <c r="I200">
        <v>0</v>
      </c>
      <c r="J200">
        <v>956.21</v>
      </c>
      <c r="K200">
        <f t="shared" si="12"/>
        <v>56.71</v>
      </c>
      <c r="L200">
        <f t="shared" si="13"/>
        <v>56.71</v>
      </c>
      <c r="M200">
        <f t="shared" si="14"/>
        <v>0</v>
      </c>
      <c r="N200">
        <v>7.27</v>
      </c>
      <c r="O200">
        <v>81.97</v>
      </c>
      <c r="P200">
        <v>41</v>
      </c>
      <c r="Q200">
        <v>22.8</v>
      </c>
      <c r="R200">
        <v>7.99</v>
      </c>
      <c r="S200">
        <v>14.75</v>
      </c>
      <c r="T200">
        <v>4.7300000000000004</v>
      </c>
      <c r="U200">
        <v>4.99</v>
      </c>
      <c r="V200">
        <v>3052.54</v>
      </c>
      <c r="W200">
        <v>895.68</v>
      </c>
      <c r="X200">
        <v>971.01</v>
      </c>
      <c r="Y200">
        <v>617.97</v>
      </c>
      <c r="Z200">
        <v>28.39</v>
      </c>
      <c r="AA200">
        <v>1.36</v>
      </c>
      <c r="AB200">
        <v>4.8499999999999996</v>
      </c>
      <c r="AC200">
        <v>62.8</v>
      </c>
      <c r="AD200">
        <v>680</v>
      </c>
      <c r="AE200">
        <v>5900</v>
      </c>
      <c r="AF200">
        <v>72.11</v>
      </c>
      <c r="AG200">
        <v>0.59</v>
      </c>
      <c r="AH200">
        <v>18.079999999999998</v>
      </c>
      <c r="AI200">
        <v>235.89</v>
      </c>
      <c r="AJ200">
        <v>60</v>
      </c>
      <c r="AK200">
        <v>9</v>
      </c>
      <c r="AL200">
        <v>9</v>
      </c>
      <c r="AM200">
        <v>0.13</v>
      </c>
      <c r="AN200">
        <v>408</v>
      </c>
      <c r="AO200">
        <v>409.2</v>
      </c>
      <c r="AP200">
        <v>300957.42</v>
      </c>
      <c r="AQ200">
        <v>300957.42</v>
      </c>
      <c r="AR200" t="s">
        <v>1107</v>
      </c>
      <c r="AT200" s="6">
        <f t="shared" si="15"/>
        <v>0</v>
      </c>
    </row>
    <row r="201" spans="1:46" x14ac:dyDescent="0.55000000000000004">
      <c r="A201">
        <v>19.89</v>
      </c>
      <c r="B201">
        <v>27.98</v>
      </c>
      <c r="C201">
        <v>4913.7</v>
      </c>
      <c r="D201">
        <v>7.55</v>
      </c>
      <c r="E201" t="s">
        <v>2033</v>
      </c>
      <c r="F201" t="s">
        <v>2095</v>
      </c>
      <c r="G201" t="s">
        <v>2142</v>
      </c>
      <c r="H201" t="s">
        <v>2177</v>
      </c>
      <c r="I201">
        <v>0</v>
      </c>
      <c r="J201">
        <v>744.67</v>
      </c>
      <c r="K201">
        <f t="shared" si="12"/>
        <v>51.61</v>
      </c>
      <c r="L201">
        <f t="shared" si="13"/>
        <v>56.7</v>
      </c>
      <c r="M201">
        <f t="shared" si="14"/>
        <v>-5.0900000000000034</v>
      </c>
      <c r="N201">
        <v>7.25</v>
      </c>
      <c r="O201">
        <v>82.06</v>
      </c>
      <c r="P201">
        <v>54</v>
      </c>
      <c r="Q201">
        <v>21</v>
      </c>
      <c r="R201">
        <v>8.09</v>
      </c>
      <c r="S201">
        <v>15.11</v>
      </c>
      <c r="T201">
        <v>4.79</v>
      </c>
      <c r="U201">
        <v>6.6</v>
      </c>
      <c r="V201">
        <v>3144.77</v>
      </c>
      <c r="W201">
        <v>938.25</v>
      </c>
      <c r="X201">
        <v>1137</v>
      </c>
      <c r="Y201">
        <v>675.35</v>
      </c>
      <c r="Z201">
        <v>7.28</v>
      </c>
      <c r="AA201">
        <v>1.45</v>
      </c>
      <c r="AB201">
        <v>4.66</v>
      </c>
      <c r="AC201">
        <v>62.83</v>
      </c>
      <c r="AD201">
        <v>680</v>
      </c>
      <c r="AE201">
        <v>5900</v>
      </c>
      <c r="AF201">
        <v>73.05</v>
      </c>
      <c r="AG201">
        <v>0.59</v>
      </c>
      <c r="AH201">
        <v>13.05</v>
      </c>
      <c r="AI201">
        <v>66.5</v>
      </c>
      <c r="AJ201">
        <v>60</v>
      </c>
      <c r="AK201">
        <v>9</v>
      </c>
      <c r="AL201">
        <v>9</v>
      </c>
      <c r="AM201">
        <v>0.47</v>
      </c>
      <c r="AN201">
        <v>408</v>
      </c>
      <c r="AO201">
        <v>412.25</v>
      </c>
      <c r="AP201">
        <v>293280.88</v>
      </c>
      <c r="AQ201">
        <v>261062.63</v>
      </c>
      <c r="AR201" t="s">
        <v>1108</v>
      </c>
      <c r="AT201" s="6">
        <f t="shared" si="15"/>
        <v>1.8389412100456621</v>
      </c>
    </row>
    <row r="202" spans="1:46" x14ac:dyDescent="0.55000000000000004">
      <c r="A202">
        <v>18.53</v>
      </c>
      <c r="B202">
        <v>26.46</v>
      </c>
      <c r="C202">
        <v>4994.3</v>
      </c>
      <c r="D202">
        <v>7.57</v>
      </c>
      <c r="E202" t="s">
        <v>2034</v>
      </c>
      <c r="F202" t="s">
        <v>2096</v>
      </c>
      <c r="G202" t="s">
        <v>2143</v>
      </c>
      <c r="H202" t="s">
        <v>2178</v>
      </c>
      <c r="I202">
        <v>0</v>
      </c>
      <c r="J202">
        <v>694.53</v>
      </c>
      <c r="K202">
        <f t="shared" si="12"/>
        <v>55.339999999999996</v>
      </c>
      <c r="L202">
        <f t="shared" si="13"/>
        <v>59.26</v>
      </c>
      <c r="M202">
        <f t="shared" si="14"/>
        <v>-3.9200000000000017</v>
      </c>
      <c r="N202">
        <v>7.31</v>
      </c>
      <c r="O202">
        <v>81.94</v>
      </c>
      <c r="P202">
        <v>44</v>
      </c>
      <c r="Q202">
        <v>19.399999999999999</v>
      </c>
      <c r="R202">
        <v>7.92</v>
      </c>
      <c r="S202">
        <v>12.38</v>
      </c>
      <c r="T202">
        <v>6.15</v>
      </c>
      <c r="U202">
        <v>7.19</v>
      </c>
      <c r="V202">
        <v>3196.35</v>
      </c>
      <c r="W202">
        <v>964.48</v>
      </c>
      <c r="X202">
        <v>1242.44</v>
      </c>
      <c r="Y202">
        <v>712.55</v>
      </c>
      <c r="Z202">
        <v>9.34</v>
      </c>
      <c r="AA202">
        <v>1.48</v>
      </c>
      <c r="AB202">
        <v>4.5999999999999996</v>
      </c>
      <c r="AC202">
        <v>56.3</v>
      </c>
      <c r="AD202">
        <v>680</v>
      </c>
      <c r="AE202">
        <v>5900</v>
      </c>
      <c r="AF202">
        <v>71.52</v>
      </c>
      <c r="AG202">
        <v>0.59</v>
      </c>
      <c r="AH202">
        <v>11.55</v>
      </c>
      <c r="AI202">
        <v>79.52</v>
      </c>
      <c r="AJ202">
        <v>60</v>
      </c>
      <c r="AK202">
        <v>9</v>
      </c>
      <c r="AL202">
        <v>9</v>
      </c>
      <c r="AM202">
        <v>0.4</v>
      </c>
      <c r="AN202">
        <v>408</v>
      </c>
      <c r="AO202">
        <v>411.56</v>
      </c>
      <c r="AP202">
        <v>295555.51</v>
      </c>
      <c r="AQ202">
        <v>294187.39</v>
      </c>
      <c r="AR202" t="s">
        <v>1109</v>
      </c>
      <c r="AT202" s="6">
        <f t="shared" si="15"/>
        <v>7.8089041095890141E-2</v>
      </c>
    </row>
    <row r="203" spans="1:46" x14ac:dyDescent="0.55000000000000004">
      <c r="A203">
        <v>18.489999999999998</v>
      </c>
      <c r="B203">
        <v>26.38</v>
      </c>
      <c r="C203">
        <v>5000.7</v>
      </c>
      <c r="D203">
        <v>7.57</v>
      </c>
      <c r="E203" t="s">
        <v>2035</v>
      </c>
      <c r="F203" t="s">
        <v>2097</v>
      </c>
      <c r="G203" t="s">
        <v>2144</v>
      </c>
      <c r="H203" t="s">
        <v>2179</v>
      </c>
      <c r="I203">
        <v>0</v>
      </c>
      <c r="J203">
        <v>643.38</v>
      </c>
      <c r="K203">
        <f t="shared" si="12"/>
        <v>52.58</v>
      </c>
      <c r="L203">
        <f t="shared" si="13"/>
        <v>59</v>
      </c>
      <c r="M203">
        <f t="shared" si="14"/>
        <v>-6.4200000000000017</v>
      </c>
      <c r="N203">
        <v>7.28</v>
      </c>
      <c r="O203">
        <v>82.03</v>
      </c>
      <c r="P203">
        <v>42</v>
      </c>
      <c r="Q203">
        <v>19.8</v>
      </c>
      <c r="R203">
        <v>7.89</v>
      </c>
      <c r="S203">
        <v>12.44</v>
      </c>
      <c r="T203">
        <v>6.05</v>
      </c>
      <c r="U203">
        <v>7.77</v>
      </c>
      <c r="V203">
        <v>3200.45</v>
      </c>
      <c r="W203">
        <v>969.44</v>
      </c>
      <c r="X203">
        <v>1280.48</v>
      </c>
      <c r="Y203">
        <v>723.15</v>
      </c>
      <c r="Z203">
        <v>6.24</v>
      </c>
      <c r="AA203">
        <v>1.5</v>
      </c>
      <c r="AB203">
        <v>4.57</v>
      </c>
      <c r="AC203">
        <v>56.59</v>
      </c>
      <c r="AD203">
        <v>680</v>
      </c>
      <c r="AE203">
        <v>5900</v>
      </c>
      <c r="AF203">
        <v>71.2</v>
      </c>
      <c r="AG203">
        <v>0.59</v>
      </c>
      <c r="AH203">
        <v>10.51</v>
      </c>
      <c r="AI203">
        <v>55.9</v>
      </c>
      <c r="AJ203">
        <v>60</v>
      </c>
      <c r="AK203">
        <v>9</v>
      </c>
      <c r="AL203">
        <v>9</v>
      </c>
      <c r="AM203">
        <v>0.56000000000000005</v>
      </c>
      <c r="AN203">
        <v>408</v>
      </c>
      <c r="AO203">
        <v>413.06</v>
      </c>
      <c r="AP203">
        <v>295614.64</v>
      </c>
      <c r="AQ203">
        <v>170148.53</v>
      </c>
      <c r="AR203" t="s">
        <v>1110</v>
      </c>
      <c r="AT203" s="6">
        <f t="shared" si="15"/>
        <v>7.1613076484018272</v>
      </c>
    </row>
    <row r="204" spans="1:46" x14ac:dyDescent="0.55000000000000004">
      <c r="A204">
        <v>18.8</v>
      </c>
      <c r="B204">
        <v>26.68</v>
      </c>
      <c r="C204">
        <v>4982</v>
      </c>
      <c r="D204">
        <v>7.57</v>
      </c>
      <c r="E204" t="s">
        <v>2036</v>
      </c>
      <c r="F204" t="s">
        <v>2098</v>
      </c>
      <c r="G204" t="s">
        <v>2145</v>
      </c>
      <c r="H204" t="s">
        <v>2180</v>
      </c>
      <c r="I204">
        <v>0</v>
      </c>
      <c r="J204">
        <v>654.98</v>
      </c>
      <c r="K204">
        <f t="shared" si="12"/>
        <v>53.21</v>
      </c>
      <c r="L204">
        <f t="shared" si="13"/>
        <v>59.08</v>
      </c>
      <c r="M204">
        <f t="shared" si="14"/>
        <v>-5.8699999999999974</v>
      </c>
      <c r="N204">
        <v>7.3</v>
      </c>
      <c r="O204">
        <v>81.95</v>
      </c>
      <c r="P204">
        <v>51</v>
      </c>
      <c r="Q204">
        <v>19.2</v>
      </c>
      <c r="R204">
        <v>7.88</v>
      </c>
      <c r="S204">
        <v>13.14</v>
      </c>
      <c r="T204">
        <v>5.66</v>
      </c>
      <c r="U204">
        <v>7.61</v>
      </c>
      <c r="V204">
        <v>3188.48</v>
      </c>
      <c r="W204">
        <v>966.22</v>
      </c>
      <c r="X204">
        <v>1276.3900000000001</v>
      </c>
      <c r="Y204">
        <v>721.15</v>
      </c>
      <c r="Z204">
        <v>6.75</v>
      </c>
      <c r="AA204">
        <v>1.5</v>
      </c>
      <c r="AB204">
        <v>4.57</v>
      </c>
      <c r="AC204">
        <v>58.19</v>
      </c>
      <c r="AD204">
        <v>680</v>
      </c>
      <c r="AE204">
        <v>5900</v>
      </c>
      <c r="AF204">
        <v>71.09</v>
      </c>
      <c r="AG204">
        <v>0.59</v>
      </c>
      <c r="AH204">
        <v>10.76</v>
      </c>
      <c r="AI204">
        <v>59.83</v>
      </c>
      <c r="AJ204">
        <v>60</v>
      </c>
      <c r="AK204">
        <v>9</v>
      </c>
      <c r="AL204">
        <v>9</v>
      </c>
      <c r="AM204">
        <v>0.53</v>
      </c>
      <c r="AN204">
        <v>408</v>
      </c>
      <c r="AO204">
        <v>412.73</v>
      </c>
      <c r="AP204">
        <v>291164.61</v>
      </c>
      <c r="AQ204">
        <v>192052.38</v>
      </c>
      <c r="AR204" t="s">
        <v>1111</v>
      </c>
      <c r="AT204" s="6">
        <f t="shared" si="15"/>
        <v>5.6570907534246562</v>
      </c>
    </row>
    <row r="205" spans="1:46" x14ac:dyDescent="0.55000000000000004">
      <c r="A205">
        <v>18.079999999999998</v>
      </c>
      <c r="B205">
        <v>26.23</v>
      </c>
      <c r="C205">
        <v>5084.8999999999996</v>
      </c>
      <c r="D205">
        <v>7.6</v>
      </c>
      <c r="E205" t="s">
        <v>2037</v>
      </c>
      <c r="F205" t="s">
        <v>2099</v>
      </c>
      <c r="G205" t="s">
        <v>2146</v>
      </c>
      <c r="H205" t="s">
        <v>898</v>
      </c>
      <c r="I205">
        <v>0</v>
      </c>
      <c r="J205">
        <v>799.48</v>
      </c>
      <c r="K205">
        <f t="shared" si="12"/>
        <v>59.070000000000007</v>
      </c>
      <c r="L205">
        <f t="shared" si="13"/>
        <v>59.070000000000007</v>
      </c>
      <c r="M205">
        <f t="shared" si="14"/>
        <v>0</v>
      </c>
      <c r="N205">
        <v>7.33</v>
      </c>
      <c r="O205">
        <v>82.13</v>
      </c>
      <c r="P205">
        <v>45</v>
      </c>
      <c r="Q205">
        <v>18.399999999999999</v>
      </c>
      <c r="R205">
        <v>8.15</v>
      </c>
      <c r="S205">
        <v>11.68</v>
      </c>
      <c r="T205">
        <v>6.4</v>
      </c>
      <c r="U205">
        <v>6.36</v>
      </c>
      <c r="V205">
        <v>3254.34</v>
      </c>
      <c r="W205">
        <v>971.88</v>
      </c>
      <c r="X205">
        <v>1175.83</v>
      </c>
      <c r="Y205">
        <v>700.26</v>
      </c>
      <c r="Z205">
        <v>29.55</v>
      </c>
      <c r="AA205">
        <v>1.49</v>
      </c>
      <c r="AB205">
        <v>4.63</v>
      </c>
      <c r="AC205">
        <v>56.02</v>
      </c>
      <c r="AD205">
        <v>680</v>
      </c>
      <c r="AE205">
        <v>5900</v>
      </c>
      <c r="AF205">
        <v>73.56</v>
      </c>
      <c r="AG205">
        <v>0.59</v>
      </c>
      <c r="AH205">
        <v>13.72</v>
      </c>
      <c r="AI205">
        <v>235.79</v>
      </c>
      <c r="AJ205">
        <v>60</v>
      </c>
      <c r="AK205">
        <v>9</v>
      </c>
      <c r="AL205">
        <v>9</v>
      </c>
      <c r="AM205">
        <v>0.13</v>
      </c>
      <c r="AN205">
        <v>408</v>
      </c>
      <c r="AO205">
        <v>409.2</v>
      </c>
      <c r="AP205">
        <v>300032.02</v>
      </c>
      <c r="AQ205">
        <v>300032.02</v>
      </c>
      <c r="AR205" t="s">
        <v>1112</v>
      </c>
      <c r="AT205" s="6">
        <f t="shared" si="15"/>
        <v>0</v>
      </c>
    </row>
    <row r="206" spans="1:46" x14ac:dyDescent="0.55000000000000004">
      <c r="A206">
        <v>18.260000000000002</v>
      </c>
      <c r="B206">
        <v>26.5</v>
      </c>
      <c r="C206">
        <v>5041.6000000000004</v>
      </c>
      <c r="D206">
        <v>7.56</v>
      </c>
      <c r="E206" t="s">
        <v>2038</v>
      </c>
      <c r="F206" t="s">
        <v>2100</v>
      </c>
      <c r="G206" t="s">
        <v>1956</v>
      </c>
      <c r="H206" t="s">
        <v>898</v>
      </c>
      <c r="I206">
        <v>0</v>
      </c>
      <c r="J206">
        <v>935.27</v>
      </c>
      <c r="K206">
        <f t="shared" si="12"/>
        <v>57.36</v>
      </c>
      <c r="L206">
        <f t="shared" si="13"/>
        <v>57.36</v>
      </c>
      <c r="M206">
        <f t="shared" si="14"/>
        <v>0</v>
      </c>
      <c r="N206">
        <v>7.29</v>
      </c>
      <c r="O206">
        <v>81.95</v>
      </c>
      <c r="P206">
        <v>46</v>
      </c>
      <c r="Q206">
        <v>18.399999999999999</v>
      </c>
      <c r="R206">
        <v>8.23</v>
      </c>
      <c r="S206">
        <v>11.81</v>
      </c>
      <c r="T206">
        <v>6.45</v>
      </c>
      <c r="U206">
        <v>5.39</v>
      </c>
      <c r="V206">
        <v>3226.62</v>
      </c>
      <c r="W206">
        <v>949.77</v>
      </c>
      <c r="X206">
        <v>1050.2</v>
      </c>
      <c r="Y206">
        <v>660.43</v>
      </c>
      <c r="Z206">
        <v>28.68</v>
      </c>
      <c r="AA206">
        <v>1.39</v>
      </c>
      <c r="AB206">
        <v>4.78</v>
      </c>
      <c r="AC206">
        <v>56.07</v>
      </c>
      <c r="AD206">
        <v>680</v>
      </c>
      <c r="AE206">
        <v>5900</v>
      </c>
      <c r="AF206">
        <v>74.34</v>
      </c>
      <c r="AG206">
        <v>0.59</v>
      </c>
      <c r="AH206">
        <v>16.93</v>
      </c>
      <c r="AI206">
        <v>235.63</v>
      </c>
      <c r="AJ206">
        <v>60</v>
      </c>
      <c r="AK206">
        <v>9</v>
      </c>
      <c r="AL206">
        <v>9</v>
      </c>
      <c r="AM206">
        <v>0.13</v>
      </c>
      <c r="AN206">
        <v>408</v>
      </c>
      <c r="AO206">
        <v>409.2</v>
      </c>
      <c r="AP206">
        <v>296813.64</v>
      </c>
      <c r="AQ206">
        <v>296813.64</v>
      </c>
      <c r="AR206" t="s">
        <v>1113</v>
      </c>
      <c r="AT206" s="6">
        <f t="shared" si="15"/>
        <v>0</v>
      </c>
    </row>
    <row r="207" spans="1:46" x14ac:dyDescent="0.55000000000000004">
      <c r="A207">
        <v>18.71</v>
      </c>
      <c r="B207">
        <v>26.59</v>
      </c>
      <c r="C207">
        <v>4984.8999999999996</v>
      </c>
      <c r="D207">
        <v>7.57</v>
      </c>
      <c r="E207" t="s">
        <v>2039</v>
      </c>
      <c r="F207" t="s">
        <v>2101</v>
      </c>
      <c r="G207" t="s">
        <v>2147</v>
      </c>
      <c r="H207" t="s">
        <v>898</v>
      </c>
      <c r="I207">
        <v>0</v>
      </c>
      <c r="J207">
        <v>645.9</v>
      </c>
      <c r="K207">
        <f t="shared" si="12"/>
        <v>53.34</v>
      </c>
      <c r="L207">
        <f t="shared" si="13"/>
        <v>53.34</v>
      </c>
      <c r="M207">
        <f t="shared" si="14"/>
        <v>0</v>
      </c>
      <c r="N207">
        <v>7.28</v>
      </c>
      <c r="O207">
        <v>82.05</v>
      </c>
      <c r="P207">
        <v>50</v>
      </c>
      <c r="Q207">
        <v>19.100000000000001</v>
      </c>
      <c r="R207">
        <v>7.88</v>
      </c>
      <c r="S207">
        <v>12.93</v>
      </c>
      <c r="T207">
        <v>5.78</v>
      </c>
      <c r="U207">
        <v>7.72</v>
      </c>
      <c r="V207">
        <v>3190.34</v>
      </c>
      <c r="W207">
        <v>966.64</v>
      </c>
      <c r="X207">
        <v>1277.8499999999999</v>
      </c>
      <c r="Y207">
        <v>721.42</v>
      </c>
      <c r="Z207">
        <v>26.67</v>
      </c>
      <c r="AA207">
        <v>1.5</v>
      </c>
      <c r="AB207">
        <v>4.57</v>
      </c>
      <c r="AC207">
        <v>57.67</v>
      </c>
      <c r="AD207">
        <v>680</v>
      </c>
      <c r="AE207">
        <v>5900</v>
      </c>
      <c r="AF207">
        <v>71.12</v>
      </c>
      <c r="AG207">
        <v>0.59</v>
      </c>
      <c r="AH207">
        <v>10.59</v>
      </c>
      <c r="AI207">
        <v>235.63</v>
      </c>
      <c r="AJ207">
        <v>60</v>
      </c>
      <c r="AK207">
        <v>9</v>
      </c>
      <c r="AL207">
        <v>9</v>
      </c>
      <c r="AM207">
        <v>0.13</v>
      </c>
      <c r="AN207">
        <v>408</v>
      </c>
      <c r="AO207">
        <v>409.2</v>
      </c>
      <c r="AP207">
        <v>297283.95</v>
      </c>
      <c r="AQ207">
        <v>297283.95</v>
      </c>
      <c r="AR207" t="s">
        <v>1114</v>
      </c>
      <c r="AT207" s="6">
        <f t="shared" si="15"/>
        <v>0</v>
      </c>
    </row>
    <row r="208" spans="1:46" x14ac:dyDescent="0.55000000000000004">
      <c r="A208">
        <v>19.09</v>
      </c>
      <c r="B208">
        <v>26.93</v>
      </c>
      <c r="C208">
        <v>4971.1000000000004</v>
      </c>
      <c r="D208">
        <v>7.55</v>
      </c>
      <c r="E208" t="s">
        <v>2040</v>
      </c>
      <c r="F208" t="s">
        <v>2102</v>
      </c>
      <c r="G208" t="s">
        <v>2148</v>
      </c>
      <c r="H208" t="s">
        <v>2181</v>
      </c>
      <c r="I208">
        <v>0</v>
      </c>
      <c r="J208">
        <v>625.77</v>
      </c>
      <c r="K208">
        <f t="shared" si="12"/>
        <v>52.59</v>
      </c>
      <c r="L208">
        <f t="shared" si="13"/>
        <v>56.210000000000008</v>
      </c>
      <c r="M208">
        <f t="shared" si="14"/>
        <v>-3.6200000000000045</v>
      </c>
      <c r="N208">
        <v>7.27</v>
      </c>
      <c r="O208">
        <v>81.98</v>
      </c>
      <c r="P208">
        <v>55</v>
      </c>
      <c r="Q208">
        <v>19.5</v>
      </c>
      <c r="R208">
        <v>7.84</v>
      </c>
      <c r="S208">
        <v>13.92</v>
      </c>
      <c r="T208">
        <v>5.17</v>
      </c>
      <c r="U208">
        <v>7.94</v>
      </c>
      <c r="V208">
        <v>3181.5</v>
      </c>
      <c r="W208">
        <v>965.84</v>
      </c>
      <c r="X208">
        <v>1291.99</v>
      </c>
      <c r="Y208">
        <v>724.23</v>
      </c>
      <c r="Z208">
        <v>9.36</v>
      </c>
      <c r="AA208">
        <v>1.5</v>
      </c>
      <c r="AB208">
        <v>4.5599999999999996</v>
      </c>
      <c r="AC208">
        <v>60.28</v>
      </c>
      <c r="AD208">
        <v>680</v>
      </c>
      <c r="AE208">
        <v>5900</v>
      </c>
      <c r="AF208">
        <v>70.77</v>
      </c>
      <c r="AG208">
        <v>0.59</v>
      </c>
      <c r="AH208">
        <v>10.19</v>
      </c>
      <c r="AI208">
        <v>83.84</v>
      </c>
      <c r="AJ208">
        <v>60</v>
      </c>
      <c r="AK208">
        <v>9</v>
      </c>
      <c r="AL208">
        <v>9</v>
      </c>
      <c r="AM208">
        <v>0.37</v>
      </c>
      <c r="AN208">
        <v>408</v>
      </c>
      <c r="AO208">
        <v>411.37</v>
      </c>
      <c r="AP208">
        <v>297983.03000000003</v>
      </c>
      <c r="AQ208">
        <v>264950.40000000002</v>
      </c>
      <c r="AR208" t="s">
        <v>1115</v>
      </c>
      <c r="AT208" s="6">
        <f t="shared" si="15"/>
        <v>1.8854240867579912</v>
      </c>
    </row>
    <row r="209" spans="1:46" x14ac:dyDescent="0.55000000000000004">
      <c r="A209">
        <v>18.34</v>
      </c>
      <c r="B209">
        <v>26.65</v>
      </c>
      <c r="C209">
        <v>5037.1000000000004</v>
      </c>
      <c r="D209">
        <v>7.56</v>
      </c>
      <c r="E209" t="s">
        <v>2041</v>
      </c>
      <c r="F209" t="s">
        <v>2103</v>
      </c>
      <c r="G209" t="s">
        <v>1659</v>
      </c>
      <c r="H209" t="s">
        <v>898</v>
      </c>
      <c r="I209">
        <v>0</v>
      </c>
      <c r="J209">
        <v>879.24</v>
      </c>
      <c r="K209">
        <f t="shared" si="12"/>
        <v>58.889999999999993</v>
      </c>
      <c r="L209">
        <f t="shared" si="13"/>
        <v>58.889999999999993</v>
      </c>
      <c r="M209">
        <f t="shared" si="14"/>
        <v>0</v>
      </c>
      <c r="N209">
        <v>7.31</v>
      </c>
      <c r="O209">
        <v>81.819999999999993</v>
      </c>
      <c r="P209">
        <v>44</v>
      </c>
      <c r="Q209">
        <v>19.100000000000001</v>
      </c>
      <c r="R209">
        <v>8.3000000000000007</v>
      </c>
      <c r="S209">
        <v>12.13</v>
      </c>
      <c r="T209">
        <v>6.21</v>
      </c>
      <c r="U209">
        <v>5.73</v>
      </c>
      <c r="V209">
        <v>3223.74</v>
      </c>
      <c r="W209">
        <v>954.41</v>
      </c>
      <c r="X209">
        <v>1094.78</v>
      </c>
      <c r="Y209">
        <v>673.23</v>
      </c>
      <c r="Z209">
        <v>29.44</v>
      </c>
      <c r="AA209">
        <v>1.41</v>
      </c>
      <c r="AB209">
        <v>4.7300000000000004</v>
      </c>
      <c r="AC209">
        <v>57.2</v>
      </c>
      <c r="AD209">
        <v>680</v>
      </c>
      <c r="AE209">
        <v>5900</v>
      </c>
      <c r="AF209">
        <v>74.94</v>
      </c>
      <c r="AG209">
        <v>0.59</v>
      </c>
      <c r="AH209">
        <v>15.85</v>
      </c>
      <c r="AI209">
        <v>235.56</v>
      </c>
      <c r="AJ209">
        <v>60</v>
      </c>
      <c r="AK209">
        <v>9</v>
      </c>
      <c r="AL209">
        <v>9</v>
      </c>
      <c r="AM209">
        <v>0.13</v>
      </c>
      <c r="AN209">
        <v>408</v>
      </c>
      <c r="AO209">
        <v>409.2</v>
      </c>
      <c r="AP209">
        <v>300583.06</v>
      </c>
      <c r="AQ209">
        <v>300583.06</v>
      </c>
      <c r="AR209" t="s">
        <v>1116</v>
      </c>
      <c r="AT209" s="6">
        <f t="shared" si="15"/>
        <v>0</v>
      </c>
    </row>
    <row r="210" spans="1:46" x14ac:dyDescent="0.55000000000000004">
      <c r="A210">
        <v>18.88</v>
      </c>
      <c r="B210">
        <v>26.73</v>
      </c>
      <c r="C210">
        <v>4979.3</v>
      </c>
      <c r="D210">
        <v>7.54</v>
      </c>
      <c r="E210" t="s">
        <v>2042</v>
      </c>
      <c r="F210" t="s">
        <v>2104</v>
      </c>
      <c r="G210" t="s">
        <v>2149</v>
      </c>
      <c r="H210" t="s">
        <v>2182</v>
      </c>
      <c r="I210">
        <v>0</v>
      </c>
      <c r="J210">
        <v>635.91</v>
      </c>
      <c r="K210">
        <f t="shared" si="12"/>
        <v>52.120000000000005</v>
      </c>
      <c r="L210">
        <f t="shared" si="13"/>
        <v>58.47</v>
      </c>
      <c r="M210">
        <f t="shared" si="14"/>
        <v>-6.3499999999999943</v>
      </c>
      <c r="N210">
        <v>7.29</v>
      </c>
      <c r="O210">
        <v>81.97</v>
      </c>
      <c r="P210">
        <v>55</v>
      </c>
      <c r="Q210">
        <v>19</v>
      </c>
      <c r="R210">
        <v>7.85</v>
      </c>
      <c r="S210">
        <v>13.48</v>
      </c>
      <c r="T210">
        <v>5.4</v>
      </c>
      <c r="U210">
        <v>7.83</v>
      </c>
      <c r="V210">
        <v>3186.75</v>
      </c>
      <c r="W210">
        <v>967.48</v>
      </c>
      <c r="X210">
        <v>1292.3699999999999</v>
      </c>
      <c r="Y210">
        <v>725.3</v>
      </c>
      <c r="Z210">
        <v>6.24</v>
      </c>
      <c r="AA210">
        <v>1.48</v>
      </c>
      <c r="AB210">
        <v>4.58</v>
      </c>
      <c r="AC210">
        <v>59.24</v>
      </c>
      <c r="AD210">
        <v>680</v>
      </c>
      <c r="AE210">
        <v>5900</v>
      </c>
      <c r="AF210">
        <v>70.84</v>
      </c>
      <c r="AG210">
        <v>0.59</v>
      </c>
      <c r="AH210">
        <v>10.37</v>
      </c>
      <c r="AI210">
        <v>56.42</v>
      </c>
      <c r="AJ210">
        <v>60</v>
      </c>
      <c r="AK210">
        <v>9</v>
      </c>
      <c r="AL210">
        <v>9</v>
      </c>
      <c r="AM210">
        <v>0.56000000000000005</v>
      </c>
      <c r="AN210">
        <v>408</v>
      </c>
      <c r="AO210">
        <v>413.01</v>
      </c>
      <c r="AP210">
        <v>289799.53000000003</v>
      </c>
      <c r="AQ210">
        <v>160865.19</v>
      </c>
      <c r="AR210" t="s">
        <v>1117</v>
      </c>
      <c r="AT210" s="6">
        <f t="shared" si="15"/>
        <v>7.3592659817351613</v>
      </c>
    </row>
    <row r="211" spans="1:46" x14ac:dyDescent="0.55000000000000004">
      <c r="A211">
        <v>18.649999999999999</v>
      </c>
      <c r="B211">
        <v>26.5</v>
      </c>
      <c r="C211">
        <v>5003.6000000000004</v>
      </c>
      <c r="D211">
        <v>7.56</v>
      </c>
      <c r="E211" t="s">
        <v>2043</v>
      </c>
      <c r="F211" t="s">
        <v>2087</v>
      </c>
      <c r="G211" t="s">
        <v>2150</v>
      </c>
      <c r="H211" t="s">
        <v>898</v>
      </c>
      <c r="I211">
        <v>0</v>
      </c>
      <c r="J211">
        <v>645.77</v>
      </c>
      <c r="K211">
        <f t="shared" si="12"/>
        <v>52.919999999999995</v>
      </c>
      <c r="L211">
        <f t="shared" si="13"/>
        <v>52.919999999999995</v>
      </c>
      <c r="M211">
        <f t="shared" si="14"/>
        <v>0</v>
      </c>
      <c r="N211">
        <v>7.28</v>
      </c>
      <c r="O211">
        <v>81.98</v>
      </c>
      <c r="P211">
        <v>45</v>
      </c>
      <c r="Q211">
        <v>19.399999999999999</v>
      </c>
      <c r="R211">
        <v>7.85</v>
      </c>
      <c r="S211">
        <v>12.52</v>
      </c>
      <c r="T211">
        <v>6.14</v>
      </c>
      <c r="U211">
        <v>7.75</v>
      </c>
      <c r="V211">
        <v>3202.3</v>
      </c>
      <c r="W211">
        <v>969.67</v>
      </c>
      <c r="X211">
        <v>1278.3399999999999</v>
      </c>
      <c r="Y211">
        <v>722.74</v>
      </c>
      <c r="Z211">
        <v>26.51</v>
      </c>
      <c r="AA211">
        <v>1.49</v>
      </c>
      <c r="AB211">
        <v>4.58</v>
      </c>
      <c r="AC211">
        <v>56.12</v>
      </c>
      <c r="AD211">
        <v>680</v>
      </c>
      <c r="AE211">
        <v>5900</v>
      </c>
      <c r="AF211">
        <v>70.849999999999994</v>
      </c>
      <c r="AG211">
        <v>0.59</v>
      </c>
      <c r="AH211">
        <v>10.5</v>
      </c>
      <c r="AI211">
        <v>236.03</v>
      </c>
      <c r="AJ211">
        <v>60</v>
      </c>
      <c r="AK211">
        <v>9</v>
      </c>
      <c r="AL211">
        <v>9</v>
      </c>
      <c r="AM211">
        <v>0.13</v>
      </c>
      <c r="AN211">
        <v>408</v>
      </c>
      <c r="AO211">
        <v>409.2</v>
      </c>
      <c r="AP211">
        <v>297147.99</v>
      </c>
      <c r="AQ211">
        <v>297147.99</v>
      </c>
      <c r="AR211" t="s">
        <v>1118</v>
      </c>
      <c r="AT211" s="6">
        <f t="shared" si="15"/>
        <v>0</v>
      </c>
    </row>
    <row r="212" spans="1:46" x14ac:dyDescent="0.55000000000000004">
      <c r="A212">
        <v>18.96</v>
      </c>
      <c r="B212">
        <v>26.81</v>
      </c>
      <c r="C212">
        <v>4974.7</v>
      </c>
      <c r="D212">
        <v>7.55</v>
      </c>
      <c r="E212" t="s">
        <v>2044</v>
      </c>
      <c r="F212" t="s">
        <v>2105</v>
      </c>
      <c r="G212" t="s">
        <v>2151</v>
      </c>
      <c r="H212" t="s">
        <v>2183</v>
      </c>
      <c r="I212">
        <v>0</v>
      </c>
      <c r="J212">
        <v>620.79</v>
      </c>
      <c r="K212">
        <f t="shared" si="12"/>
        <v>51.75</v>
      </c>
      <c r="L212">
        <f t="shared" si="13"/>
        <v>55.6</v>
      </c>
      <c r="M212">
        <f t="shared" si="14"/>
        <v>-3.8500000000000014</v>
      </c>
      <c r="N212">
        <v>7.28</v>
      </c>
      <c r="O212">
        <v>82.02</v>
      </c>
      <c r="P212">
        <v>55</v>
      </c>
      <c r="Q212">
        <v>19.2</v>
      </c>
      <c r="R212">
        <v>7.84</v>
      </c>
      <c r="S212">
        <v>13.66</v>
      </c>
      <c r="T212">
        <v>5.31</v>
      </c>
      <c r="U212">
        <v>8.01</v>
      </c>
      <c r="V212">
        <v>3183.81</v>
      </c>
      <c r="W212">
        <v>967.65</v>
      </c>
      <c r="X212">
        <v>1302.02</v>
      </c>
      <c r="Y212">
        <v>727.44</v>
      </c>
      <c r="Z212">
        <v>8.84</v>
      </c>
      <c r="AA212">
        <v>1.5</v>
      </c>
      <c r="AB212">
        <v>4.5599999999999996</v>
      </c>
      <c r="AC212">
        <v>59.64</v>
      </c>
      <c r="AD212">
        <v>680</v>
      </c>
      <c r="AE212">
        <v>5900</v>
      </c>
      <c r="AF212">
        <v>70.8</v>
      </c>
      <c r="AG212">
        <v>0.59</v>
      </c>
      <c r="AH212">
        <v>10.09</v>
      </c>
      <c r="AI212">
        <v>80.52</v>
      </c>
      <c r="AJ212">
        <v>60</v>
      </c>
      <c r="AK212">
        <v>9</v>
      </c>
      <c r="AL212">
        <v>9</v>
      </c>
      <c r="AM212">
        <v>0.39</v>
      </c>
      <c r="AN212">
        <v>408</v>
      </c>
      <c r="AO212">
        <v>411.51</v>
      </c>
      <c r="AP212">
        <v>292697.39</v>
      </c>
      <c r="AQ212">
        <v>245327.2</v>
      </c>
      <c r="AR212" t="s">
        <v>1119</v>
      </c>
      <c r="AT212" s="6">
        <f t="shared" si="15"/>
        <v>2.7037779680365297</v>
      </c>
    </row>
    <row r="213" spans="1:46" x14ac:dyDescent="0.55000000000000004">
      <c r="A213">
        <v>18.350000000000001</v>
      </c>
      <c r="B213">
        <v>26.81</v>
      </c>
      <c r="C213">
        <v>5109.6000000000004</v>
      </c>
      <c r="D213">
        <v>7.98</v>
      </c>
      <c r="E213" t="s">
        <v>2045</v>
      </c>
      <c r="F213" t="s">
        <v>2106</v>
      </c>
      <c r="G213" t="s">
        <v>2152</v>
      </c>
      <c r="H213" t="s">
        <v>898</v>
      </c>
      <c r="I213">
        <v>0</v>
      </c>
      <c r="J213">
        <v>532.57000000000005</v>
      </c>
      <c r="K213">
        <f t="shared" si="12"/>
        <v>52.31</v>
      </c>
      <c r="L213">
        <f t="shared" si="13"/>
        <v>52.31</v>
      </c>
      <c r="M213">
        <f t="shared" si="14"/>
        <v>0</v>
      </c>
      <c r="N213">
        <v>7.3</v>
      </c>
      <c r="O213">
        <v>82.22</v>
      </c>
      <c r="P213">
        <v>46</v>
      </c>
      <c r="Q213">
        <v>18</v>
      </c>
      <c r="R213">
        <v>8.4600000000000009</v>
      </c>
      <c r="S213">
        <v>11.47</v>
      </c>
      <c r="T213">
        <v>6.88</v>
      </c>
      <c r="U213">
        <v>9.59</v>
      </c>
      <c r="V213">
        <v>3270.14</v>
      </c>
      <c r="W213">
        <v>1012.65</v>
      </c>
      <c r="X213">
        <v>1496.06</v>
      </c>
      <c r="Y213">
        <v>793.28</v>
      </c>
      <c r="Z213">
        <v>26.16</v>
      </c>
      <c r="AA213">
        <v>1.99</v>
      </c>
      <c r="AB213">
        <v>3.99</v>
      </c>
      <c r="AC213">
        <v>55.16</v>
      </c>
      <c r="AD213">
        <v>680</v>
      </c>
      <c r="AE213">
        <v>5900</v>
      </c>
      <c r="AF213">
        <v>76.37</v>
      </c>
      <c r="AG213">
        <v>0.59</v>
      </c>
      <c r="AH213">
        <v>8.89</v>
      </c>
      <c r="AI213">
        <v>235.7</v>
      </c>
      <c r="AJ213">
        <v>60</v>
      </c>
      <c r="AK213">
        <v>9</v>
      </c>
      <c r="AL213">
        <v>9</v>
      </c>
      <c r="AM213">
        <v>0.13</v>
      </c>
      <c r="AN213">
        <v>408</v>
      </c>
      <c r="AO213">
        <v>409.2</v>
      </c>
      <c r="AP213">
        <v>292995.03999999998</v>
      </c>
      <c r="AQ213">
        <v>292995.03999999998</v>
      </c>
      <c r="AR213" t="s">
        <v>1120</v>
      </c>
      <c r="AT213" s="6">
        <f t="shared" si="15"/>
        <v>0</v>
      </c>
    </row>
    <row r="214" spans="1:46" x14ac:dyDescent="0.55000000000000004">
      <c r="A214">
        <v>18.46</v>
      </c>
      <c r="B214">
        <v>26.3</v>
      </c>
      <c r="C214">
        <v>5008.6000000000004</v>
      </c>
      <c r="D214">
        <v>7.57</v>
      </c>
      <c r="E214" t="s">
        <v>2046</v>
      </c>
      <c r="F214" t="s">
        <v>2107</v>
      </c>
      <c r="G214" t="s">
        <v>2153</v>
      </c>
      <c r="H214" t="s">
        <v>761</v>
      </c>
      <c r="I214">
        <v>0</v>
      </c>
      <c r="J214">
        <v>653.21</v>
      </c>
      <c r="K214">
        <f t="shared" si="12"/>
        <v>53.63</v>
      </c>
      <c r="L214">
        <f t="shared" si="13"/>
        <v>60.24</v>
      </c>
      <c r="M214">
        <f t="shared" si="14"/>
        <v>-6.6099999999999994</v>
      </c>
      <c r="N214">
        <v>7.3</v>
      </c>
      <c r="O214">
        <v>81.98</v>
      </c>
      <c r="P214">
        <v>43</v>
      </c>
      <c r="Q214">
        <v>19.5</v>
      </c>
      <c r="R214">
        <v>7.84</v>
      </c>
      <c r="S214">
        <v>12.33</v>
      </c>
      <c r="T214">
        <v>6.13</v>
      </c>
      <c r="U214">
        <v>7.67</v>
      </c>
      <c r="V214">
        <v>3205.5</v>
      </c>
      <c r="W214">
        <v>972.1</v>
      </c>
      <c r="X214">
        <v>1288.77</v>
      </c>
      <c r="Y214">
        <v>726.71</v>
      </c>
      <c r="Z214">
        <v>6.23</v>
      </c>
      <c r="AA214">
        <v>1.5</v>
      </c>
      <c r="AB214">
        <v>4.57</v>
      </c>
      <c r="AC214">
        <v>56.13</v>
      </c>
      <c r="AD214">
        <v>680</v>
      </c>
      <c r="AE214">
        <v>5900</v>
      </c>
      <c r="AF214">
        <v>70.790000000000006</v>
      </c>
      <c r="AG214">
        <v>0.59</v>
      </c>
      <c r="AH214">
        <v>10.62</v>
      </c>
      <c r="AI214">
        <v>54.76</v>
      </c>
      <c r="AJ214">
        <v>60</v>
      </c>
      <c r="AK214">
        <v>9</v>
      </c>
      <c r="AL214">
        <v>9</v>
      </c>
      <c r="AM214">
        <v>0.56999999999999995</v>
      </c>
      <c r="AN214">
        <v>408</v>
      </c>
      <c r="AO214">
        <v>413.16</v>
      </c>
      <c r="AP214">
        <v>291772.31</v>
      </c>
      <c r="AQ214">
        <v>167308.28</v>
      </c>
      <c r="AR214" t="s">
        <v>1121</v>
      </c>
      <c r="AT214" s="6">
        <f t="shared" si="15"/>
        <v>7.1041113013698629</v>
      </c>
    </row>
    <row r="215" spans="1:46" x14ac:dyDescent="0.55000000000000004">
      <c r="A215">
        <v>19.170000000000002</v>
      </c>
      <c r="B215">
        <v>27.01</v>
      </c>
      <c r="C215">
        <v>4964.8999999999996</v>
      </c>
      <c r="D215">
        <v>7.55</v>
      </c>
      <c r="E215" t="s">
        <v>2047</v>
      </c>
      <c r="F215" t="s">
        <v>2103</v>
      </c>
      <c r="G215" t="s">
        <v>2154</v>
      </c>
      <c r="H215" t="s">
        <v>898</v>
      </c>
      <c r="I215">
        <v>0</v>
      </c>
      <c r="J215">
        <v>616.79</v>
      </c>
      <c r="K215">
        <f t="shared" si="12"/>
        <v>51.889999999999993</v>
      </c>
      <c r="L215">
        <f t="shared" si="13"/>
        <v>51.889999999999993</v>
      </c>
      <c r="M215">
        <f t="shared" si="14"/>
        <v>0</v>
      </c>
      <c r="N215">
        <v>7.27</v>
      </c>
      <c r="O215">
        <v>82.06</v>
      </c>
      <c r="P215">
        <v>55</v>
      </c>
      <c r="Q215">
        <v>19.600000000000001</v>
      </c>
      <c r="R215">
        <v>7.84</v>
      </c>
      <c r="S215">
        <v>14.01</v>
      </c>
      <c r="T215">
        <v>5.16</v>
      </c>
      <c r="U215">
        <v>8.0500000000000007</v>
      </c>
      <c r="V215">
        <v>3177.54</v>
      </c>
      <c r="W215">
        <v>966.09</v>
      </c>
      <c r="X215">
        <v>1302.81</v>
      </c>
      <c r="Y215">
        <v>726.91</v>
      </c>
      <c r="Z215">
        <v>25.96</v>
      </c>
      <c r="AA215">
        <v>1.5</v>
      </c>
      <c r="AB215">
        <v>4.55</v>
      </c>
      <c r="AC215">
        <v>60.29</v>
      </c>
      <c r="AD215">
        <v>680</v>
      </c>
      <c r="AE215">
        <v>5900</v>
      </c>
      <c r="AF215">
        <v>70.77</v>
      </c>
      <c r="AG215">
        <v>0.59</v>
      </c>
      <c r="AH215">
        <v>10.039999999999999</v>
      </c>
      <c r="AI215">
        <v>235.8</v>
      </c>
      <c r="AJ215">
        <v>60</v>
      </c>
      <c r="AK215">
        <v>9</v>
      </c>
      <c r="AL215">
        <v>9</v>
      </c>
      <c r="AM215">
        <v>0.13</v>
      </c>
      <c r="AN215">
        <v>408</v>
      </c>
      <c r="AO215">
        <v>409.2</v>
      </c>
      <c r="AP215">
        <v>294413.40999999997</v>
      </c>
      <c r="AQ215">
        <v>294413.40999999997</v>
      </c>
      <c r="AR215" t="s">
        <v>1122</v>
      </c>
      <c r="AT215" s="6">
        <f t="shared" si="15"/>
        <v>0</v>
      </c>
    </row>
    <row r="216" spans="1:46" x14ac:dyDescent="0.55000000000000004">
      <c r="A216">
        <v>18.36</v>
      </c>
      <c r="B216">
        <v>26.63</v>
      </c>
      <c r="C216">
        <v>5020.7</v>
      </c>
      <c r="D216">
        <v>7.56</v>
      </c>
      <c r="E216" t="s">
        <v>2048</v>
      </c>
      <c r="F216" t="s">
        <v>2108</v>
      </c>
      <c r="G216" t="s">
        <v>2155</v>
      </c>
      <c r="H216" t="s">
        <v>2184</v>
      </c>
      <c r="I216">
        <v>0</v>
      </c>
      <c r="J216">
        <v>703</v>
      </c>
      <c r="K216">
        <f t="shared" si="12"/>
        <v>52.71</v>
      </c>
      <c r="L216">
        <f t="shared" si="13"/>
        <v>57.970000000000006</v>
      </c>
      <c r="M216">
        <f t="shared" si="14"/>
        <v>-5.2600000000000051</v>
      </c>
      <c r="N216">
        <v>7.27</v>
      </c>
      <c r="O216">
        <v>81.93</v>
      </c>
      <c r="P216">
        <v>43</v>
      </c>
      <c r="Q216">
        <v>19.5</v>
      </c>
      <c r="R216">
        <v>8.26</v>
      </c>
      <c r="S216">
        <v>12.33</v>
      </c>
      <c r="T216">
        <v>6.04</v>
      </c>
      <c r="U216">
        <v>7.14</v>
      </c>
      <c r="V216">
        <v>3213.25</v>
      </c>
      <c r="W216">
        <v>964.66</v>
      </c>
      <c r="X216">
        <v>1211.78</v>
      </c>
      <c r="Y216">
        <v>704.69</v>
      </c>
      <c r="Z216">
        <v>7.28</v>
      </c>
      <c r="AA216">
        <v>1.46</v>
      </c>
      <c r="AB216">
        <v>4.63</v>
      </c>
      <c r="AC216">
        <v>57.78</v>
      </c>
      <c r="AD216">
        <v>680</v>
      </c>
      <c r="AE216">
        <v>5900</v>
      </c>
      <c r="AF216">
        <v>74.58</v>
      </c>
      <c r="AG216">
        <v>0.59</v>
      </c>
      <c r="AH216">
        <v>12.14</v>
      </c>
      <c r="AI216">
        <v>65.03</v>
      </c>
      <c r="AJ216">
        <v>60</v>
      </c>
      <c r="AK216">
        <v>9</v>
      </c>
      <c r="AL216">
        <v>9</v>
      </c>
      <c r="AM216">
        <v>0.48</v>
      </c>
      <c r="AN216">
        <v>408</v>
      </c>
      <c r="AO216">
        <v>412.35</v>
      </c>
      <c r="AP216">
        <v>296173.76</v>
      </c>
      <c r="AQ216">
        <v>243053.45</v>
      </c>
      <c r="AR216" t="s">
        <v>1123</v>
      </c>
      <c r="AT216" s="6">
        <f t="shared" si="15"/>
        <v>3.0319811643835615</v>
      </c>
    </row>
    <row r="217" spans="1:46" x14ac:dyDescent="0.55000000000000004">
      <c r="A217">
        <v>18.8</v>
      </c>
      <c r="B217">
        <v>26.66</v>
      </c>
      <c r="C217">
        <v>4982.2</v>
      </c>
      <c r="D217">
        <v>7.54</v>
      </c>
      <c r="E217" t="s">
        <v>2049</v>
      </c>
      <c r="F217" t="s">
        <v>2109</v>
      </c>
      <c r="G217" t="s">
        <v>2156</v>
      </c>
      <c r="H217" t="s">
        <v>2185</v>
      </c>
      <c r="I217">
        <v>0</v>
      </c>
      <c r="J217">
        <v>633.88</v>
      </c>
      <c r="K217">
        <f t="shared" si="12"/>
        <v>53.03</v>
      </c>
      <c r="L217">
        <f t="shared" si="13"/>
        <v>59.54</v>
      </c>
      <c r="M217">
        <f t="shared" si="14"/>
        <v>-6.509999999999998</v>
      </c>
      <c r="N217">
        <v>7.28</v>
      </c>
      <c r="O217">
        <v>82.02</v>
      </c>
      <c r="P217">
        <v>53</v>
      </c>
      <c r="Q217">
        <v>19.100000000000001</v>
      </c>
      <c r="R217">
        <v>7.85</v>
      </c>
      <c r="S217">
        <v>13.31</v>
      </c>
      <c r="T217">
        <v>5.49</v>
      </c>
      <c r="U217">
        <v>7.86</v>
      </c>
      <c r="V217">
        <v>3188.61</v>
      </c>
      <c r="W217">
        <v>967.36</v>
      </c>
      <c r="X217">
        <v>1288.54</v>
      </c>
      <c r="Y217">
        <v>724.17</v>
      </c>
      <c r="Z217">
        <v>6.23</v>
      </c>
      <c r="AA217">
        <v>1.48</v>
      </c>
      <c r="AB217">
        <v>4.58</v>
      </c>
      <c r="AC217">
        <v>58.85</v>
      </c>
      <c r="AD217">
        <v>680</v>
      </c>
      <c r="AE217">
        <v>5900</v>
      </c>
      <c r="AF217">
        <v>70.900000000000006</v>
      </c>
      <c r="AG217">
        <v>0.59</v>
      </c>
      <c r="AH217">
        <v>10.34</v>
      </c>
      <c r="AI217">
        <v>55.4</v>
      </c>
      <c r="AJ217">
        <v>60</v>
      </c>
      <c r="AK217">
        <v>9</v>
      </c>
      <c r="AL217">
        <v>9</v>
      </c>
      <c r="AM217">
        <v>0.56999999999999995</v>
      </c>
      <c r="AN217">
        <v>408</v>
      </c>
      <c r="AO217">
        <v>413.1</v>
      </c>
      <c r="AP217">
        <v>297980.37</v>
      </c>
      <c r="AQ217">
        <v>167165.6</v>
      </c>
      <c r="AR217" t="s">
        <v>1124</v>
      </c>
      <c r="AT217" s="6">
        <f t="shared" si="15"/>
        <v>7.4665964611872138</v>
      </c>
    </row>
    <row r="218" spans="1:46" x14ac:dyDescent="0.55000000000000004">
      <c r="A218">
        <v>18.100000000000001</v>
      </c>
      <c r="B218">
        <v>26.09</v>
      </c>
      <c r="C218">
        <v>5062.3999999999996</v>
      </c>
      <c r="D218">
        <v>7.58</v>
      </c>
      <c r="E218" t="s">
        <v>2050</v>
      </c>
      <c r="F218" t="s">
        <v>2110</v>
      </c>
      <c r="G218" t="s">
        <v>2157</v>
      </c>
      <c r="H218" t="s">
        <v>898</v>
      </c>
      <c r="I218">
        <v>0</v>
      </c>
      <c r="J218">
        <v>919.91</v>
      </c>
      <c r="K218">
        <f t="shared" si="12"/>
        <v>53.300000000000004</v>
      </c>
      <c r="L218">
        <f t="shared" si="13"/>
        <v>53.300000000000004</v>
      </c>
      <c r="M218">
        <f t="shared" si="14"/>
        <v>0</v>
      </c>
      <c r="N218">
        <v>7.24</v>
      </c>
      <c r="O218">
        <v>82.04</v>
      </c>
      <c r="P218">
        <v>46</v>
      </c>
      <c r="Q218">
        <v>18.2</v>
      </c>
      <c r="R218">
        <v>7.99</v>
      </c>
      <c r="S218">
        <v>11.64</v>
      </c>
      <c r="T218">
        <v>6.46</v>
      </c>
      <c r="U218">
        <v>5.5</v>
      </c>
      <c r="V218">
        <v>3239.94</v>
      </c>
      <c r="W218">
        <v>950.93</v>
      </c>
      <c r="X218">
        <v>1036</v>
      </c>
      <c r="Y218">
        <v>656.9</v>
      </c>
      <c r="Z218">
        <v>26.6</v>
      </c>
      <c r="AA218">
        <v>1.4</v>
      </c>
      <c r="AB218">
        <v>4.78</v>
      </c>
      <c r="AC218">
        <v>55.31</v>
      </c>
      <c r="AD218">
        <v>680</v>
      </c>
      <c r="AE218">
        <v>5900</v>
      </c>
      <c r="AF218">
        <v>72.13</v>
      </c>
      <c r="AG218">
        <v>0.59</v>
      </c>
      <c r="AH218">
        <v>16.02</v>
      </c>
      <c r="AI218">
        <v>235.15</v>
      </c>
      <c r="AJ218">
        <v>60</v>
      </c>
      <c r="AK218">
        <v>9</v>
      </c>
      <c r="AL218">
        <v>9</v>
      </c>
      <c r="AM218">
        <v>0.13</v>
      </c>
      <c r="AN218">
        <v>408</v>
      </c>
      <c r="AO218">
        <v>409.2</v>
      </c>
      <c r="AP218">
        <v>296663.38</v>
      </c>
      <c r="AQ218">
        <v>296663.38</v>
      </c>
      <c r="AR218" t="s">
        <v>1125</v>
      </c>
      <c r="AT218" s="6">
        <f t="shared" si="15"/>
        <v>0</v>
      </c>
    </row>
    <row r="219" spans="1:46" x14ac:dyDescent="0.55000000000000004">
      <c r="A219">
        <v>18.46</v>
      </c>
      <c r="B219">
        <v>26.37</v>
      </c>
      <c r="C219">
        <v>5000.3</v>
      </c>
      <c r="D219">
        <v>7.58</v>
      </c>
      <c r="E219" t="s">
        <v>2051</v>
      </c>
      <c r="F219" t="s">
        <v>2088</v>
      </c>
      <c r="G219" t="s">
        <v>2158</v>
      </c>
      <c r="H219" t="s">
        <v>898</v>
      </c>
      <c r="I219">
        <v>0</v>
      </c>
      <c r="J219">
        <v>683</v>
      </c>
      <c r="K219">
        <f t="shared" si="12"/>
        <v>54.69</v>
      </c>
      <c r="L219">
        <f t="shared" si="13"/>
        <v>54.69</v>
      </c>
      <c r="M219">
        <f t="shared" si="14"/>
        <v>0</v>
      </c>
      <c r="N219">
        <v>7.3</v>
      </c>
      <c r="O219">
        <v>82.03</v>
      </c>
      <c r="P219">
        <v>43</v>
      </c>
      <c r="Q219">
        <v>19.600000000000001</v>
      </c>
      <c r="R219">
        <v>7.9</v>
      </c>
      <c r="S219">
        <v>12.41</v>
      </c>
      <c r="T219">
        <v>6.05</v>
      </c>
      <c r="U219">
        <v>7.32</v>
      </c>
      <c r="V219">
        <v>3200.19</v>
      </c>
      <c r="W219">
        <v>966.45</v>
      </c>
      <c r="X219">
        <v>1251.81</v>
      </c>
      <c r="Y219">
        <v>715.51</v>
      </c>
      <c r="Z219">
        <v>27.4</v>
      </c>
      <c r="AA219">
        <v>1.49</v>
      </c>
      <c r="AB219">
        <v>4.59</v>
      </c>
      <c r="AC219">
        <v>56.63</v>
      </c>
      <c r="AD219">
        <v>680</v>
      </c>
      <c r="AE219">
        <v>5900</v>
      </c>
      <c r="AF219">
        <v>71.349999999999994</v>
      </c>
      <c r="AG219">
        <v>0.59</v>
      </c>
      <c r="AH219">
        <v>11.29</v>
      </c>
      <c r="AI219">
        <v>236.08</v>
      </c>
      <c r="AJ219">
        <v>60</v>
      </c>
      <c r="AK219">
        <v>9</v>
      </c>
      <c r="AL219">
        <v>9</v>
      </c>
      <c r="AM219">
        <v>0.13</v>
      </c>
      <c r="AN219">
        <v>408</v>
      </c>
      <c r="AO219">
        <v>409.2</v>
      </c>
      <c r="AP219">
        <v>295405.25</v>
      </c>
      <c r="AQ219">
        <v>295405.25</v>
      </c>
      <c r="AR219" t="s">
        <v>1126</v>
      </c>
      <c r="AT219" s="6">
        <f t="shared" si="15"/>
        <v>0</v>
      </c>
    </row>
    <row r="220" spans="1:46" x14ac:dyDescent="0.55000000000000004">
      <c r="A220">
        <v>18.66</v>
      </c>
      <c r="B220">
        <v>26.49</v>
      </c>
      <c r="C220">
        <v>5003.8999999999996</v>
      </c>
      <c r="D220">
        <v>7.55</v>
      </c>
      <c r="E220" t="s">
        <v>2052</v>
      </c>
      <c r="F220" t="s">
        <v>2111</v>
      </c>
      <c r="G220" t="s">
        <v>1748</v>
      </c>
      <c r="H220" t="s">
        <v>898</v>
      </c>
      <c r="I220">
        <v>0</v>
      </c>
      <c r="J220">
        <v>646.14</v>
      </c>
      <c r="K220">
        <f t="shared" si="12"/>
        <v>52.08</v>
      </c>
      <c r="L220">
        <f t="shared" si="13"/>
        <v>52.08</v>
      </c>
      <c r="M220">
        <f t="shared" si="14"/>
        <v>0</v>
      </c>
      <c r="N220">
        <v>7.28</v>
      </c>
      <c r="O220">
        <v>82.02</v>
      </c>
      <c r="P220">
        <v>48</v>
      </c>
      <c r="Q220">
        <v>19.100000000000001</v>
      </c>
      <c r="R220">
        <v>7.83</v>
      </c>
      <c r="S220">
        <v>12.66</v>
      </c>
      <c r="T220">
        <v>6</v>
      </c>
      <c r="U220">
        <v>7.74</v>
      </c>
      <c r="V220">
        <v>3202.5</v>
      </c>
      <c r="W220">
        <v>970.18</v>
      </c>
      <c r="X220">
        <v>1281.6300000000001</v>
      </c>
      <c r="Y220">
        <v>723.83</v>
      </c>
      <c r="Z220">
        <v>26</v>
      </c>
      <c r="AA220">
        <v>1.49</v>
      </c>
      <c r="AB220">
        <v>4.58</v>
      </c>
      <c r="AC220">
        <v>56.64</v>
      </c>
      <c r="AD220">
        <v>680</v>
      </c>
      <c r="AE220">
        <v>5900</v>
      </c>
      <c r="AF220">
        <v>70.69</v>
      </c>
      <c r="AG220">
        <v>0.59</v>
      </c>
      <c r="AH220">
        <v>10.48</v>
      </c>
      <c r="AI220">
        <v>235.24</v>
      </c>
      <c r="AJ220">
        <v>60</v>
      </c>
      <c r="AK220">
        <v>9</v>
      </c>
      <c r="AL220">
        <v>9</v>
      </c>
      <c r="AM220">
        <v>0.13</v>
      </c>
      <c r="AN220">
        <v>408</v>
      </c>
      <c r="AO220">
        <v>409.2</v>
      </c>
      <c r="AP220">
        <v>291127.59000000003</v>
      </c>
      <c r="AQ220">
        <v>291127.59000000003</v>
      </c>
      <c r="AR220" t="s">
        <v>1127</v>
      </c>
      <c r="AT220" s="6">
        <f t="shared" si="15"/>
        <v>0</v>
      </c>
    </row>
    <row r="221" spans="1:46" x14ac:dyDescent="0.55000000000000004">
      <c r="A221">
        <v>18.670000000000002</v>
      </c>
      <c r="B221">
        <v>26.52</v>
      </c>
      <c r="C221">
        <v>4996</v>
      </c>
      <c r="D221">
        <v>7.56</v>
      </c>
      <c r="E221" t="s">
        <v>2053</v>
      </c>
      <c r="F221" t="s">
        <v>2082</v>
      </c>
      <c r="G221" t="s">
        <v>2159</v>
      </c>
      <c r="H221" t="s">
        <v>898</v>
      </c>
      <c r="I221">
        <v>0</v>
      </c>
      <c r="J221">
        <v>645.9</v>
      </c>
      <c r="K221">
        <f t="shared" si="12"/>
        <v>52.669999999999995</v>
      </c>
      <c r="L221">
        <f t="shared" si="13"/>
        <v>52.669999999999995</v>
      </c>
      <c r="M221">
        <f t="shared" si="14"/>
        <v>0</v>
      </c>
      <c r="N221">
        <v>7.28</v>
      </c>
      <c r="O221">
        <v>81.98</v>
      </c>
      <c r="P221">
        <v>49</v>
      </c>
      <c r="Q221">
        <v>19.2</v>
      </c>
      <c r="R221">
        <v>7.85</v>
      </c>
      <c r="S221">
        <v>12.88</v>
      </c>
      <c r="T221">
        <v>5.79</v>
      </c>
      <c r="U221">
        <v>7.73</v>
      </c>
      <c r="V221">
        <v>3197.44</v>
      </c>
      <c r="W221">
        <v>968.53</v>
      </c>
      <c r="X221">
        <v>1278.77</v>
      </c>
      <c r="Y221">
        <v>722.41</v>
      </c>
      <c r="Z221">
        <v>26.37</v>
      </c>
      <c r="AA221">
        <v>1.49</v>
      </c>
      <c r="AB221">
        <v>4.57</v>
      </c>
      <c r="AC221">
        <v>57.55</v>
      </c>
      <c r="AD221">
        <v>680</v>
      </c>
      <c r="AE221">
        <v>5900</v>
      </c>
      <c r="AF221">
        <v>70.86</v>
      </c>
      <c r="AG221">
        <v>0.59</v>
      </c>
      <c r="AH221">
        <v>10.52</v>
      </c>
      <c r="AI221">
        <v>235.96</v>
      </c>
      <c r="AJ221">
        <v>60</v>
      </c>
      <c r="AK221">
        <v>9</v>
      </c>
      <c r="AL221">
        <v>9</v>
      </c>
      <c r="AM221">
        <v>0.13</v>
      </c>
      <c r="AN221">
        <v>408</v>
      </c>
      <c r="AO221">
        <v>409.2</v>
      </c>
      <c r="AP221">
        <v>294673</v>
      </c>
      <c r="AQ221">
        <v>294673</v>
      </c>
      <c r="AR221" t="s">
        <v>1128</v>
      </c>
      <c r="AT221" s="6">
        <f t="shared" si="15"/>
        <v>0</v>
      </c>
    </row>
    <row r="222" spans="1:46" x14ac:dyDescent="0.55000000000000004">
      <c r="A222">
        <v>19.61</v>
      </c>
      <c r="B222">
        <v>28.29</v>
      </c>
      <c r="C222">
        <v>5133.8</v>
      </c>
      <c r="D222">
        <v>7.58</v>
      </c>
      <c r="E222" t="s">
        <v>2054</v>
      </c>
      <c r="F222" t="s">
        <v>2081</v>
      </c>
      <c r="G222" t="s">
        <v>2129</v>
      </c>
      <c r="H222" t="s">
        <v>898</v>
      </c>
      <c r="I222">
        <v>0</v>
      </c>
      <c r="J222">
        <v>877.05</v>
      </c>
      <c r="K222">
        <f t="shared" si="12"/>
        <v>59.88</v>
      </c>
      <c r="L222">
        <f t="shared" si="13"/>
        <v>59.88</v>
      </c>
      <c r="M222">
        <f t="shared" si="14"/>
        <v>0</v>
      </c>
      <c r="N222">
        <v>7.32</v>
      </c>
      <c r="O222">
        <v>82.01</v>
      </c>
      <c r="P222">
        <v>39</v>
      </c>
      <c r="Q222">
        <v>22.5</v>
      </c>
      <c r="R222">
        <v>8.68</v>
      </c>
      <c r="S222">
        <v>14.19</v>
      </c>
      <c r="T222">
        <v>5.41</v>
      </c>
      <c r="U222">
        <v>5.85</v>
      </c>
      <c r="V222">
        <v>3285.63</v>
      </c>
      <c r="W222">
        <v>973.76</v>
      </c>
      <c r="X222">
        <v>1123.5</v>
      </c>
      <c r="Y222">
        <v>688.58</v>
      </c>
      <c r="Z222">
        <v>29.96</v>
      </c>
      <c r="AA222">
        <v>1.47</v>
      </c>
      <c r="AB222">
        <v>4.63</v>
      </c>
      <c r="AC222">
        <v>61.6</v>
      </c>
      <c r="AD222">
        <v>680</v>
      </c>
      <c r="AE222">
        <v>5900</v>
      </c>
      <c r="AF222">
        <v>78.38</v>
      </c>
      <c r="AG222">
        <v>0.59</v>
      </c>
      <c r="AH222">
        <v>16.149999999999999</v>
      </c>
      <c r="AI222">
        <v>235.76</v>
      </c>
      <c r="AJ222">
        <v>60</v>
      </c>
      <c r="AK222">
        <v>9</v>
      </c>
      <c r="AL222">
        <v>9</v>
      </c>
      <c r="AM222">
        <v>0.13</v>
      </c>
      <c r="AN222">
        <v>408</v>
      </c>
      <c r="AO222">
        <v>409.2</v>
      </c>
      <c r="AP222">
        <v>301122.28000000003</v>
      </c>
      <c r="AQ222">
        <v>301122.28000000003</v>
      </c>
      <c r="AR222" t="s">
        <v>1129</v>
      </c>
      <c r="AT222" s="6">
        <f t="shared" si="15"/>
        <v>0</v>
      </c>
    </row>
    <row r="223" spans="1:46" x14ac:dyDescent="0.55000000000000004">
      <c r="A223">
        <v>20.48</v>
      </c>
      <c r="B223">
        <v>29.63</v>
      </c>
      <c r="C223">
        <v>5138.8</v>
      </c>
      <c r="D223">
        <v>7.57</v>
      </c>
      <c r="E223" t="s">
        <v>2055</v>
      </c>
      <c r="F223" t="s">
        <v>2112</v>
      </c>
      <c r="G223" t="s">
        <v>2160</v>
      </c>
      <c r="H223" t="s">
        <v>898</v>
      </c>
      <c r="I223">
        <v>0</v>
      </c>
      <c r="J223">
        <v>922.3</v>
      </c>
      <c r="K223">
        <f t="shared" si="12"/>
        <v>66.399999999999991</v>
      </c>
      <c r="L223">
        <f t="shared" si="13"/>
        <v>66.399999999999991</v>
      </c>
      <c r="M223">
        <f t="shared" si="14"/>
        <v>0</v>
      </c>
      <c r="N223">
        <v>7.37</v>
      </c>
      <c r="O223">
        <v>81.95</v>
      </c>
      <c r="P223">
        <v>34</v>
      </c>
      <c r="Q223">
        <v>25</v>
      </c>
      <c r="R223">
        <v>9.15</v>
      </c>
      <c r="S223">
        <v>15.34</v>
      </c>
      <c r="T223">
        <v>5.15</v>
      </c>
      <c r="U223">
        <v>5.57</v>
      </c>
      <c r="V223">
        <v>3288.83</v>
      </c>
      <c r="W223">
        <v>974.69</v>
      </c>
      <c r="X223">
        <v>1119.77</v>
      </c>
      <c r="Y223">
        <v>688.71</v>
      </c>
      <c r="Z223">
        <v>33.229999999999997</v>
      </c>
      <c r="AA223">
        <v>1.48</v>
      </c>
      <c r="AB223">
        <v>4.6100000000000003</v>
      </c>
      <c r="AC223">
        <v>64.010000000000005</v>
      </c>
      <c r="AD223">
        <v>680</v>
      </c>
      <c r="AE223">
        <v>5900</v>
      </c>
      <c r="AF223">
        <v>82.6</v>
      </c>
      <c r="AG223">
        <v>0.59</v>
      </c>
      <c r="AH223">
        <v>18.07</v>
      </c>
      <c r="AI223">
        <v>235.81</v>
      </c>
      <c r="AJ223">
        <v>60</v>
      </c>
      <c r="AK223">
        <v>9</v>
      </c>
      <c r="AL223">
        <v>9</v>
      </c>
      <c r="AM223">
        <v>0.13</v>
      </c>
      <c r="AN223">
        <v>408</v>
      </c>
      <c r="AO223">
        <v>409.2</v>
      </c>
      <c r="AP223">
        <v>307501.7</v>
      </c>
      <c r="AQ223">
        <v>307501.7</v>
      </c>
      <c r="AR223" t="s">
        <v>1130</v>
      </c>
      <c r="AT223" s="6">
        <f t="shared" si="15"/>
        <v>0</v>
      </c>
    </row>
    <row r="224" spans="1:46" x14ac:dyDescent="0.55000000000000004">
      <c r="A224">
        <v>20.23</v>
      </c>
      <c r="B224">
        <v>29.17</v>
      </c>
      <c r="C224">
        <v>5132</v>
      </c>
      <c r="D224">
        <v>7.57</v>
      </c>
      <c r="E224" t="s">
        <v>2056</v>
      </c>
      <c r="F224" t="s">
        <v>2113</v>
      </c>
      <c r="G224" t="s">
        <v>2161</v>
      </c>
      <c r="H224" t="s">
        <v>898</v>
      </c>
      <c r="I224">
        <v>0</v>
      </c>
      <c r="J224">
        <v>907.68</v>
      </c>
      <c r="K224">
        <f t="shared" si="12"/>
        <v>63.52</v>
      </c>
      <c r="L224">
        <f t="shared" si="13"/>
        <v>63.52</v>
      </c>
      <c r="M224">
        <f t="shared" si="14"/>
        <v>0</v>
      </c>
      <c r="N224">
        <v>7.36</v>
      </c>
      <c r="O224">
        <v>81.93</v>
      </c>
      <c r="P224">
        <v>35</v>
      </c>
      <c r="Q224">
        <v>24.4</v>
      </c>
      <c r="R224">
        <v>8.94</v>
      </c>
      <c r="S224">
        <v>15.05</v>
      </c>
      <c r="T224">
        <v>5.18</v>
      </c>
      <c r="U224">
        <v>5.65</v>
      </c>
      <c r="V224">
        <v>3284.48</v>
      </c>
      <c r="W224">
        <v>973.43</v>
      </c>
      <c r="X224">
        <v>1119.98</v>
      </c>
      <c r="Y224">
        <v>688.02</v>
      </c>
      <c r="Z224">
        <v>31.75</v>
      </c>
      <c r="AA224">
        <v>1.47</v>
      </c>
      <c r="AB224">
        <v>4.62</v>
      </c>
      <c r="AC224">
        <v>63.28</v>
      </c>
      <c r="AD224">
        <v>680</v>
      </c>
      <c r="AE224">
        <v>5900</v>
      </c>
      <c r="AF224">
        <v>80.67</v>
      </c>
      <c r="AG224">
        <v>0.59</v>
      </c>
      <c r="AH224">
        <v>17.329999999999998</v>
      </c>
      <c r="AI224">
        <v>235.58</v>
      </c>
      <c r="AJ224">
        <v>60</v>
      </c>
      <c r="AK224">
        <v>9</v>
      </c>
      <c r="AL224">
        <v>9</v>
      </c>
      <c r="AM224">
        <v>0.13</v>
      </c>
      <c r="AN224">
        <v>408</v>
      </c>
      <c r="AO224">
        <v>409.2</v>
      </c>
      <c r="AP224">
        <v>302352.38</v>
      </c>
      <c r="AQ224">
        <v>302352.38</v>
      </c>
      <c r="AR224" t="s">
        <v>1131</v>
      </c>
      <c r="AT224" s="6">
        <f t="shared" si="15"/>
        <v>0</v>
      </c>
    </row>
    <row r="225" spans="1:46" x14ac:dyDescent="0.55000000000000004">
      <c r="A225">
        <v>19.48</v>
      </c>
      <c r="B225">
        <v>28.15</v>
      </c>
      <c r="C225">
        <v>5118.6000000000004</v>
      </c>
      <c r="D225">
        <v>7.57</v>
      </c>
      <c r="E225" t="s">
        <v>2057</v>
      </c>
      <c r="F225" t="s">
        <v>2114</v>
      </c>
      <c r="G225" t="s">
        <v>2162</v>
      </c>
      <c r="H225" t="s">
        <v>898</v>
      </c>
      <c r="I225">
        <v>0</v>
      </c>
      <c r="J225">
        <v>885.84</v>
      </c>
      <c r="K225">
        <f t="shared" si="12"/>
        <v>60.09</v>
      </c>
      <c r="L225">
        <f t="shared" si="13"/>
        <v>60.09</v>
      </c>
      <c r="M225">
        <f t="shared" si="14"/>
        <v>0</v>
      </c>
      <c r="N225">
        <v>7.33</v>
      </c>
      <c r="O225">
        <v>82.05</v>
      </c>
      <c r="P225">
        <v>39</v>
      </c>
      <c r="Q225">
        <v>22</v>
      </c>
      <c r="R225">
        <v>8.67</v>
      </c>
      <c r="S225">
        <v>13.79</v>
      </c>
      <c r="T225">
        <v>5.69</v>
      </c>
      <c r="U225">
        <v>5.78</v>
      </c>
      <c r="V225">
        <v>3275.9</v>
      </c>
      <c r="W225">
        <v>970.44</v>
      </c>
      <c r="X225">
        <v>1116.08</v>
      </c>
      <c r="Y225">
        <v>685.43</v>
      </c>
      <c r="Z225">
        <v>30</v>
      </c>
      <c r="AA225">
        <v>1.46</v>
      </c>
      <c r="AB225">
        <v>4.6500000000000004</v>
      </c>
      <c r="AC225">
        <v>60.36</v>
      </c>
      <c r="AD225">
        <v>680</v>
      </c>
      <c r="AE225">
        <v>5900</v>
      </c>
      <c r="AF225">
        <v>78.25</v>
      </c>
      <c r="AG225">
        <v>0.59</v>
      </c>
      <c r="AH225">
        <v>16.38</v>
      </c>
      <c r="AI225">
        <v>235.28</v>
      </c>
      <c r="AJ225">
        <v>60</v>
      </c>
      <c r="AK225">
        <v>9</v>
      </c>
      <c r="AL225">
        <v>9</v>
      </c>
      <c r="AM225">
        <v>0.13</v>
      </c>
      <c r="AN225">
        <v>408</v>
      </c>
      <c r="AO225">
        <v>409.2</v>
      </c>
      <c r="AP225">
        <v>300052</v>
      </c>
      <c r="AQ225">
        <v>300052</v>
      </c>
      <c r="AR225" t="s">
        <v>1132</v>
      </c>
      <c r="AT225" s="6">
        <f t="shared" si="15"/>
        <v>0</v>
      </c>
    </row>
    <row r="226" spans="1:46" x14ac:dyDescent="0.55000000000000004">
      <c r="A226">
        <v>22.06</v>
      </c>
      <c r="B226">
        <v>31.52</v>
      </c>
      <c r="C226">
        <v>5226.7</v>
      </c>
      <c r="D226">
        <v>7.57</v>
      </c>
      <c r="E226" t="s">
        <v>2058</v>
      </c>
      <c r="F226" t="s">
        <v>2115</v>
      </c>
      <c r="G226" t="s">
        <v>597</v>
      </c>
      <c r="H226" t="s">
        <v>898</v>
      </c>
      <c r="I226">
        <v>0</v>
      </c>
      <c r="J226">
        <v>856.47</v>
      </c>
      <c r="K226">
        <f t="shared" si="12"/>
        <v>64.83</v>
      </c>
      <c r="L226">
        <f t="shared" si="13"/>
        <v>64.83</v>
      </c>
      <c r="M226">
        <f t="shared" si="14"/>
        <v>0</v>
      </c>
      <c r="N226">
        <v>7.37</v>
      </c>
      <c r="O226">
        <v>82.09</v>
      </c>
      <c r="P226">
        <v>49</v>
      </c>
      <c r="Q226">
        <v>24.5</v>
      </c>
      <c r="R226">
        <v>9.4600000000000009</v>
      </c>
      <c r="S226">
        <v>17.41</v>
      </c>
      <c r="T226">
        <v>4.6399999999999997</v>
      </c>
      <c r="U226">
        <v>6.1</v>
      </c>
      <c r="V226">
        <v>3345.09</v>
      </c>
      <c r="W226">
        <v>996.95</v>
      </c>
      <c r="X226">
        <v>1186.7</v>
      </c>
      <c r="Y226">
        <v>714.28</v>
      </c>
      <c r="Z226">
        <v>32.44</v>
      </c>
      <c r="AA226">
        <v>1.54</v>
      </c>
      <c r="AB226">
        <v>4.4800000000000004</v>
      </c>
      <c r="AC226">
        <v>67.069999999999993</v>
      </c>
      <c r="AD226">
        <v>680</v>
      </c>
      <c r="AE226">
        <v>5900</v>
      </c>
      <c r="AF226">
        <v>85.4</v>
      </c>
      <c r="AG226">
        <v>0.59</v>
      </c>
      <c r="AH226">
        <v>16.739999999999998</v>
      </c>
      <c r="AI226">
        <v>235.79</v>
      </c>
      <c r="AJ226">
        <v>60</v>
      </c>
      <c r="AK226">
        <v>9</v>
      </c>
      <c r="AL226">
        <v>9</v>
      </c>
      <c r="AM226">
        <v>0.13</v>
      </c>
      <c r="AN226">
        <v>408</v>
      </c>
      <c r="AO226">
        <v>409.2</v>
      </c>
      <c r="AP226">
        <v>305585.08</v>
      </c>
      <c r="AQ226">
        <v>305585.08</v>
      </c>
      <c r="AR226" t="s">
        <v>1133</v>
      </c>
      <c r="AT226" s="6">
        <f t="shared" si="15"/>
        <v>0</v>
      </c>
    </row>
    <row r="227" spans="1:46" x14ac:dyDescent="0.55000000000000004">
      <c r="A227">
        <v>18.66</v>
      </c>
      <c r="B227">
        <v>27.34</v>
      </c>
      <c r="C227">
        <v>5135.6000000000004</v>
      </c>
      <c r="D227">
        <v>7.55</v>
      </c>
      <c r="E227" t="s">
        <v>2059</v>
      </c>
      <c r="F227" t="s">
        <v>2115</v>
      </c>
      <c r="G227" t="s">
        <v>2163</v>
      </c>
      <c r="H227" t="s">
        <v>898</v>
      </c>
      <c r="I227">
        <v>0</v>
      </c>
      <c r="J227">
        <v>633.58000000000004</v>
      </c>
      <c r="K227">
        <f t="shared" si="12"/>
        <v>58.679999999999993</v>
      </c>
      <c r="L227">
        <f t="shared" si="13"/>
        <v>58.679999999999993</v>
      </c>
      <c r="M227">
        <f t="shared" si="14"/>
        <v>0</v>
      </c>
      <c r="N227">
        <v>7.35</v>
      </c>
      <c r="O227">
        <v>81.97</v>
      </c>
      <c r="P227">
        <v>45</v>
      </c>
      <c r="Q227">
        <v>19</v>
      </c>
      <c r="R227">
        <v>8.68</v>
      </c>
      <c r="S227">
        <v>12.18</v>
      </c>
      <c r="T227">
        <v>6.48</v>
      </c>
      <c r="U227">
        <v>8.11</v>
      </c>
      <c r="V227">
        <v>3286.78</v>
      </c>
      <c r="W227">
        <v>1004.79</v>
      </c>
      <c r="X227">
        <v>1383.91</v>
      </c>
      <c r="Y227">
        <v>764.3</v>
      </c>
      <c r="Z227">
        <v>29.38</v>
      </c>
      <c r="AA227">
        <v>1.53</v>
      </c>
      <c r="AB227">
        <v>4.49</v>
      </c>
      <c r="AC227">
        <v>57.26</v>
      </c>
      <c r="AD227">
        <v>680</v>
      </c>
      <c r="AE227">
        <v>5900</v>
      </c>
      <c r="AF227">
        <v>78.34</v>
      </c>
      <c r="AG227">
        <v>0.59</v>
      </c>
      <c r="AH227">
        <v>11.02</v>
      </c>
      <c r="AI227">
        <v>235.94</v>
      </c>
      <c r="AJ227">
        <v>60</v>
      </c>
      <c r="AK227">
        <v>9</v>
      </c>
      <c r="AL227">
        <v>9</v>
      </c>
      <c r="AM227">
        <v>0.13</v>
      </c>
      <c r="AN227">
        <v>408</v>
      </c>
      <c r="AO227">
        <v>409.2</v>
      </c>
      <c r="AP227">
        <v>300149.65000000002</v>
      </c>
      <c r="AQ227">
        <v>300149.65000000002</v>
      </c>
      <c r="AR227" t="s">
        <v>1134</v>
      </c>
      <c r="AT227" s="6">
        <f t="shared" si="15"/>
        <v>0</v>
      </c>
    </row>
    <row r="228" spans="1:46" x14ac:dyDescent="0.55000000000000004">
      <c r="A228">
        <v>20.58</v>
      </c>
      <c r="B228">
        <v>29.98</v>
      </c>
      <c r="C228">
        <v>5138.5</v>
      </c>
      <c r="D228">
        <v>7.56</v>
      </c>
      <c r="E228" t="s">
        <v>2060</v>
      </c>
      <c r="F228" t="s">
        <v>2092</v>
      </c>
      <c r="G228" t="s">
        <v>2164</v>
      </c>
      <c r="H228" t="s">
        <v>898</v>
      </c>
      <c r="I228">
        <v>0</v>
      </c>
      <c r="J228">
        <v>933.56</v>
      </c>
      <c r="K228">
        <f t="shared" si="12"/>
        <v>68.19</v>
      </c>
      <c r="L228">
        <f t="shared" si="13"/>
        <v>68.19</v>
      </c>
      <c r="M228">
        <f t="shared" si="14"/>
        <v>0</v>
      </c>
      <c r="N228">
        <v>7.39</v>
      </c>
      <c r="O228">
        <v>81.98</v>
      </c>
      <c r="P228">
        <v>32</v>
      </c>
      <c r="Q228">
        <v>25.3</v>
      </c>
      <c r="R228">
        <v>9.4</v>
      </c>
      <c r="S228">
        <v>15.2</v>
      </c>
      <c r="T228">
        <v>5.38</v>
      </c>
      <c r="U228">
        <v>5.5</v>
      </c>
      <c r="V228">
        <v>3288.64</v>
      </c>
      <c r="W228">
        <v>974.89</v>
      </c>
      <c r="X228">
        <v>1120.52</v>
      </c>
      <c r="Y228">
        <v>689.16</v>
      </c>
      <c r="Z228">
        <v>34.04</v>
      </c>
      <c r="AA228">
        <v>1.48</v>
      </c>
      <c r="AB228">
        <v>4.6100000000000003</v>
      </c>
      <c r="AC228">
        <v>63.58</v>
      </c>
      <c r="AD228">
        <v>680</v>
      </c>
      <c r="AE228">
        <v>5900</v>
      </c>
      <c r="AF228">
        <v>84.85</v>
      </c>
      <c r="AG228">
        <v>0.59</v>
      </c>
      <c r="AH228">
        <v>18.84</v>
      </c>
      <c r="AI228">
        <v>235.27</v>
      </c>
      <c r="AJ228">
        <v>60</v>
      </c>
      <c r="AK228">
        <v>9</v>
      </c>
      <c r="AL228">
        <v>9</v>
      </c>
      <c r="AM228">
        <v>0.13</v>
      </c>
      <c r="AN228">
        <v>408</v>
      </c>
      <c r="AO228">
        <v>409.2</v>
      </c>
      <c r="AP228">
        <v>307418.98</v>
      </c>
      <c r="AQ228">
        <v>307418.98</v>
      </c>
      <c r="AR228" t="s">
        <v>1135</v>
      </c>
      <c r="AT228" s="6">
        <f t="shared" si="15"/>
        <v>0</v>
      </c>
    </row>
    <row r="229" spans="1:46" x14ac:dyDescent="0.55000000000000004">
      <c r="A229">
        <v>19.2</v>
      </c>
      <c r="B229">
        <v>27.97</v>
      </c>
      <c r="C229">
        <v>5137.3999999999996</v>
      </c>
      <c r="D229">
        <v>7.56</v>
      </c>
      <c r="E229" t="s">
        <v>2015</v>
      </c>
      <c r="F229" t="s">
        <v>1362</v>
      </c>
      <c r="G229" t="s">
        <v>2165</v>
      </c>
      <c r="H229" t="s">
        <v>898</v>
      </c>
      <c r="I229">
        <v>0</v>
      </c>
      <c r="J229">
        <v>864.23</v>
      </c>
      <c r="K229">
        <f t="shared" si="12"/>
        <v>58.410000000000004</v>
      </c>
      <c r="L229">
        <f t="shared" si="13"/>
        <v>58.410000000000004</v>
      </c>
      <c r="M229">
        <f t="shared" si="14"/>
        <v>0</v>
      </c>
      <c r="N229">
        <v>7.31</v>
      </c>
      <c r="O229">
        <v>81.73</v>
      </c>
      <c r="P229">
        <v>41</v>
      </c>
      <c r="Q229">
        <v>21</v>
      </c>
      <c r="R229">
        <v>8.77</v>
      </c>
      <c r="S229">
        <v>13.28</v>
      </c>
      <c r="T229">
        <v>5.92</v>
      </c>
      <c r="U229">
        <v>5.94</v>
      </c>
      <c r="V229">
        <v>3287.94</v>
      </c>
      <c r="W229">
        <v>974.68</v>
      </c>
      <c r="X229">
        <v>1127.44</v>
      </c>
      <c r="Y229">
        <v>689.77</v>
      </c>
      <c r="Z229">
        <v>29.22</v>
      </c>
      <c r="AA229">
        <v>1.45</v>
      </c>
      <c r="AB229">
        <v>4.67</v>
      </c>
      <c r="AC229">
        <v>59.68</v>
      </c>
      <c r="AD229">
        <v>680</v>
      </c>
      <c r="AE229">
        <v>5900</v>
      </c>
      <c r="AF229">
        <v>79.13</v>
      </c>
      <c r="AG229">
        <v>0.59</v>
      </c>
      <c r="AH229">
        <v>16</v>
      </c>
      <c r="AI229">
        <v>235.7</v>
      </c>
      <c r="AJ229">
        <v>60</v>
      </c>
      <c r="AK229">
        <v>9</v>
      </c>
      <c r="AL229">
        <v>9</v>
      </c>
      <c r="AM229">
        <v>0.13</v>
      </c>
      <c r="AN229">
        <v>408</v>
      </c>
      <c r="AO229">
        <v>409.2</v>
      </c>
      <c r="AP229">
        <v>299130.56</v>
      </c>
      <c r="AQ229">
        <v>299130.56</v>
      </c>
      <c r="AR229" t="s">
        <v>1136</v>
      </c>
      <c r="AT229" s="6">
        <f t="shared" si="15"/>
        <v>0</v>
      </c>
    </row>
    <row r="230" spans="1:46" x14ac:dyDescent="0.55000000000000004">
      <c r="A230">
        <v>18.47</v>
      </c>
      <c r="B230">
        <v>27.11</v>
      </c>
      <c r="C230">
        <v>5143.3</v>
      </c>
      <c r="D230">
        <v>7.5</v>
      </c>
      <c r="E230" t="s">
        <v>2061</v>
      </c>
      <c r="F230" t="s">
        <v>2031</v>
      </c>
      <c r="G230" t="s">
        <v>2166</v>
      </c>
      <c r="H230" t="s">
        <v>898</v>
      </c>
      <c r="I230">
        <v>0</v>
      </c>
      <c r="J230">
        <v>609.16</v>
      </c>
      <c r="K230">
        <f t="shared" si="12"/>
        <v>57.239999999999995</v>
      </c>
      <c r="L230">
        <f t="shared" si="13"/>
        <v>57.239999999999995</v>
      </c>
      <c r="M230">
        <f t="shared" si="14"/>
        <v>0</v>
      </c>
      <c r="N230">
        <v>7.34</v>
      </c>
      <c r="O230">
        <v>82.01</v>
      </c>
      <c r="P230">
        <v>46</v>
      </c>
      <c r="Q230">
        <v>18.3</v>
      </c>
      <c r="R230">
        <v>8.64</v>
      </c>
      <c r="S230">
        <v>11.73</v>
      </c>
      <c r="T230">
        <v>6.75</v>
      </c>
      <c r="U230">
        <v>8.44</v>
      </c>
      <c r="V230">
        <v>3291.71</v>
      </c>
      <c r="W230">
        <v>1009.5</v>
      </c>
      <c r="X230">
        <v>1414.55</v>
      </c>
      <c r="Y230">
        <v>773.47</v>
      </c>
      <c r="Z230">
        <v>28.57</v>
      </c>
      <c r="AA230">
        <v>1.49</v>
      </c>
      <c r="AB230">
        <v>4.5199999999999996</v>
      </c>
      <c r="AC230">
        <v>56.15</v>
      </c>
      <c r="AD230">
        <v>680</v>
      </c>
      <c r="AE230">
        <v>5900</v>
      </c>
      <c r="AF230">
        <v>77.98</v>
      </c>
      <c r="AG230">
        <v>0.59</v>
      </c>
      <c r="AH230">
        <v>10.48</v>
      </c>
      <c r="AI230">
        <v>235.23</v>
      </c>
      <c r="AJ230">
        <v>60</v>
      </c>
      <c r="AK230">
        <v>9</v>
      </c>
      <c r="AL230">
        <v>9</v>
      </c>
      <c r="AM230">
        <v>0.13</v>
      </c>
      <c r="AN230">
        <v>408</v>
      </c>
      <c r="AO230">
        <v>409.2</v>
      </c>
      <c r="AP230">
        <v>297965.15999999997</v>
      </c>
      <c r="AQ230">
        <v>297965.15999999997</v>
      </c>
      <c r="AR230" t="s">
        <v>1137</v>
      </c>
      <c r="AT230" s="6">
        <f t="shared" si="15"/>
        <v>0</v>
      </c>
    </row>
    <row r="231" spans="1:46" x14ac:dyDescent="0.55000000000000004">
      <c r="A231">
        <v>22.13</v>
      </c>
      <c r="B231">
        <v>31.72</v>
      </c>
      <c r="C231">
        <v>5256.5</v>
      </c>
      <c r="D231">
        <v>7.55</v>
      </c>
      <c r="E231" t="s">
        <v>2027</v>
      </c>
      <c r="F231" t="s">
        <v>2116</v>
      </c>
      <c r="G231" t="s">
        <v>2167</v>
      </c>
      <c r="H231" t="s">
        <v>898</v>
      </c>
      <c r="I231">
        <v>0</v>
      </c>
      <c r="J231">
        <v>810.2</v>
      </c>
      <c r="K231">
        <f t="shared" si="12"/>
        <v>61.190000000000005</v>
      </c>
      <c r="L231">
        <f t="shared" si="13"/>
        <v>61.190000000000005</v>
      </c>
      <c r="M231">
        <f t="shared" si="14"/>
        <v>0</v>
      </c>
      <c r="N231">
        <v>7.35</v>
      </c>
      <c r="O231">
        <v>82.04</v>
      </c>
      <c r="P231">
        <v>52</v>
      </c>
      <c r="Q231">
        <v>24.1</v>
      </c>
      <c r="R231">
        <v>9.59</v>
      </c>
      <c r="S231">
        <v>17.52</v>
      </c>
      <c r="T231">
        <v>4.5999999999999996</v>
      </c>
      <c r="U231">
        <v>6.49</v>
      </c>
      <c r="V231">
        <v>3364.16</v>
      </c>
      <c r="W231">
        <v>1005.74</v>
      </c>
      <c r="X231">
        <v>1221.76</v>
      </c>
      <c r="Y231">
        <v>726.19</v>
      </c>
      <c r="Z231">
        <v>30.52</v>
      </c>
      <c r="AA231">
        <v>1.55</v>
      </c>
      <c r="AB231">
        <v>4.46</v>
      </c>
      <c r="AC231">
        <v>67.56</v>
      </c>
      <c r="AD231">
        <v>680</v>
      </c>
      <c r="AE231">
        <v>5900</v>
      </c>
      <c r="AF231">
        <v>86.56</v>
      </c>
      <c r="AG231">
        <v>0.59</v>
      </c>
      <c r="AH231">
        <v>15.77</v>
      </c>
      <c r="AI231">
        <v>235.07</v>
      </c>
      <c r="AJ231">
        <v>60</v>
      </c>
      <c r="AK231">
        <v>9</v>
      </c>
      <c r="AL231">
        <v>9</v>
      </c>
      <c r="AM231">
        <v>0.13</v>
      </c>
      <c r="AN231">
        <v>408</v>
      </c>
      <c r="AO231">
        <v>409.2</v>
      </c>
      <c r="AP231">
        <v>299394.89</v>
      </c>
      <c r="AQ231">
        <v>299394.89</v>
      </c>
      <c r="AR231" t="s">
        <v>1138</v>
      </c>
      <c r="AT231" s="6">
        <f t="shared" si="15"/>
        <v>0</v>
      </c>
    </row>
    <row r="232" spans="1:46" x14ac:dyDescent="0.55000000000000004">
      <c r="A232">
        <v>19.399999999999999</v>
      </c>
      <c r="B232">
        <v>28.03</v>
      </c>
      <c r="C232">
        <v>5129.3999999999996</v>
      </c>
      <c r="D232">
        <v>7.57</v>
      </c>
      <c r="E232" t="s">
        <v>2062</v>
      </c>
      <c r="F232" t="s">
        <v>2117</v>
      </c>
      <c r="G232" t="s">
        <v>2168</v>
      </c>
      <c r="H232" t="s">
        <v>898</v>
      </c>
      <c r="I232">
        <v>0</v>
      </c>
      <c r="J232">
        <v>921.06</v>
      </c>
      <c r="K232">
        <f t="shared" si="12"/>
        <v>63.25</v>
      </c>
      <c r="L232">
        <f t="shared" si="13"/>
        <v>63.25</v>
      </c>
      <c r="M232">
        <f t="shared" si="14"/>
        <v>0</v>
      </c>
      <c r="N232">
        <v>7.35</v>
      </c>
      <c r="O232">
        <v>81.95</v>
      </c>
      <c r="P232">
        <v>40</v>
      </c>
      <c r="Q232">
        <v>21.5</v>
      </c>
      <c r="R232">
        <v>8.64</v>
      </c>
      <c r="S232">
        <v>13.54</v>
      </c>
      <c r="T232">
        <v>5.86</v>
      </c>
      <c r="U232">
        <v>5.57</v>
      </c>
      <c r="V232">
        <v>3282.82</v>
      </c>
      <c r="W232">
        <v>971.26</v>
      </c>
      <c r="X232">
        <v>1105.9100000000001</v>
      </c>
      <c r="Y232">
        <v>683.63</v>
      </c>
      <c r="Z232">
        <v>31.65</v>
      </c>
      <c r="AA232">
        <v>1.45</v>
      </c>
      <c r="AB232">
        <v>4.67</v>
      </c>
      <c r="AC232">
        <v>59.58</v>
      </c>
      <c r="AD232">
        <v>680</v>
      </c>
      <c r="AE232">
        <v>5900</v>
      </c>
      <c r="AF232">
        <v>77.959999999999994</v>
      </c>
      <c r="AG232">
        <v>0.59</v>
      </c>
      <c r="AH232">
        <v>17.059999999999999</v>
      </c>
      <c r="AI232">
        <v>235.84</v>
      </c>
      <c r="AJ232">
        <v>60</v>
      </c>
      <c r="AK232">
        <v>9</v>
      </c>
      <c r="AL232">
        <v>9</v>
      </c>
      <c r="AM232">
        <v>0.13</v>
      </c>
      <c r="AN232">
        <v>408</v>
      </c>
      <c r="AO232">
        <v>409.2</v>
      </c>
      <c r="AP232">
        <v>303757.33</v>
      </c>
      <c r="AQ232">
        <v>303757.33</v>
      </c>
      <c r="AR232" t="s">
        <v>1139</v>
      </c>
      <c r="AT232" s="6">
        <f t="shared" si="15"/>
        <v>0</v>
      </c>
    </row>
    <row r="233" spans="1:46" x14ac:dyDescent="0.55000000000000004">
      <c r="A233">
        <v>18.82</v>
      </c>
      <c r="B233">
        <v>27.55</v>
      </c>
      <c r="C233">
        <v>5136.3</v>
      </c>
      <c r="D233">
        <v>7.56</v>
      </c>
      <c r="E233" t="s">
        <v>2063</v>
      </c>
      <c r="F233" t="s">
        <v>2092</v>
      </c>
      <c r="G233" t="s">
        <v>2169</v>
      </c>
      <c r="H233" t="s">
        <v>898</v>
      </c>
      <c r="I233">
        <v>0</v>
      </c>
      <c r="J233">
        <v>655.30999999999995</v>
      </c>
      <c r="K233">
        <f t="shared" si="12"/>
        <v>57.38</v>
      </c>
      <c r="L233">
        <f t="shared" si="13"/>
        <v>57.38</v>
      </c>
      <c r="M233">
        <f t="shared" si="14"/>
        <v>0</v>
      </c>
      <c r="N233">
        <v>7.34</v>
      </c>
      <c r="O233">
        <v>81.99</v>
      </c>
      <c r="P233">
        <v>42</v>
      </c>
      <c r="Q233">
        <v>20.100000000000001</v>
      </c>
      <c r="R233">
        <v>8.73</v>
      </c>
      <c r="S233">
        <v>12.68</v>
      </c>
      <c r="T233">
        <v>6.13</v>
      </c>
      <c r="U233">
        <v>7.84</v>
      </c>
      <c r="V233">
        <v>3287.23</v>
      </c>
      <c r="W233">
        <v>1000.06</v>
      </c>
      <c r="X233">
        <v>1344.32</v>
      </c>
      <c r="Y233">
        <v>752.6</v>
      </c>
      <c r="Z233">
        <v>28.66</v>
      </c>
      <c r="AA233">
        <v>1.52</v>
      </c>
      <c r="AB233">
        <v>4.51</v>
      </c>
      <c r="AC233">
        <v>58.74</v>
      </c>
      <c r="AD233">
        <v>680</v>
      </c>
      <c r="AE233">
        <v>5900</v>
      </c>
      <c r="AF233">
        <v>78.84</v>
      </c>
      <c r="AG233">
        <v>0.59</v>
      </c>
      <c r="AH233">
        <v>11.53</v>
      </c>
      <c r="AI233">
        <v>235.41</v>
      </c>
      <c r="AJ233">
        <v>60</v>
      </c>
      <c r="AK233">
        <v>9</v>
      </c>
      <c r="AL233">
        <v>9</v>
      </c>
      <c r="AM233">
        <v>0.13</v>
      </c>
      <c r="AN233">
        <v>408</v>
      </c>
      <c r="AO233">
        <v>409.2</v>
      </c>
      <c r="AP233">
        <v>297917.8</v>
      </c>
      <c r="AQ233">
        <v>297917.8</v>
      </c>
      <c r="AR233" t="s">
        <v>1140</v>
      </c>
      <c r="AT233" s="6">
        <f t="shared" si="15"/>
        <v>0</v>
      </c>
    </row>
    <row r="234" spans="1:46" x14ac:dyDescent="0.55000000000000004">
      <c r="A234">
        <v>20.88</v>
      </c>
      <c r="B234">
        <v>30.34</v>
      </c>
      <c r="C234">
        <v>5163.3999999999996</v>
      </c>
      <c r="D234">
        <v>7.57</v>
      </c>
      <c r="E234" t="s">
        <v>2064</v>
      </c>
      <c r="F234" t="s">
        <v>2059</v>
      </c>
      <c r="G234" t="s">
        <v>2170</v>
      </c>
      <c r="H234" t="s">
        <v>898</v>
      </c>
      <c r="I234">
        <v>0</v>
      </c>
      <c r="J234">
        <v>898.33</v>
      </c>
      <c r="K234">
        <f t="shared" si="12"/>
        <v>67.59</v>
      </c>
      <c r="L234">
        <f t="shared" si="13"/>
        <v>67.59</v>
      </c>
      <c r="M234">
        <f t="shared" si="14"/>
        <v>0</v>
      </c>
      <c r="N234">
        <v>7.39</v>
      </c>
      <c r="O234">
        <v>82.04</v>
      </c>
      <c r="P234">
        <v>35</v>
      </c>
      <c r="Q234">
        <v>25.5</v>
      </c>
      <c r="R234">
        <v>9.4600000000000009</v>
      </c>
      <c r="S234">
        <v>15.91</v>
      </c>
      <c r="T234">
        <v>4.97</v>
      </c>
      <c r="U234">
        <v>5.75</v>
      </c>
      <c r="V234">
        <v>3304.58</v>
      </c>
      <c r="W234">
        <v>982.36</v>
      </c>
      <c r="X234">
        <v>1149.46</v>
      </c>
      <c r="Y234">
        <v>699.28</v>
      </c>
      <c r="Z234">
        <v>33.81</v>
      </c>
      <c r="AA234">
        <v>1.5</v>
      </c>
      <c r="AB234">
        <v>4.5599999999999996</v>
      </c>
      <c r="AC234">
        <v>65.540000000000006</v>
      </c>
      <c r="AD234">
        <v>680</v>
      </c>
      <c r="AE234">
        <v>5900</v>
      </c>
      <c r="AF234">
        <v>85.37</v>
      </c>
      <c r="AG234">
        <v>0.59</v>
      </c>
      <c r="AH234">
        <v>17.98</v>
      </c>
      <c r="AI234">
        <v>235.74</v>
      </c>
      <c r="AJ234">
        <v>60</v>
      </c>
      <c r="AK234">
        <v>9</v>
      </c>
      <c r="AL234">
        <v>9</v>
      </c>
      <c r="AM234">
        <v>0.13</v>
      </c>
      <c r="AN234">
        <v>408</v>
      </c>
      <c r="AO234">
        <v>409.2</v>
      </c>
      <c r="AP234">
        <v>308062.39</v>
      </c>
      <c r="AQ234">
        <v>308062.39</v>
      </c>
      <c r="AR234" t="s">
        <v>1141</v>
      </c>
      <c r="AT234" s="6">
        <f t="shared" si="15"/>
        <v>0</v>
      </c>
    </row>
    <row r="235" spans="1:46" x14ac:dyDescent="0.55000000000000004">
      <c r="A235">
        <v>18.350000000000001</v>
      </c>
      <c r="B235">
        <v>26.94</v>
      </c>
      <c r="C235">
        <v>5138.3999999999996</v>
      </c>
      <c r="D235">
        <v>7.4</v>
      </c>
      <c r="E235" t="s">
        <v>2065</v>
      </c>
      <c r="F235" t="s">
        <v>2118</v>
      </c>
      <c r="G235" t="s">
        <v>2171</v>
      </c>
      <c r="H235" t="s">
        <v>898</v>
      </c>
      <c r="I235">
        <v>0</v>
      </c>
      <c r="J235">
        <v>588.87</v>
      </c>
      <c r="K235">
        <f t="shared" si="12"/>
        <v>56.190000000000005</v>
      </c>
      <c r="L235">
        <f t="shared" si="13"/>
        <v>56.190000000000005</v>
      </c>
      <c r="M235">
        <f t="shared" si="14"/>
        <v>0</v>
      </c>
      <c r="N235">
        <v>7.33</v>
      </c>
      <c r="O235">
        <v>81.95</v>
      </c>
      <c r="P235">
        <v>48</v>
      </c>
      <c r="Q235">
        <v>17.7</v>
      </c>
      <c r="R235">
        <v>8.59</v>
      </c>
      <c r="S235">
        <v>11.47</v>
      </c>
      <c r="T235">
        <v>6.88</v>
      </c>
      <c r="U235">
        <v>8.73</v>
      </c>
      <c r="V235">
        <v>3288.58</v>
      </c>
      <c r="W235">
        <v>1010.84</v>
      </c>
      <c r="X235">
        <v>1434.73</v>
      </c>
      <c r="Y235">
        <v>778.62</v>
      </c>
      <c r="Z235">
        <v>28.08</v>
      </c>
      <c r="AA235">
        <v>1.39</v>
      </c>
      <c r="AB235">
        <v>4.6100000000000003</v>
      </c>
      <c r="AC235">
        <v>55.53</v>
      </c>
      <c r="AD235">
        <v>680</v>
      </c>
      <c r="AE235">
        <v>5900</v>
      </c>
      <c r="AF235">
        <v>77.540000000000006</v>
      </c>
      <c r="AG235">
        <v>0.59</v>
      </c>
      <c r="AH235">
        <v>10.039999999999999</v>
      </c>
      <c r="AI235">
        <v>235.48</v>
      </c>
      <c r="AJ235">
        <v>60</v>
      </c>
      <c r="AK235">
        <v>9</v>
      </c>
      <c r="AL235">
        <v>9</v>
      </c>
      <c r="AM235">
        <v>0.13</v>
      </c>
      <c r="AN235">
        <v>408</v>
      </c>
      <c r="AO235">
        <v>409.2</v>
      </c>
      <c r="AP235">
        <v>298405.82</v>
      </c>
      <c r="AQ235">
        <v>298405.82</v>
      </c>
      <c r="AR235" t="s">
        <v>1142</v>
      </c>
      <c r="AT235" s="6">
        <f t="shared" si="15"/>
        <v>0</v>
      </c>
    </row>
    <row r="236" spans="1:46" x14ac:dyDescent="0.55000000000000004">
      <c r="A236">
        <v>20.66</v>
      </c>
      <c r="B236">
        <v>30.08</v>
      </c>
      <c r="C236">
        <v>5145.7</v>
      </c>
      <c r="D236">
        <v>7.57</v>
      </c>
      <c r="E236" t="s">
        <v>2066</v>
      </c>
      <c r="F236" t="s">
        <v>2092</v>
      </c>
      <c r="G236" t="s">
        <v>2172</v>
      </c>
      <c r="H236" t="s">
        <v>898</v>
      </c>
      <c r="I236">
        <v>0</v>
      </c>
      <c r="J236">
        <v>929.01</v>
      </c>
      <c r="K236">
        <f t="shared" si="12"/>
        <v>68.75</v>
      </c>
      <c r="L236">
        <f t="shared" si="13"/>
        <v>68.75</v>
      </c>
      <c r="M236">
        <f t="shared" si="14"/>
        <v>0</v>
      </c>
      <c r="N236">
        <v>7.39</v>
      </c>
      <c r="O236">
        <v>82.02</v>
      </c>
      <c r="P236">
        <v>32</v>
      </c>
      <c r="Q236">
        <v>25.4</v>
      </c>
      <c r="R236">
        <v>9.42</v>
      </c>
      <c r="S236">
        <v>15.28</v>
      </c>
      <c r="T236">
        <v>5.39</v>
      </c>
      <c r="U236">
        <v>5.54</v>
      </c>
      <c r="V236">
        <v>3293.25</v>
      </c>
      <c r="W236">
        <v>976.97</v>
      </c>
      <c r="X236">
        <v>1127.71</v>
      </c>
      <c r="Y236">
        <v>691.83</v>
      </c>
      <c r="Z236">
        <v>34.409999999999997</v>
      </c>
      <c r="AA236">
        <v>1.49</v>
      </c>
      <c r="AB236">
        <v>4.59</v>
      </c>
      <c r="AC236">
        <v>63.6</v>
      </c>
      <c r="AD236">
        <v>680</v>
      </c>
      <c r="AE236">
        <v>5900</v>
      </c>
      <c r="AF236">
        <v>85</v>
      </c>
      <c r="AG236">
        <v>0.59</v>
      </c>
      <c r="AH236">
        <v>18.73</v>
      </c>
      <c r="AI236">
        <v>235.93</v>
      </c>
      <c r="AJ236">
        <v>60</v>
      </c>
      <c r="AK236">
        <v>9</v>
      </c>
      <c r="AL236">
        <v>9</v>
      </c>
      <c r="AM236">
        <v>0.13</v>
      </c>
      <c r="AN236">
        <v>408</v>
      </c>
      <c r="AO236">
        <v>409.2</v>
      </c>
      <c r="AP236">
        <v>307806.21999999997</v>
      </c>
      <c r="AQ236">
        <v>307806.21999999997</v>
      </c>
      <c r="AR236" t="s">
        <v>1143</v>
      </c>
      <c r="AT236" s="6">
        <f t="shared" si="15"/>
        <v>0</v>
      </c>
    </row>
    <row r="237" spans="1:46" x14ac:dyDescent="0.55000000000000004">
      <c r="A237">
        <v>22.56</v>
      </c>
      <c r="B237">
        <v>32.130000000000003</v>
      </c>
      <c r="C237">
        <v>5296.8</v>
      </c>
      <c r="D237">
        <v>7.55</v>
      </c>
      <c r="E237" t="s">
        <v>2067</v>
      </c>
      <c r="F237" t="s">
        <v>1414</v>
      </c>
      <c r="G237" t="s">
        <v>2173</v>
      </c>
      <c r="H237" t="s">
        <v>898</v>
      </c>
      <c r="I237">
        <v>0</v>
      </c>
      <c r="J237">
        <v>803.25</v>
      </c>
      <c r="K237">
        <f t="shared" si="12"/>
        <v>61.66</v>
      </c>
      <c r="L237">
        <f t="shared" si="13"/>
        <v>61.66</v>
      </c>
      <c r="M237">
        <f t="shared" si="14"/>
        <v>0</v>
      </c>
      <c r="N237">
        <v>7.35</v>
      </c>
      <c r="O237">
        <v>82.03</v>
      </c>
      <c r="P237">
        <v>72</v>
      </c>
      <c r="Q237">
        <v>22.8</v>
      </c>
      <c r="R237">
        <v>9.57</v>
      </c>
      <c r="S237">
        <v>19.16</v>
      </c>
      <c r="T237">
        <v>3.4</v>
      </c>
      <c r="U237">
        <v>6.59</v>
      </c>
      <c r="V237">
        <v>3389.95</v>
      </c>
      <c r="W237">
        <v>1014.14</v>
      </c>
      <c r="X237">
        <v>1237.06</v>
      </c>
      <c r="Y237">
        <v>733.47</v>
      </c>
      <c r="Z237">
        <v>30.87</v>
      </c>
      <c r="AA237">
        <v>1.57</v>
      </c>
      <c r="AB237">
        <v>4.42</v>
      </c>
      <c r="AC237">
        <v>73.760000000000005</v>
      </c>
      <c r="AD237">
        <v>680</v>
      </c>
      <c r="AE237">
        <v>5900</v>
      </c>
      <c r="AF237">
        <v>86.36</v>
      </c>
      <c r="AG237">
        <v>0.59</v>
      </c>
      <c r="AH237">
        <v>15.44</v>
      </c>
      <c r="AI237">
        <v>235.94</v>
      </c>
      <c r="AJ237">
        <v>60</v>
      </c>
      <c r="AK237">
        <v>9</v>
      </c>
      <c r="AL237">
        <v>9</v>
      </c>
      <c r="AM237">
        <v>0.13</v>
      </c>
      <c r="AN237">
        <v>408</v>
      </c>
      <c r="AO237">
        <v>409.2</v>
      </c>
      <c r="AP237">
        <v>302053.2</v>
      </c>
      <c r="AQ237">
        <v>302053.2</v>
      </c>
      <c r="AR237" t="s">
        <v>1144</v>
      </c>
      <c r="AT237" s="6">
        <f t="shared" si="15"/>
        <v>0</v>
      </c>
    </row>
    <row r="238" spans="1:46" x14ac:dyDescent="0.55000000000000004">
      <c r="A238">
        <v>18.34</v>
      </c>
      <c r="B238">
        <v>26.95</v>
      </c>
      <c r="C238">
        <v>5143.1000000000004</v>
      </c>
      <c r="D238">
        <v>7.41</v>
      </c>
      <c r="E238" t="s">
        <v>2068</v>
      </c>
      <c r="F238" t="s">
        <v>2092</v>
      </c>
      <c r="G238" t="s">
        <v>2174</v>
      </c>
      <c r="H238" t="s">
        <v>898</v>
      </c>
      <c r="I238">
        <v>0</v>
      </c>
      <c r="J238">
        <v>625.46</v>
      </c>
      <c r="K238">
        <f t="shared" si="12"/>
        <v>58.13</v>
      </c>
      <c r="L238">
        <f t="shared" si="13"/>
        <v>58.13</v>
      </c>
      <c r="M238">
        <f t="shared" si="14"/>
        <v>0</v>
      </c>
      <c r="N238">
        <v>7.35</v>
      </c>
      <c r="O238">
        <v>81.96</v>
      </c>
      <c r="P238">
        <v>47</v>
      </c>
      <c r="Q238">
        <v>17.8</v>
      </c>
      <c r="R238">
        <v>8.6</v>
      </c>
      <c r="S238">
        <v>11.43</v>
      </c>
      <c r="T238">
        <v>6.91</v>
      </c>
      <c r="U238">
        <v>8.2200000000000006</v>
      </c>
      <c r="V238">
        <v>3291.58</v>
      </c>
      <c r="W238">
        <v>1007.46</v>
      </c>
      <c r="X238">
        <v>1396.4</v>
      </c>
      <c r="Y238">
        <v>768.4</v>
      </c>
      <c r="Z238">
        <v>29.13</v>
      </c>
      <c r="AA238">
        <v>1.39</v>
      </c>
      <c r="AB238">
        <v>4.63</v>
      </c>
      <c r="AC238">
        <v>55.44</v>
      </c>
      <c r="AD238">
        <v>680</v>
      </c>
      <c r="AE238">
        <v>5900</v>
      </c>
      <c r="AF238">
        <v>77.650000000000006</v>
      </c>
      <c r="AG238">
        <v>0.59</v>
      </c>
      <c r="AH238">
        <v>10.75</v>
      </c>
      <c r="AI238">
        <v>236.12</v>
      </c>
      <c r="AJ238">
        <v>60</v>
      </c>
      <c r="AK238">
        <v>9</v>
      </c>
      <c r="AL238">
        <v>9</v>
      </c>
      <c r="AM238">
        <v>0.13</v>
      </c>
      <c r="AN238">
        <v>408</v>
      </c>
      <c r="AO238">
        <v>409.2</v>
      </c>
      <c r="AP238">
        <v>298481.82</v>
      </c>
      <c r="AQ238">
        <v>298481.82</v>
      </c>
      <c r="AR238" t="s">
        <v>1145</v>
      </c>
      <c r="AT238" s="6">
        <f t="shared" si="15"/>
        <v>0</v>
      </c>
    </row>
    <row r="239" spans="1:46" x14ac:dyDescent="0.55000000000000004">
      <c r="A239">
        <v>19.93</v>
      </c>
      <c r="B239">
        <v>28.6</v>
      </c>
      <c r="C239">
        <v>5138.7</v>
      </c>
      <c r="D239">
        <v>7.57</v>
      </c>
      <c r="E239" t="s">
        <v>2069</v>
      </c>
      <c r="F239" t="s">
        <v>2119</v>
      </c>
      <c r="G239" t="s">
        <v>2175</v>
      </c>
      <c r="H239" t="s">
        <v>898</v>
      </c>
      <c r="I239">
        <v>0</v>
      </c>
      <c r="J239">
        <v>875.62</v>
      </c>
      <c r="K239">
        <f t="shared" si="12"/>
        <v>60.800000000000004</v>
      </c>
      <c r="L239">
        <f t="shared" si="13"/>
        <v>60.800000000000004</v>
      </c>
      <c r="M239">
        <f t="shared" si="14"/>
        <v>0</v>
      </c>
      <c r="N239">
        <v>7.33</v>
      </c>
      <c r="O239">
        <v>81.99</v>
      </c>
      <c r="P239">
        <v>37</v>
      </c>
      <c r="Q239">
        <v>23.6</v>
      </c>
      <c r="R239">
        <v>8.67</v>
      </c>
      <c r="S239">
        <v>14.75</v>
      </c>
      <c r="T239">
        <v>5.17</v>
      </c>
      <c r="U239">
        <v>5.87</v>
      </c>
      <c r="V239">
        <v>3288.77</v>
      </c>
      <c r="W239">
        <v>975.65</v>
      </c>
      <c r="X239">
        <v>1131.74</v>
      </c>
      <c r="Y239">
        <v>691.5</v>
      </c>
      <c r="Z239">
        <v>30.4</v>
      </c>
      <c r="AA239">
        <v>1.47</v>
      </c>
      <c r="AB239">
        <v>4.62</v>
      </c>
      <c r="AC239">
        <v>62.64</v>
      </c>
      <c r="AD239">
        <v>680</v>
      </c>
      <c r="AE239">
        <v>5900</v>
      </c>
      <c r="AF239">
        <v>78.3</v>
      </c>
      <c r="AG239">
        <v>0.59</v>
      </c>
      <c r="AH239">
        <v>16.079999999999998</v>
      </c>
      <c r="AI239">
        <v>235.6</v>
      </c>
      <c r="AJ239">
        <v>60</v>
      </c>
      <c r="AK239">
        <v>9</v>
      </c>
      <c r="AL239">
        <v>9</v>
      </c>
      <c r="AM239">
        <v>0.13</v>
      </c>
      <c r="AN239">
        <v>408</v>
      </c>
      <c r="AO239">
        <v>409.2</v>
      </c>
      <c r="AP239">
        <v>301161.40000000002</v>
      </c>
      <c r="AQ239">
        <v>301161.40000000002</v>
      </c>
      <c r="AR239" t="s">
        <v>1146</v>
      </c>
      <c r="AT239" s="6">
        <f t="shared" si="15"/>
        <v>0</v>
      </c>
    </row>
    <row r="240" spans="1:46" x14ac:dyDescent="0.55000000000000004">
      <c r="A240">
        <v>21.34</v>
      </c>
      <c r="B240">
        <v>30.74</v>
      </c>
      <c r="C240">
        <v>5191.2</v>
      </c>
      <c r="D240">
        <v>7.56</v>
      </c>
      <c r="E240" t="s">
        <v>2070</v>
      </c>
      <c r="F240" t="s">
        <v>2114</v>
      </c>
      <c r="G240" t="s">
        <v>578</v>
      </c>
      <c r="H240" t="s">
        <v>898</v>
      </c>
      <c r="I240">
        <v>0</v>
      </c>
      <c r="J240">
        <v>890.18</v>
      </c>
      <c r="K240">
        <f t="shared" si="12"/>
        <v>66.789999999999992</v>
      </c>
      <c r="L240">
        <f t="shared" si="13"/>
        <v>66.789999999999992</v>
      </c>
      <c r="M240">
        <f t="shared" si="14"/>
        <v>0</v>
      </c>
      <c r="N240">
        <v>7.38</v>
      </c>
      <c r="O240">
        <v>82</v>
      </c>
      <c r="P240">
        <v>42</v>
      </c>
      <c r="Q240">
        <v>25</v>
      </c>
      <c r="R240">
        <v>9.41</v>
      </c>
      <c r="S240">
        <v>16.72</v>
      </c>
      <c r="T240">
        <v>4.62</v>
      </c>
      <c r="U240">
        <v>5.83</v>
      </c>
      <c r="V240">
        <v>3322.37</v>
      </c>
      <c r="W240">
        <v>988.23</v>
      </c>
      <c r="X240">
        <v>1160.71</v>
      </c>
      <c r="Y240">
        <v>704.48</v>
      </c>
      <c r="Z240">
        <v>33.369999999999997</v>
      </c>
      <c r="AA240">
        <v>1.51</v>
      </c>
      <c r="AB240">
        <v>4.54</v>
      </c>
      <c r="AC240">
        <v>67.08</v>
      </c>
      <c r="AD240">
        <v>680</v>
      </c>
      <c r="AE240">
        <v>5900</v>
      </c>
      <c r="AF240">
        <v>84.92</v>
      </c>
      <c r="AG240">
        <v>0.59</v>
      </c>
      <c r="AH240">
        <v>17.579999999999998</v>
      </c>
      <c r="AI240">
        <v>235.48</v>
      </c>
      <c r="AJ240">
        <v>60</v>
      </c>
      <c r="AK240">
        <v>9</v>
      </c>
      <c r="AL240">
        <v>9</v>
      </c>
      <c r="AM240">
        <v>0.13</v>
      </c>
      <c r="AN240">
        <v>408</v>
      </c>
      <c r="AO240">
        <v>409.2</v>
      </c>
      <c r="AP240">
        <v>305930.23</v>
      </c>
      <c r="AQ240">
        <v>305930.23</v>
      </c>
      <c r="AR240" t="s">
        <v>1147</v>
      </c>
      <c r="AT240" s="6">
        <f t="shared" si="15"/>
        <v>0</v>
      </c>
    </row>
    <row r="241" spans="1:46" x14ac:dyDescent="0.55000000000000004">
      <c r="A241">
        <v>22.69</v>
      </c>
      <c r="B241">
        <v>32.33</v>
      </c>
      <c r="C241">
        <v>5319.7</v>
      </c>
      <c r="D241">
        <v>7.55</v>
      </c>
      <c r="E241" t="s">
        <v>2071</v>
      </c>
      <c r="F241" t="s">
        <v>2120</v>
      </c>
      <c r="G241" t="s">
        <v>1724</v>
      </c>
      <c r="H241" t="s">
        <v>898</v>
      </c>
      <c r="I241">
        <v>0</v>
      </c>
      <c r="J241">
        <v>798.64</v>
      </c>
      <c r="K241">
        <f t="shared" si="12"/>
        <v>62.63</v>
      </c>
      <c r="L241">
        <f t="shared" si="13"/>
        <v>62.63</v>
      </c>
      <c r="M241">
        <f t="shared" si="14"/>
        <v>0</v>
      </c>
      <c r="N241">
        <v>7.36</v>
      </c>
      <c r="O241">
        <v>81.99</v>
      </c>
      <c r="P241">
        <v>72</v>
      </c>
      <c r="Q241">
        <v>22.2</v>
      </c>
      <c r="R241">
        <v>9.6300000000000008</v>
      </c>
      <c r="S241">
        <v>18.59</v>
      </c>
      <c r="T241">
        <v>4.0999999999999996</v>
      </c>
      <c r="U241">
        <v>6.66</v>
      </c>
      <c r="V241">
        <v>3404.61</v>
      </c>
      <c r="W241">
        <v>1019.24</v>
      </c>
      <c r="X241">
        <v>1248.28</v>
      </c>
      <c r="Y241">
        <v>738.39</v>
      </c>
      <c r="Z241">
        <v>31.35</v>
      </c>
      <c r="AA241">
        <v>1.57</v>
      </c>
      <c r="AB241">
        <v>4.41</v>
      </c>
      <c r="AC241">
        <v>70.16</v>
      </c>
      <c r="AD241">
        <v>680</v>
      </c>
      <c r="AE241">
        <v>5900</v>
      </c>
      <c r="AF241">
        <v>86.98</v>
      </c>
      <c r="AG241">
        <v>0.59</v>
      </c>
      <c r="AH241">
        <v>15.36</v>
      </c>
      <c r="AI241">
        <v>235.86</v>
      </c>
      <c r="AJ241">
        <v>60</v>
      </c>
      <c r="AK241">
        <v>9</v>
      </c>
      <c r="AL241">
        <v>9</v>
      </c>
      <c r="AM241">
        <v>0.13</v>
      </c>
      <c r="AN241">
        <v>408</v>
      </c>
      <c r="AO241">
        <v>409.2</v>
      </c>
      <c r="AP241">
        <v>305725.48</v>
      </c>
      <c r="AQ241">
        <v>305725.48</v>
      </c>
      <c r="AR241" t="s">
        <v>1148</v>
      </c>
      <c r="AT241" s="6">
        <f t="shared" si="15"/>
        <v>0</v>
      </c>
    </row>
    <row r="242" spans="1:46" x14ac:dyDescent="0.55000000000000004">
      <c r="A242">
        <v>21.3</v>
      </c>
      <c r="B242">
        <v>30.98</v>
      </c>
      <c r="C242">
        <v>5339.3</v>
      </c>
      <c r="D242">
        <v>7.56</v>
      </c>
      <c r="E242" t="s">
        <v>2072</v>
      </c>
      <c r="F242" t="s">
        <v>2121</v>
      </c>
      <c r="G242" t="s">
        <v>1726</v>
      </c>
      <c r="H242" t="s">
        <v>898</v>
      </c>
      <c r="I242">
        <v>0</v>
      </c>
      <c r="J242">
        <v>858.96</v>
      </c>
      <c r="K242">
        <f t="shared" si="12"/>
        <v>67.19</v>
      </c>
      <c r="L242">
        <f t="shared" si="13"/>
        <v>67.19</v>
      </c>
      <c r="M242">
        <f t="shared" si="14"/>
        <v>0</v>
      </c>
      <c r="N242">
        <v>7.4</v>
      </c>
      <c r="O242">
        <v>82.01</v>
      </c>
      <c r="P242">
        <v>54</v>
      </c>
      <c r="Q242">
        <v>22</v>
      </c>
      <c r="R242">
        <v>9.68</v>
      </c>
      <c r="S242">
        <v>15.98</v>
      </c>
      <c r="T242">
        <v>5.32</v>
      </c>
      <c r="U242">
        <v>6.22</v>
      </c>
      <c r="V242">
        <v>3417.15</v>
      </c>
      <c r="W242">
        <v>1020.22</v>
      </c>
      <c r="X242">
        <v>1224.98</v>
      </c>
      <c r="Y242">
        <v>733.8</v>
      </c>
      <c r="Z242">
        <v>33.619999999999997</v>
      </c>
      <c r="AA242">
        <v>1.54</v>
      </c>
      <c r="AB242">
        <v>4.47</v>
      </c>
      <c r="AC242">
        <v>64.53</v>
      </c>
      <c r="AD242">
        <v>680</v>
      </c>
      <c r="AE242">
        <v>5900</v>
      </c>
      <c r="AF242">
        <v>87.36</v>
      </c>
      <c r="AG242">
        <v>0.59</v>
      </c>
      <c r="AH242">
        <v>16.75</v>
      </c>
      <c r="AI242">
        <v>235.8</v>
      </c>
      <c r="AJ242">
        <v>60</v>
      </c>
      <c r="AK242">
        <v>9</v>
      </c>
      <c r="AL242">
        <v>9</v>
      </c>
      <c r="AM242">
        <v>0.13</v>
      </c>
      <c r="AN242">
        <v>408</v>
      </c>
      <c r="AO242">
        <v>409.2</v>
      </c>
      <c r="AP242">
        <v>304840.51</v>
      </c>
      <c r="AQ242">
        <v>304840.51</v>
      </c>
      <c r="AR242" t="s">
        <v>1149</v>
      </c>
      <c r="AT242" s="6">
        <f t="shared" si="15"/>
        <v>0</v>
      </c>
    </row>
    <row r="243" spans="1:46" x14ac:dyDescent="0.55000000000000004">
      <c r="A243">
        <v>21.55</v>
      </c>
      <c r="B243">
        <v>31.22</v>
      </c>
      <c r="C243">
        <v>5342.3</v>
      </c>
      <c r="D243">
        <v>7.57</v>
      </c>
      <c r="E243" t="s">
        <v>2073</v>
      </c>
      <c r="F243" t="s">
        <v>2110</v>
      </c>
      <c r="G243" t="s">
        <v>1708</v>
      </c>
      <c r="H243" t="s">
        <v>898</v>
      </c>
      <c r="I243">
        <v>0</v>
      </c>
      <c r="J243">
        <v>850.9</v>
      </c>
      <c r="K243">
        <f t="shared" si="12"/>
        <v>67.199999999999989</v>
      </c>
      <c r="L243">
        <f t="shared" si="13"/>
        <v>67.199999999999989</v>
      </c>
      <c r="M243">
        <f t="shared" si="14"/>
        <v>0</v>
      </c>
      <c r="N243">
        <v>7.39</v>
      </c>
      <c r="O243">
        <v>81.96</v>
      </c>
      <c r="P243">
        <v>53</v>
      </c>
      <c r="Q243">
        <v>22.3</v>
      </c>
      <c r="R243">
        <v>9.67</v>
      </c>
      <c r="S243">
        <v>16.100000000000001</v>
      </c>
      <c r="T243">
        <v>5.45</v>
      </c>
      <c r="U243">
        <v>6.28</v>
      </c>
      <c r="V243">
        <v>3419.07</v>
      </c>
      <c r="W243">
        <v>1020.96</v>
      </c>
      <c r="X243">
        <v>1227.8499999999999</v>
      </c>
      <c r="Y243">
        <v>734.71</v>
      </c>
      <c r="Z243">
        <v>33.549999999999997</v>
      </c>
      <c r="AA243">
        <v>1.56</v>
      </c>
      <c r="AB243">
        <v>4.45</v>
      </c>
      <c r="AC243">
        <v>63.95</v>
      </c>
      <c r="AD243">
        <v>680</v>
      </c>
      <c r="AE243">
        <v>5900</v>
      </c>
      <c r="AF243">
        <v>87.27</v>
      </c>
      <c r="AG243">
        <v>0.59</v>
      </c>
      <c r="AH243">
        <v>16.53</v>
      </c>
      <c r="AI243">
        <v>235.34</v>
      </c>
      <c r="AJ243">
        <v>60</v>
      </c>
      <c r="AK243">
        <v>9</v>
      </c>
      <c r="AL243">
        <v>9</v>
      </c>
      <c r="AM243">
        <v>0.13</v>
      </c>
      <c r="AN243">
        <v>408</v>
      </c>
      <c r="AO243">
        <v>409.2</v>
      </c>
      <c r="AP243">
        <v>308743.14</v>
      </c>
      <c r="AQ243">
        <v>308743.14</v>
      </c>
      <c r="AR243" t="s">
        <v>1150</v>
      </c>
      <c r="AT243" s="6">
        <f t="shared" si="15"/>
        <v>0</v>
      </c>
    </row>
    <row r="244" spans="1:46" x14ac:dyDescent="0.55000000000000004">
      <c r="A244">
        <v>22.62</v>
      </c>
      <c r="B244">
        <v>32.270000000000003</v>
      </c>
      <c r="C244">
        <v>5314.1</v>
      </c>
      <c r="D244">
        <v>7.54</v>
      </c>
      <c r="E244" t="s">
        <v>2074</v>
      </c>
      <c r="F244" t="s">
        <v>2086</v>
      </c>
      <c r="G244" t="s">
        <v>1732</v>
      </c>
      <c r="H244" t="s">
        <v>898</v>
      </c>
      <c r="I244">
        <v>0</v>
      </c>
      <c r="J244">
        <v>828.81</v>
      </c>
      <c r="K244">
        <f t="shared" si="12"/>
        <v>64.09</v>
      </c>
      <c r="L244">
        <f t="shared" si="13"/>
        <v>64.09</v>
      </c>
      <c r="M244">
        <f t="shared" si="14"/>
        <v>0</v>
      </c>
      <c r="N244">
        <v>7.38</v>
      </c>
      <c r="O244">
        <v>81.97</v>
      </c>
      <c r="P244">
        <v>71</v>
      </c>
      <c r="Q244">
        <v>22.1</v>
      </c>
      <c r="R244">
        <v>9.65</v>
      </c>
      <c r="S244">
        <v>18.37</v>
      </c>
      <c r="T244">
        <v>4.25</v>
      </c>
      <c r="U244">
        <v>6.41</v>
      </c>
      <c r="V244">
        <v>3401.02</v>
      </c>
      <c r="W244">
        <v>1016.97</v>
      </c>
      <c r="X244">
        <v>1234.25</v>
      </c>
      <c r="Y244">
        <v>734.38</v>
      </c>
      <c r="Z244">
        <v>32.020000000000003</v>
      </c>
      <c r="AA244">
        <v>1.55</v>
      </c>
      <c r="AB244">
        <v>4.4400000000000004</v>
      </c>
      <c r="AC244">
        <v>69.44</v>
      </c>
      <c r="AD244">
        <v>680</v>
      </c>
      <c r="AE244">
        <v>5900</v>
      </c>
      <c r="AF244">
        <v>87.14</v>
      </c>
      <c r="AG244">
        <v>0.59</v>
      </c>
      <c r="AH244">
        <v>16.100000000000001</v>
      </c>
      <c r="AI244">
        <v>235.49</v>
      </c>
      <c r="AJ244">
        <v>60</v>
      </c>
      <c r="AK244">
        <v>9</v>
      </c>
      <c r="AL244">
        <v>9</v>
      </c>
      <c r="AM244">
        <v>0.13</v>
      </c>
      <c r="AN244">
        <v>408</v>
      </c>
      <c r="AO244">
        <v>409.2</v>
      </c>
      <c r="AP244">
        <v>300894.05</v>
      </c>
      <c r="AQ244">
        <v>300894.05</v>
      </c>
      <c r="AR244" t="s">
        <v>1151</v>
      </c>
      <c r="AT244" s="6">
        <f t="shared" si="15"/>
        <v>0</v>
      </c>
    </row>
    <row r="245" spans="1:46" x14ac:dyDescent="0.55000000000000004">
      <c r="A245">
        <v>21.47</v>
      </c>
      <c r="B245">
        <v>30.83</v>
      </c>
      <c r="C245">
        <v>5450.9</v>
      </c>
      <c r="D245">
        <v>7.58</v>
      </c>
      <c r="E245" t="s">
        <v>2075</v>
      </c>
      <c r="F245" t="s">
        <v>2122</v>
      </c>
      <c r="G245" t="s">
        <v>1726</v>
      </c>
      <c r="H245" t="s">
        <v>2186</v>
      </c>
      <c r="I245">
        <v>0</v>
      </c>
      <c r="J245">
        <v>781.96</v>
      </c>
      <c r="K245">
        <f t="shared" si="12"/>
        <v>61.190000000000005</v>
      </c>
      <c r="L245">
        <f t="shared" si="13"/>
        <v>61.190000000000005</v>
      </c>
      <c r="M245">
        <f t="shared" si="14"/>
        <v>0</v>
      </c>
      <c r="N245">
        <v>7.35</v>
      </c>
      <c r="O245">
        <v>82.18</v>
      </c>
      <c r="P245">
        <v>77</v>
      </c>
      <c r="Q245">
        <v>19.8</v>
      </c>
      <c r="R245">
        <v>9.3699999999999992</v>
      </c>
      <c r="S245">
        <v>16.97</v>
      </c>
      <c r="T245">
        <v>4.5</v>
      </c>
      <c r="U245">
        <v>6.97</v>
      </c>
      <c r="V245">
        <v>3488.58</v>
      </c>
      <c r="W245">
        <v>1045.32</v>
      </c>
      <c r="X245">
        <v>1288.25</v>
      </c>
      <c r="Y245">
        <v>759.03</v>
      </c>
      <c r="Z245">
        <v>30.44</v>
      </c>
      <c r="AA245">
        <v>1.6</v>
      </c>
      <c r="AB245">
        <v>4.3899999999999997</v>
      </c>
      <c r="AC245">
        <v>67.540000000000006</v>
      </c>
      <c r="AD245">
        <v>680</v>
      </c>
      <c r="AE245">
        <v>5900</v>
      </c>
      <c r="AF245">
        <v>84.55</v>
      </c>
      <c r="AG245">
        <v>0.59</v>
      </c>
      <c r="AH245">
        <v>14.16</v>
      </c>
      <c r="AI245">
        <v>234.41</v>
      </c>
      <c r="AJ245">
        <v>60</v>
      </c>
      <c r="AK245">
        <v>9</v>
      </c>
      <c r="AL245">
        <v>9</v>
      </c>
      <c r="AM245">
        <v>0.13</v>
      </c>
      <c r="AN245">
        <v>408</v>
      </c>
      <c r="AO245">
        <v>409.21</v>
      </c>
      <c r="AP245">
        <v>304457.5</v>
      </c>
      <c r="AQ245">
        <v>304457.5</v>
      </c>
      <c r="AR245" t="s">
        <v>1152</v>
      </c>
      <c r="AT245" s="6">
        <f t="shared" si="15"/>
        <v>0</v>
      </c>
    </row>
    <row r="246" spans="1:46" x14ac:dyDescent="0.55000000000000004">
      <c r="A246">
        <v>22.01</v>
      </c>
      <c r="B246">
        <v>31.74</v>
      </c>
      <c r="C246">
        <v>5332.4</v>
      </c>
      <c r="D246">
        <v>7.57</v>
      </c>
      <c r="E246" t="s">
        <v>2076</v>
      </c>
      <c r="F246" t="s">
        <v>2119</v>
      </c>
      <c r="G246" t="s">
        <v>1700</v>
      </c>
      <c r="H246" t="s">
        <v>898</v>
      </c>
      <c r="I246">
        <v>0</v>
      </c>
      <c r="J246">
        <v>842.77</v>
      </c>
      <c r="K246">
        <f t="shared" si="12"/>
        <v>66.16</v>
      </c>
      <c r="L246">
        <f t="shared" si="13"/>
        <v>66.16</v>
      </c>
      <c r="M246">
        <f t="shared" si="14"/>
        <v>0</v>
      </c>
      <c r="N246">
        <v>7.39</v>
      </c>
      <c r="O246">
        <v>81.97</v>
      </c>
      <c r="P246">
        <v>61</v>
      </c>
      <c r="Q246">
        <v>22.1</v>
      </c>
      <c r="R246">
        <v>9.7200000000000006</v>
      </c>
      <c r="S246">
        <v>17.03</v>
      </c>
      <c r="T246">
        <v>4.9800000000000004</v>
      </c>
      <c r="U246">
        <v>6.33</v>
      </c>
      <c r="V246">
        <v>3412.74</v>
      </c>
      <c r="W246">
        <v>1019.69</v>
      </c>
      <c r="X246">
        <v>1231.0899999999999</v>
      </c>
      <c r="Y246">
        <v>734.91</v>
      </c>
      <c r="Z246">
        <v>33.07</v>
      </c>
      <c r="AA246">
        <v>1.57</v>
      </c>
      <c r="AB246">
        <v>4.43</v>
      </c>
      <c r="AC246">
        <v>66.13</v>
      </c>
      <c r="AD246">
        <v>680</v>
      </c>
      <c r="AE246">
        <v>5900</v>
      </c>
      <c r="AF246">
        <v>87.78</v>
      </c>
      <c r="AG246">
        <v>0.59</v>
      </c>
      <c r="AH246">
        <v>16.48</v>
      </c>
      <c r="AI246">
        <v>235.57</v>
      </c>
      <c r="AJ246">
        <v>60</v>
      </c>
      <c r="AK246">
        <v>9</v>
      </c>
      <c r="AL246">
        <v>9</v>
      </c>
      <c r="AM246">
        <v>0.13</v>
      </c>
      <c r="AN246">
        <v>408</v>
      </c>
      <c r="AO246">
        <v>409.2</v>
      </c>
      <c r="AP246">
        <v>305766.11</v>
      </c>
      <c r="AQ246">
        <v>305766.11</v>
      </c>
      <c r="AR246" t="s">
        <v>1153</v>
      </c>
      <c r="AT246" s="6">
        <f t="shared" si="15"/>
        <v>0</v>
      </c>
    </row>
    <row r="247" spans="1:46" x14ac:dyDescent="0.55000000000000004">
      <c r="A247">
        <v>22.36</v>
      </c>
      <c r="B247">
        <v>32.04</v>
      </c>
      <c r="C247">
        <v>5333.3</v>
      </c>
      <c r="D247">
        <v>7.56</v>
      </c>
      <c r="E247" t="s">
        <v>2074</v>
      </c>
      <c r="F247" t="s">
        <v>2081</v>
      </c>
      <c r="G247" t="s">
        <v>1709</v>
      </c>
      <c r="H247" t="s">
        <v>898</v>
      </c>
      <c r="I247">
        <v>0</v>
      </c>
      <c r="J247">
        <v>824.07</v>
      </c>
      <c r="K247">
        <f t="shared" si="12"/>
        <v>64.5</v>
      </c>
      <c r="L247">
        <f t="shared" si="13"/>
        <v>64.5</v>
      </c>
      <c r="M247">
        <f t="shared" si="14"/>
        <v>0</v>
      </c>
      <c r="N247">
        <v>7.37</v>
      </c>
      <c r="O247">
        <v>81.99</v>
      </c>
      <c r="P247">
        <v>68</v>
      </c>
      <c r="Q247">
        <v>22.2</v>
      </c>
      <c r="R247">
        <v>9.68</v>
      </c>
      <c r="S247">
        <v>18.059999999999999</v>
      </c>
      <c r="T247">
        <v>4.29</v>
      </c>
      <c r="U247">
        <v>6.47</v>
      </c>
      <c r="V247">
        <v>3413.31</v>
      </c>
      <c r="W247">
        <v>1020.71</v>
      </c>
      <c r="X247">
        <v>1239.79</v>
      </c>
      <c r="Y247">
        <v>737.25</v>
      </c>
      <c r="Z247">
        <v>32.229999999999997</v>
      </c>
      <c r="AA247">
        <v>1.57</v>
      </c>
      <c r="AB247">
        <v>4.42</v>
      </c>
      <c r="AC247">
        <v>69.290000000000006</v>
      </c>
      <c r="AD247">
        <v>680</v>
      </c>
      <c r="AE247">
        <v>5900</v>
      </c>
      <c r="AF247">
        <v>87.4</v>
      </c>
      <c r="AG247">
        <v>0.59</v>
      </c>
      <c r="AH247">
        <v>15.97</v>
      </c>
      <c r="AI247">
        <v>235.5</v>
      </c>
      <c r="AJ247">
        <v>60</v>
      </c>
      <c r="AK247">
        <v>9</v>
      </c>
      <c r="AL247">
        <v>9</v>
      </c>
      <c r="AM247">
        <v>0.13</v>
      </c>
      <c r="AN247">
        <v>408</v>
      </c>
      <c r="AO247">
        <v>409.2</v>
      </c>
      <c r="AP247">
        <v>305131.11</v>
      </c>
      <c r="AQ247">
        <v>305131.11</v>
      </c>
      <c r="AR247" t="s">
        <v>1154</v>
      </c>
      <c r="AT247" s="6">
        <f t="shared" si="15"/>
        <v>0</v>
      </c>
    </row>
    <row r="248" spans="1:46" x14ac:dyDescent="0.55000000000000004">
      <c r="A248">
        <v>22.47</v>
      </c>
      <c r="B248">
        <v>32.130000000000003</v>
      </c>
      <c r="C248">
        <v>5476.7</v>
      </c>
      <c r="D248">
        <v>7.56</v>
      </c>
      <c r="E248" t="s">
        <v>2077</v>
      </c>
      <c r="F248" t="s">
        <v>2123</v>
      </c>
      <c r="G248" t="s">
        <v>1690</v>
      </c>
      <c r="H248" t="s">
        <v>898</v>
      </c>
      <c r="I248">
        <v>0</v>
      </c>
      <c r="J248">
        <v>827.06</v>
      </c>
      <c r="K248">
        <f t="shared" si="12"/>
        <v>64.790000000000006</v>
      </c>
      <c r="L248">
        <f t="shared" si="13"/>
        <v>64.790000000000006</v>
      </c>
      <c r="M248">
        <f t="shared" si="14"/>
        <v>0</v>
      </c>
      <c r="N248">
        <v>7.37</v>
      </c>
      <c r="O248">
        <v>82.01</v>
      </c>
      <c r="P248">
        <v>74</v>
      </c>
      <c r="Q248">
        <v>20.2</v>
      </c>
      <c r="R248">
        <v>9.65</v>
      </c>
      <c r="S248">
        <v>16.97</v>
      </c>
      <c r="T248">
        <v>5.5</v>
      </c>
      <c r="U248">
        <v>6.62</v>
      </c>
      <c r="V248">
        <v>3505.09</v>
      </c>
      <c r="W248">
        <v>1047.8</v>
      </c>
      <c r="X248">
        <v>1270.18</v>
      </c>
      <c r="Y248">
        <v>756.21</v>
      </c>
      <c r="Z248">
        <v>32.44</v>
      </c>
      <c r="AA248">
        <v>1.59</v>
      </c>
      <c r="AB248">
        <v>4.38</v>
      </c>
      <c r="AC248">
        <v>63.7</v>
      </c>
      <c r="AD248">
        <v>680</v>
      </c>
      <c r="AE248">
        <v>5900</v>
      </c>
      <c r="AF248">
        <v>87.15</v>
      </c>
      <c r="AG248">
        <v>0.59</v>
      </c>
      <c r="AH248">
        <v>15.5</v>
      </c>
      <c r="AI248">
        <v>235.93</v>
      </c>
      <c r="AJ248">
        <v>60</v>
      </c>
      <c r="AK248">
        <v>9</v>
      </c>
      <c r="AL248">
        <v>9</v>
      </c>
      <c r="AM248">
        <v>0.13</v>
      </c>
      <c r="AN248">
        <v>408</v>
      </c>
      <c r="AO248">
        <v>409.2</v>
      </c>
      <c r="AP248">
        <v>306367.55</v>
      </c>
      <c r="AQ248">
        <v>306367.55</v>
      </c>
      <c r="AR248" t="s">
        <v>1155</v>
      </c>
      <c r="AT248" s="6">
        <f t="shared" si="15"/>
        <v>0</v>
      </c>
    </row>
    <row r="249" spans="1:46" x14ac:dyDescent="0.55000000000000004">
      <c r="A249">
        <v>22.7</v>
      </c>
      <c r="B249">
        <v>32.11</v>
      </c>
      <c r="C249">
        <v>5497.1</v>
      </c>
      <c r="D249">
        <v>7.54</v>
      </c>
      <c r="E249" t="s">
        <v>2078</v>
      </c>
      <c r="F249" t="s">
        <v>2124</v>
      </c>
      <c r="G249" t="s">
        <v>1723</v>
      </c>
      <c r="H249" t="s">
        <v>2187</v>
      </c>
      <c r="I249">
        <v>0</v>
      </c>
      <c r="J249">
        <v>747.39</v>
      </c>
      <c r="K249">
        <f t="shared" si="12"/>
        <v>58.61</v>
      </c>
      <c r="L249">
        <f t="shared" si="13"/>
        <v>66.81</v>
      </c>
      <c r="M249">
        <f t="shared" si="14"/>
        <v>-8.2000000000000028</v>
      </c>
      <c r="N249">
        <v>7.33</v>
      </c>
      <c r="O249">
        <v>81.72</v>
      </c>
      <c r="P249">
        <v>85</v>
      </c>
      <c r="Q249">
        <v>20.399999999999999</v>
      </c>
      <c r="R249">
        <v>9.41</v>
      </c>
      <c r="S249">
        <v>18.54</v>
      </c>
      <c r="T249">
        <v>4.16</v>
      </c>
      <c r="U249">
        <v>7.36</v>
      </c>
      <c r="V249">
        <v>3518.14</v>
      </c>
      <c r="W249">
        <v>1056.43</v>
      </c>
      <c r="X249">
        <v>1320.91</v>
      </c>
      <c r="Y249">
        <v>771.3</v>
      </c>
      <c r="Z249">
        <v>5.7</v>
      </c>
      <c r="AA249">
        <v>1.6</v>
      </c>
      <c r="AB249">
        <v>4.34</v>
      </c>
      <c r="AC249">
        <v>69.37</v>
      </c>
      <c r="AD249">
        <v>680</v>
      </c>
      <c r="AE249">
        <v>5900</v>
      </c>
      <c r="AF249">
        <v>84.97</v>
      </c>
      <c r="AG249">
        <v>0.59</v>
      </c>
      <c r="AH249">
        <v>13.37</v>
      </c>
      <c r="AI249">
        <v>45.85</v>
      </c>
      <c r="AJ249">
        <v>60</v>
      </c>
      <c r="AK249">
        <v>9</v>
      </c>
      <c r="AL249">
        <v>9</v>
      </c>
      <c r="AM249">
        <v>0.69</v>
      </c>
      <c r="AN249">
        <v>408</v>
      </c>
      <c r="AO249">
        <v>414.17</v>
      </c>
      <c r="AP249">
        <v>302653.08</v>
      </c>
      <c r="AQ249">
        <v>185724.86</v>
      </c>
      <c r="AR249" t="s">
        <v>1156</v>
      </c>
      <c r="AT249" s="6">
        <f t="shared" si="15"/>
        <v>6.6739851598173532</v>
      </c>
    </row>
    <row r="250" spans="1:46" x14ac:dyDescent="0.55000000000000004">
      <c r="A250">
        <v>22.9</v>
      </c>
      <c r="B250">
        <v>32.44</v>
      </c>
      <c r="C250">
        <v>5472.8</v>
      </c>
      <c r="D250">
        <v>7.54</v>
      </c>
      <c r="E250" t="s">
        <v>2079</v>
      </c>
      <c r="F250" t="s">
        <v>2125</v>
      </c>
      <c r="G250" t="s">
        <v>1726</v>
      </c>
      <c r="H250" t="s">
        <v>2188</v>
      </c>
      <c r="I250">
        <v>0</v>
      </c>
      <c r="J250">
        <v>822.94</v>
      </c>
      <c r="K250">
        <f t="shared" si="12"/>
        <v>63.730000000000004</v>
      </c>
      <c r="L250">
        <f t="shared" si="13"/>
        <v>72.95</v>
      </c>
      <c r="M250">
        <f t="shared" si="14"/>
        <v>-9.2199999999999989</v>
      </c>
      <c r="N250">
        <v>7.37</v>
      </c>
      <c r="O250">
        <v>81.88</v>
      </c>
      <c r="P250">
        <v>80</v>
      </c>
      <c r="Q250">
        <v>20.3</v>
      </c>
      <c r="R250">
        <v>9.5399999999999991</v>
      </c>
      <c r="S250">
        <v>17.82</v>
      </c>
      <c r="T250">
        <v>5.08</v>
      </c>
      <c r="U250">
        <v>6.65</v>
      </c>
      <c r="V250">
        <v>3502.59</v>
      </c>
      <c r="W250">
        <v>1047.6099999999999</v>
      </c>
      <c r="X250">
        <v>1273.8599999999999</v>
      </c>
      <c r="Y250">
        <v>757.03</v>
      </c>
      <c r="Z250">
        <v>5.68</v>
      </c>
      <c r="AA250">
        <v>1.58</v>
      </c>
      <c r="AB250">
        <v>4.37</v>
      </c>
      <c r="AC250">
        <v>65.23</v>
      </c>
      <c r="AD250">
        <v>680</v>
      </c>
      <c r="AE250">
        <v>5900</v>
      </c>
      <c r="AF250">
        <v>86.1</v>
      </c>
      <c r="AG250">
        <v>0.59</v>
      </c>
      <c r="AH250">
        <v>15.24</v>
      </c>
      <c r="AI250">
        <v>41.99</v>
      </c>
      <c r="AJ250">
        <v>60</v>
      </c>
      <c r="AK250">
        <v>9</v>
      </c>
      <c r="AL250">
        <v>9</v>
      </c>
      <c r="AM250">
        <v>0.75</v>
      </c>
      <c r="AN250">
        <v>408</v>
      </c>
      <c r="AO250">
        <v>414.73</v>
      </c>
      <c r="AP250">
        <v>301308.43</v>
      </c>
      <c r="AQ250">
        <v>217445.99</v>
      </c>
      <c r="AR250" t="s">
        <v>1157</v>
      </c>
      <c r="AT250" s="6">
        <f t="shared" si="15"/>
        <v>4.7866689497716894</v>
      </c>
    </row>
    <row r="251" spans="1:46" x14ac:dyDescent="0.55000000000000004">
      <c r="A251">
        <v>22.07</v>
      </c>
      <c r="B251">
        <v>31.29</v>
      </c>
      <c r="C251">
        <v>5477.7</v>
      </c>
      <c r="D251">
        <v>7.57</v>
      </c>
      <c r="E251" t="s">
        <v>2080</v>
      </c>
      <c r="F251" t="s">
        <v>2126</v>
      </c>
      <c r="G251" t="s">
        <v>1720</v>
      </c>
      <c r="H251" t="s">
        <v>2189</v>
      </c>
      <c r="I251">
        <v>0</v>
      </c>
      <c r="J251">
        <v>574.82000000000005</v>
      </c>
      <c r="K251">
        <f t="shared" si="12"/>
        <v>47.36</v>
      </c>
      <c r="L251">
        <f t="shared" si="13"/>
        <v>52.919999999999995</v>
      </c>
      <c r="M251">
        <f t="shared" si="14"/>
        <v>-5.5599999999999952</v>
      </c>
      <c r="N251">
        <v>7.23</v>
      </c>
      <c r="O251">
        <v>82.27</v>
      </c>
      <c r="P251">
        <v>87</v>
      </c>
      <c r="Q251">
        <v>19.600000000000001</v>
      </c>
      <c r="R251">
        <v>9.2200000000000006</v>
      </c>
      <c r="S251">
        <v>18.010000000000002</v>
      </c>
      <c r="T251">
        <v>4.07</v>
      </c>
      <c r="U251">
        <v>9.5299999999999994</v>
      </c>
      <c r="V251">
        <v>3505.73</v>
      </c>
      <c r="W251">
        <v>1067.6500000000001</v>
      </c>
      <c r="X251">
        <v>1460.96</v>
      </c>
      <c r="Y251">
        <v>807.28</v>
      </c>
      <c r="Z251">
        <v>6.26</v>
      </c>
      <c r="AA251">
        <v>1.66</v>
      </c>
      <c r="AB251">
        <v>4.24</v>
      </c>
      <c r="AC251">
        <v>69.400000000000006</v>
      </c>
      <c r="AD251">
        <v>680</v>
      </c>
      <c r="AE251">
        <v>5900</v>
      </c>
      <c r="AF251">
        <v>83.24</v>
      </c>
      <c r="AG251">
        <v>0.59</v>
      </c>
      <c r="AH251">
        <v>9.76</v>
      </c>
      <c r="AI251">
        <v>62.34</v>
      </c>
      <c r="AJ251">
        <v>60</v>
      </c>
      <c r="AK251">
        <v>9</v>
      </c>
      <c r="AL251">
        <v>9</v>
      </c>
      <c r="AM251">
        <v>0.5</v>
      </c>
      <c r="AN251">
        <v>408</v>
      </c>
      <c r="AO251">
        <v>412.54</v>
      </c>
      <c r="AP251">
        <v>287041</v>
      </c>
      <c r="AQ251">
        <v>144891.43</v>
      </c>
      <c r="AR251" t="s">
        <v>1158</v>
      </c>
      <c r="AT251" s="6">
        <f t="shared" si="15"/>
        <v>8.113559931506849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251"/>
  <sheetViews>
    <sheetView topLeftCell="AN1" workbookViewId="0">
      <selection activeCell="M2" sqref="M2:M251"/>
    </sheetView>
  </sheetViews>
  <sheetFormatPr defaultRowHeight="14.4" x14ac:dyDescent="0.55000000000000004"/>
  <cols>
    <col min="5" max="6" width="11.68359375" bestFit="1" customWidth="1"/>
    <col min="7" max="7" width="7.7890625" bestFit="1" customWidth="1"/>
    <col min="8" max="8" width="10.68359375" bestFit="1" customWidth="1"/>
    <col min="9" max="9" width="6.89453125" bestFit="1" customWidth="1"/>
    <col min="10" max="10" width="14.3125" bestFit="1" customWidth="1"/>
    <col min="11" max="11" width="11.3671875" bestFit="1" customWidth="1"/>
    <col min="12" max="12" width="11.3671875" customWidth="1"/>
    <col min="13" max="13" width="14.68359375" bestFit="1" customWidth="1"/>
    <col min="16" max="16" width="17" bestFit="1" customWidth="1"/>
    <col min="17" max="17" width="14.3125" bestFit="1" customWidth="1"/>
    <col min="19" max="19" width="14.3125" bestFit="1" customWidth="1"/>
    <col min="20" max="20" width="15" bestFit="1" customWidth="1"/>
    <col min="39" max="39" width="16.1015625" bestFit="1" customWidth="1"/>
    <col min="40" max="40" width="11.578125" bestFit="1" customWidth="1"/>
    <col min="41" max="41" width="10.26171875" bestFit="1" customWidth="1"/>
    <col min="42" max="42" width="18.47265625" bestFit="1" customWidth="1"/>
    <col min="43" max="43" width="16" bestFit="1" customWidth="1"/>
    <col min="44" max="44" width="50.89453125" bestFit="1" customWidth="1"/>
    <col min="45" max="45" width="12.41796875" bestFit="1" customWidth="1"/>
    <col min="46" max="46" width="8.3671875" bestFit="1" customWidth="1"/>
    <col min="47" max="47" width="11.26171875" bestFit="1" customWidth="1"/>
  </cols>
  <sheetData>
    <row r="1" spans="1:4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2757</v>
      </c>
      <c r="F1" s="1" t="s">
        <v>2756</v>
      </c>
      <c r="G1" s="1" t="s">
        <v>2755</v>
      </c>
      <c r="H1" s="1" t="s">
        <v>2754</v>
      </c>
      <c r="I1" s="1" t="s">
        <v>8</v>
      </c>
      <c r="J1" s="1" t="s">
        <v>9</v>
      </c>
      <c r="K1" s="1" t="s">
        <v>2752</v>
      </c>
      <c r="L1" s="1" t="s">
        <v>2751</v>
      </c>
      <c r="M1" s="1" t="s">
        <v>2753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2" t="s">
        <v>2741</v>
      </c>
      <c r="AT1" s="7">
        <f>SUM(AT2:AT251)</f>
        <v>477.74658561643838</v>
      </c>
      <c r="AU1" s="2" t="s">
        <v>2743</v>
      </c>
    </row>
    <row r="2" spans="1:47" x14ac:dyDescent="0.5500000000000000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IF(E2=0,0,
VALUE(MID(E2,2,FIND(",",E2)-2))+
VALUE(MID(F2,2,FIND(",",F2)-2))+
VALUE(MID(G2,2,FIND(",",G2)-2))
)</f>
        <v>0</v>
      </c>
      <c r="L2">
        <f>IF(E2=0,0,
VALUE(MID(E2,FIND(",",E2)+1,FIND("]",E2)-FIND(",",E2)-1))+
VALUE(MID(F2,FIND(",",F2)+1,FIND("]",F2)-FIND(",",F2)-1))+
VALUE(MID(G2,FIND(",",G2)+1,FIND("]",G2)-FIND(",",G2)-1))
)</f>
        <v>0</v>
      </c>
      <c r="M2">
        <f>(K2-L2)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T2" s="6">
        <f>(AP2-AQ2)/(365*24*2)</f>
        <v>0</v>
      </c>
      <c r="AU2" s="3">
        <f>SUM(AT2:AT251)</f>
        <v>477.74658561643838</v>
      </c>
    </row>
    <row r="3" spans="1:47" x14ac:dyDescent="0.5500000000000000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0">IF(E3=0,0,
VALUE(MID(E3,2,FIND(",",E3)-2))+
VALUE(MID(F3,2,FIND(",",F3)-2))+
VALUE(MID(G3,2,FIND(",",G3)-2))
)</f>
        <v>0</v>
      </c>
      <c r="L3">
        <f t="shared" ref="L3:L66" si="1">IF(E3=0,0,
VALUE(MID(E3,FIND(",",E3)+1,FIND("]",E3)-FIND(",",E3)-1))+
VALUE(MID(F3,FIND(",",F3)+1,FIND("]",F3)-FIND(",",F3)-1))+
VALUE(MID(G3,FIND(",",G3)+1,FIND("]",G3)-FIND(",",G3)-1))
)</f>
        <v>0</v>
      </c>
      <c r="M3">
        <f t="shared" ref="M3:M66" si="2">(K3-L3)</f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T3" s="6">
        <f t="shared" ref="AT3:AT66" si="3">(AP3-AQ3)/(365*24*2)</f>
        <v>0</v>
      </c>
    </row>
    <row r="4" spans="1:47" x14ac:dyDescent="0.5500000000000000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  <c r="L4">
        <f t="shared" si="1"/>
        <v>0</v>
      </c>
      <c r="M4">
        <f t="shared" si="2"/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T4" s="6">
        <f t="shared" si="3"/>
        <v>0</v>
      </c>
    </row>
    <row r="5" spans="1:47" x14ac:dyDescent="0.55000000000000004">
      <c r="A5">
        <v>0</v>
      </c>
      <c r="B5">
        <v>6</v>
      </c>
      <c r="C5">
        <v>57.24</v>
      </c>
      <c r="D5">
        <v>7.8</v>
      </c>
      <c r="E5" t="s">
        <v>2190</v>
      </c>
      <c r="F5" t="s">
        <v>2200</v>
      </c>
      <c r="G5" t="s">
        <v>2199</v>
      </c>
      <c r="H5" t="s">
        <v>2325</v>
      </c>
      <c r="I5">
        <v>0</v>
      </c>
      <c r="J5">
        <v>1305.8900000000001</v>
      </c>
      <c r="K5">
        <f t="shared" si="0"/>
        <v>35.6</v>
      </c>
      <c r="L5">
        <f t="shared" si="1"/>
        <v>14.28</v>
      </c>
      <c r="M5">
        <f t="shared" si="2"/>
        <v>21.32</v>
      </c>
      <c r="N5">
        <v>7.57</v>
      </c>
      <c r="O5">
        <v>0</v>
      </c>
      <c r="P5">
        <v>59</v>
      </c>
      <c r="Q5">
        <v>20</v>
      </c>
      <c r="R5">
        <v>6</v>
      </c>
      <c r="S5">
        <v>14.88</v>
      </c>
      <c r="T5">
        <v>-14.88</v>
      </c>
      <c r="U5">
        <v>0.04</v>
      </c>
      <c r="V5">
        <v>36.630000000000003</v>
      </c>
      <c r="W5">
        <v>10.73</v>
      </c>
      <c r="X5">
        <v>11.26</v>
      </c>
      <c r="Y5">
        <v>7.35</v>
      </c>
      <c r="Z5">
        <v>48.61</v>
      </c>
      <c r="AA5">
        <v>-2.46</v>
      </c>
      <c r="AB5">
        <v>12.72</v>
      </c>
      <c r="AC5">
        <v>-67.56</v>
      </c>
      <c r="AD5">
        <v>160</v>
      </c>
      <c r="AE5">
        <v>1460</v>
      </c>
      <c r="AF5">
        <v>13.4</v>
      </c>
      <c r="AG5">
        <v>0.15</v>
      </c>
      <c r="AH5">
        <v>-14.02</v>
      </c>
      <c r="AI5">
        <v>151.4</v>
      </c>
      <c r="AJ5">
        <v>60</v>
      </c>
      <c r="AK5">
        <v>9</v>
      </c>
      <c r="AL5">
        <v>9</v>
      </c>
      <c r="AM5">
        <v>0.05</v>
      </c>
      <c r="AN5">
        <v>96</v>
      </c>
      <c r="AO5">
        <v>96.44</v>
      </c>
      <c r="AP5">
        <v>318351.92</v>
      </c>
      <c r="AQ5">
        <v>172101.2</v>
      </c>
      <c r="AR5" t="s">
        <v>917</v>
      </c>
      <c r="AT5" s="6">
        <f t="shared" si="3"/>
        <v>8.3476438356164362</v>
      </c>
    </row>
    <row r="6" spans="1:47" x14ac:dyDescent="0.55000000000000004">
      <c r="A6">
        <v>0</v>
      </c>
      <c r="B6">
        <v>6</v>
      </c>
      <c r="C6">
        <v>54.86</v>
      </c>
      <c r="D6">
        <v>7.8</v>
      </c>
      <c r="E6" t="s">
        <v>2191</v>
      </c>
      <c r="F6" t="s">
        <v>2201</v>
      </c>
      <c r="G6" t="s">
        <v>2199</v>
      </c>
      <c r="H6" t="s">
        <v>2326</v>
      </c>
      <c r="I6">
        <v>0</v>
      </c>
      <c r="J6">
        <v>1271.67</v>
      </c>
      <c r="K6">
        <f t="shared" si="0"/>
        <v>31.13</v>
      </c>
      <c r="L6">
        <f t="shared" si="1"/>
        <v>14.28</v>
      </c>
      <c r="M6">
        <f t="shared" si="2"/>
        <v>16.850000000000001</v>
      </c>
      <c r="N6">
        <v>7.53</v>
      </c>
      <c r="O6">
        <v>0</v>
      </c>
      <c r="P6">
        <v>85</v>
      </c>
      <c r="Q6">
        <v>18.899999999999999</v>
      </c>
      <c r="R6">
        <v>6</v>
      </c>
      <c r="S6">
        <v>17.079999999999998</v>
      </c>
      <c r="T6">
        <v>-17.079999999999998</v>
      </c>
      <c r="U6">
        <v>0.04</v>
      </c>
      <c r="V6">
        <v>35.11</v>
      </c>
      <c r="W6">
        <v>10.28</v>
      </c>
      <c r="X6">
        <v>10.8</v>
      </c>
      <c r="Y6">
        <v>7.04</v>
      </c>
      <c r="Z6">
        <v>42.5</v>
      </c>
      <c r="AA6">
        <v>-2.5</v>
      </c>
      <c r="AB6">
        <v>12.79</v>
      </c>
      <c r="AC6">
        <v>-54.15</v>
      </c>
      <c r="AD6">
        <v>160</v>
      </c>
      <c r="AE6">
        <v>1460</v>
      </c>
      <c r="AF6">
        <v>13.4</v>
      </c>
      <c r="AG6">
        <v>0.15</v>
      </c>
      <c r="AH6">
        <v>-14.01</v>
      </c>
      <c r="AI6">
        <v>151.4</v>
      </c>
      <c r="AJ6">
        <v>60</v>
      </c>
      <c r="AK6">
        <v>9</v>
      </c>
      <c r="AL6">
        <v>9</v>
      </c>
      <c r="AM6">
        <v>0.05</v>
      </c>
      <c r="AN6">
        <v>96</v>
      </c>
      <c r="AO6">
        <v>96.44</v>
      </c>
      <c r="AP6">
        <v>269104.64000000001</v>
      </c>
      <c r="AQ6">
        <v>172101.2</v>
      </c>
      <c r="AR6" t="s">
        <v>918</v>
      </c>
      <c r="AT6" s="6">
        <f t="shared" si="3"/>
        <v>5.5367260273972603</v>
      </c>
    </row>
    <row r="7" spans="1:47" x14ac:dyDescent="0.55000000000000004">
      <c r="A7">
        <v>0</v>
      </c>
      <c r="B7">
        <v>6</v>
      </c>
      <c r="C7">
        <v>75.38</v>
      </c>
      <c r="D7">
        <v>7.8</v>
      </c>
      <c r="E7" t="s">
        <v>2192</v>
      </c>
      <c r="F7" t="s">
        <v>2200</v>
      </c>
      <c r="G7" t="s">
        <v>2199</v>
      </c>
      <c r="H7" t="s">
        <v>2327</v>
      </c>
      <c r="I7">
        <v>0</v>
      </c>
      <c r="J7">
        <v>1395.87</v>
      </c>
      <c r="K7">
        <f t="shared" si="0"/>
        <v>57.88</v>
      </c>
      <c r="L7">
        <f t="shared" si="1"/>
        <v>14.28</v>
      </c>
      <c r="M7">
        <f t="shared" si="2"/>
        <v>43.6</v>
      </c>
      <c r="N7">
        <v>7.66</v>
      </c>
      <c r="O7">
        <v>0</v>
      </c>
      <c r="P7">
        <v>64</v>
      </c>
      <c r="Q7">
        <v>19.7</v>
      </c>
      <c r="R7">
        <v>6</v>
      </c>
      <c r="S7">
        <v>15.25</v>
      </c>
      <c r="T7">
        <v>-15.25</v>
      </c>
      <c r="U7">
        <v>0.05</v>
      </c>
      <c r="V7">
        <v>48.25</v>
      </c>
      <c r="W7">
        <v>14.14</v>
      </c>
      <c r="X7">
        <v>14.82</v>
      </c>
      <c r="Y7">
        <v>9.68</v>
      </c>
      <c r="Z7">
        <v>79.040000000000006</v>
      </c>
      <c r="AA7">
        <v>-2.23</v>
      </c>
      <c r="AB7">
        <v>12.27</v>
      </c>
      <c r="AC7">
        <v>-64.88</v>
      </c>
      <c r="AD7">
        <v>160</v>
      </c>
      <c r="AE7">
        <v>1460</v>
      </c>
      <c r="AF7">
        <v>13.4</v>
      </c>
      <c r="AG7">
        <v>0.15</v>
      </c>
      <c r="AH7">
        <v>-14.17</v>
      </c>
      <c r="AI7">
        <v>151.4</v>
      </c>
      <c r="AJ7">
        <v>60</v>
      </c>
      <c r="AK7">
        <v>9</v>
      </c>
      <c r="AL7">
        <v>9</v>
      </c>
      <c r="AM7">
        <v>0.05</v>
      </c>
      <c r="AN7">
        <v>96</v>
      </c>
      <c r="AO7">
        <v>96.44</v>
      </c>
      <c r="AP7">
        <v>564369.74</v>
      </c>
      <c r="AQ7">
        <v>172101.2</v>
      </c>
      <c r="AR7" t="s">
        <v>919</v>
      </c>
      <c r="AT7" s="6">
        <f t="shared" si="3"/>
        <v>22.389756849315066</v>
      </c>
    </row>
    <row r="8" spans="1:47" x14ac:dyDescent="0.5500000000000000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0"/>
        <v>0</v>
      </c>
      <c r="L8">
        <f t="shared" si="1"/>
        <v>0</v>
      </c>
      <c r="M8">
        <f t="shared" si="2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T8" s="6">
        <f t="shared" si="3"/>
        <v>0</v>
      </c>
    </row>
    <row r="9" spans="1:47" x14ac:dyDescent="0.55000000000000004">
      <c r="A9">
        <v>0</v>
      </c>
      <c r="B9">
        <v>6</v>
      </c>
      <c r="C9">
        <v>81.47</v>
      </c>
      <c r="D9">
        <v>7.8</v>
      </c>
      <c r="E9" t="s">
        <v>2193</v>
      </c>
      <c r="F9" t="s">
        <v>2202</v>
      </c>
      <c r="G9" t="s">
        <v>2199</v>
      </c>
      <c r="H9" t="s">
        <v>2328</v>
      </c>
      <c r="I9">
        <v>0</v>
      </c>
      <c r="J9">
        <v>1406.95</v>
      </c>
      <c r="K9">
        <f t="shared" si="0"/>
        <v>64.5</v>
      </c>
      <c r="L9">
        <f t="shared" si="1"/>
        <v>14.28</v>
      </c>
      <c r="M9">
        <f t="shared" si="2"/>
        <v>50.22</v>
      </c>
      <c r="N9">
        <v>7.67</v>
      </c>
      <c r="O9">
        <v>0</v>
      </c>
      <c r="P9">
        <v>73</v>
      </c>
      <c r="Q9">
        <v>18.399999999999999</v>
      </c>
      <c r="R9">
        <v>6</v>
      </c>
      <c r="S9">
        <v>15.15</v>
      </c>
      <c r="T9">
        <v>-15.15</v>
      </c>
      <c r="U9">
        <v>0.06</v>
      </c>
      <c r="V9">
        <v>52.14</v>
      </c>
      <c r="W9">
        <v>15.28</v>
      </c>
      <c r="X9">
        <v>16.010000000000002</v>
      </c>
      <c r="Y9">
        <v>10.47</v>
      </c>
      <c r="Z9">
        <v>88.08</v>
      </c>
      <c r="AA9">
        <v>-2.17</v>
      </c>
      <c r="AB9">
        <v>12.14</v>
      </c>
      <c r="AC9">
        <v>-65.56</v>
      </c>
      <c r="AD9">
        <v>160</v>
      </c>
      <c r="AE9">
        <v>1460</v>
      </c>
      <c r="AF9">
        <v>13.4</v>
      </c>
      <c r="AG9">
        <v>0.15</v>
      </c>
      <c r="AH9">
        <v>-14.23</v>
      </c>
      <c r="AI9">
        <v>151.4</v>
      </c>
      <c r="AJ9">
        <v>60</v>
      </c>
      <c r="AK9">
        <v>9</v>
      </c>
      <c r="AL9">
        <v>9</v>
      </c>
      <c r="AM9">
        <v>0.05</v>
      </c>
      <c r="AN9">
        <v>96</v>
      </c>
      <c r="AO9">
        <v>96.44</v>
      </c>
      <c r="AP9">
        <v>639260.49</v>
      </c>
      <c r="AQ9">
        <v>172101.2</v>
      </c>
      <c r="AR9" t="s">
        <v>921</v>
      </c>
      <c r="AT9" s="6">
        <f t="shared" si="3"/>
        <v>26.664343036529679</v>
      </c>
    </row>
    <row r="10" spans="1:47" x14ac:dyDescent="0.5500000000000000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0"/>
        <v>0</v>
      </c>
      <c r="L10">
        <f t="shared" si="1"/>
        <v>0</v>
      </c>
      <c r="M10">
        <f t="shared" si="2"/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 s="6">
        <f t="shared" si="3"/>
        <v>0</v>
      </c>
    </row>
    <row r="11" spans="1:47" x14ac:dyDescent="0.5500000000000000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0"/>
        <v>0</v>
      </c>
      <c r="L11">
        <f t="shared" si="1"/>
        <v>0</v>
      </c>
      <c r="M11">
        <f t="shared" si="2"/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 s="6">
        <f t="shared" si="3"/>
        <v>0</v>
      </c>
    </row>
    <row r="12" spans="1:47" x14ac:dyDescent="0.5500000000000000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0"/>
        <v>0</v>
      </c>
      <c r="L12">
        <f t="shared" si="1"/>
        <v>0</v>
      </c>
      <c r="M12">
        <f t="shared" si="2"/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T12" s="6">
        <f t="shared" si="3"/>
        <v>0</v>
      </c>
    </row>
    <row r="13" spans="1:47" x14ac:dyDescent="0.5500000000000000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0"/>
        <v>0</v>
      </c>
      <c r="L13">
        <f t="shared" si="1"/>
        <v>0</v>
      </c>
      <c r="M13">
        <f t="shared" si="2"/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 s="6">
        <f t="shared" si="3"/>
        <v>0</v>
      </c>
    </row>
    <row r="14" spans="1:47" x14ac:dyDescent="0.55000000000000004">
      <c r="A14">
        <v>0</v>
      </c>
      <c r="B14">
        <v>6</v>
      </c>
      <c r="C14">
        <v>71.56</v>
      </c>
      <c r="D14">
        <v>7.8</v>
      </c>
      <c r="E14" t="s">
        <v>2194</v>
      </c>
      <c r="F14" t="s">
        <v>2203</v>
      </c>
      <c r="G14" t="s">
        <v>2199</v>
      </c>
      <c r="H14" t="s">
        <v>2329</v>
      </c>
      <c r="I14">
        <v>0</v>
      </c>
      <c r="J14">
        <v>1382.25</v>
      </c>
      <c r="K14">
        <f t="shared" si="0"/>
        <v>53.629999999999995</v>
      </c>
      <c r="L14">
        <f t="shared" si="1"/>
        <v>14.28</v>
      </c>
      <c r="M14">
        <f t="shared" si="2"/>
        <v>39.349999999999994</v>
      </c>
      <c r="N14">
        <v>7.64</v>
      </c>
      <c r="O14">
        <v>0</v>
      </c>
      <c r="P14">
        <v>55</v>
      </c>
      <c r="Q14">
        <v>20.3</v>
      </c>
      <c r="R14">
        <v>6</v>
      </c>
      <c r="S14">
        <v>14.63</v>
      </c>
      <c r="T14">
        <v>-14.63</v>
      </c>
      <c r="U14">
        <v>0.05</v>
      </c>
      <c r="V14">
        <v>45.8</v>
      </c>
      <c r="W14">
        <v>13.42</v>
      </c>
      <c r="X14">
        <v>14.07</v>
      </c>
      <c r="Y14">
        <v>9.19</v>
      </c>
      <c r="Z14">
        <v>73.23</v>
      </c>
      <c r="AA14">
        <v>-2.2799999999999998</v>
      </c>
      <c r="AB14">
        <v>12.36</v>
      </c>
      <c r="AC14">
        <v>-69.56</v>
      </c>
      <c r="AD14">
        <v>160</v>
      </c>
      <c r="AE14">
        <v>1460</v>
      </c>
      <c r="AF14">
        <v>13.4</v>
      </c>
      <c r="AG14">
        <v>0.15</v>
      </c>
      <c r="AH14">
        <v>-14.13</v>
      </c>
      <c r="AI14">
        <v>151.4</v>
      </c>
      <c r="AJ14">
        <v>60</v>
      </c>
      <c r="AK14">
        <v>9</v>
      </c>
      <c r="AL14">
        <v>9</v>
      </c>
      <c r="AM14">
        <v>0.05</v>
      </c>
      <c r="AN14">
        <v>96</v>
      </c>
      <c r="AO14">
        <v>96.44</v>
      </c>
      <c r="AP14">
        <v>518295.46</v>
      </c>
      <c r="AQ14">
        <v>172101.2</v>
      </c>
      <c r="AR14" t="s">
        <v>926</v>
      </c>
      <c r="AT14" s="6">
        <f t="shared" si="3"/>
        <v>19.759946347031963</v>
      </c>
    </row>
    <row r="15" spans="1:47" x14ac:dyDescent="0.55000000000000004">
      <c r="A15">
        <v>0</v>
      </c>
      <c r="B15">
        <v>6</v>
      </c>
      <c r="C15">
        <v>58.78</v>
      </c>
      <c r="D15">
        <v>7.8</v>
      </c>
      <c r="E15" t="s">
        <v>2195</v>
      </c>
      <c r="F15" t="s">
        <v>2204</v>
      </c>
      <c r="G15" t="s">
        <v>2199</v>
      </c>
      <c r="H15" t="s">
        <v>2330</v>
      </c>
      <c r="I15">
        <v>0</v>
      </c>
      <c r="J15">
        <v>1140.95</v>
      </c>
      <c r="K15">
        <f t="shared" si="0"/>
        <v>21</v>
      </c>
      <c r="L15">
        <f t="shared" si="1"/>
        <v>21</v>
      </c>
      <c r="M15">
        <f t="shared" si="2"/>
        <v>0</v>
      </c>
      <c r="N15">
        <v>7.4</v>
      </c>
      <c r="O15">
        <v>0</v>
      </c>
      <c r="P15">
        <v>87</v>
      </c>
      <c r="Q15">
        <v>17.899999999999999</v>
      </c>
      <c r="R15">
        <v>6</v>
      </c>
      <c r="S15">
        <v>16.34</v>
      </c>
      <c r="T15">
        <v>-16.34</v>
      </c>
      <c r="U15">
        <v>0.05</v>
      </c>
      <c r="V15">
        <v>37.619999999999997</v>
      </c>
      <c r="W15">
        <v>11.01</v>
      </c>
      <c r="X15">
        <v>11.6</v>
      </c>
      <c r="Y15">
        <v>7.53</v>
      </c>
      <c r="Z15">
        <v>2.82</v>
      </c>
      <c r="AA15">
        <v>-2.44</v>
      </c>
      <c r="AB15">
        <v>12.68</v>
      </c>
      <c r="AC15">
        <v>-58</v>
      </c>
      <c r="AD15">
        <v>160</v>
      </c>
      <c r="AE15">
        <v>1460</v>
      </c>
      <c r="AF15">
        <v>13.4</v>
      </c>
      <c r="AG15">
        <v>0.15</v>
      </c>
      <c r="AH15">
        <v>-14.13</v>
      </c>
      <c r="AI15">
        <v>14.89</v>
      </c>
      <c r="AJ15">
        <v>60</v>
      </c>
      <c r="AK15">
        <v>9</v>
      </c>
      <c r="AL15">
        <v>9</v>
      </c>
      <c r="AM15">
        <v>0.5</v>
      </c>
      <c r="AN15">
        <v>96</v>
      </c>
      <c r="AO15">
        <v>100.47</v>
      </c>
      <c r="AP15">
        <v>157467.68</v>
      </c>
      <c r="AQ15">
        <v>157467.68</v>
      </c>
      <c r="AR15" t="s">
        <v>927</v>
      </c>
      <c r="AT15" s="6">
        <f t="shared" si="3"/>
        <v>0</v>
      </c>
    </row>
    <row r="16" spans="1:47" x14ac:dyDescent="0.5500000000000000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0"/>
        <v>0</v>
      </c>
      <c r="L16">
        <f t="shared" si="1"/>
        <v>0</v>
      </c>
      <c r="M16">
        <f t="shared" si="2"/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T16" s="6">
        <f t="shared" si="3"/>
        <v>0</v>
      </c>
    </row>
    <row r="17" spans="1:46" x14ac:dyDescent="0.5500000000000000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0"/>
        <v>0</v>
      </c>
      <c r="L17">
        <f t="shared" si="1"/>
        <v>0</v>
      </c>
      <c r="M17">
        <f t="shared" si="2"/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T17" s="6">
        <f t="shared" si="3"/>
        <v>0</v>
      </c>
    </row>
    <row r="18" spans="1:46" x14ac:dyDescent="0.5500000000000000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0"/>
        <v>0</v>
      </c>
      <c r="L18">
        <f t="shared" si="1"/>
        <v>0</v>
      </c>
      <c r="M18">
        <f t="shared" si="2"/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 s="6">
        <f t="shared" si="3"/>
        <v>0</v>
      </c>
    </row>
    <row r="19" spans="1:46" x14ac:dyDescent="0.55000000000000004">
      <c r="A19">
        <v>0</v>
      </c>
      <c r="B19">
        <v>6</v>
      </c>
      <c r="C19">
        <v>78.59</v>
      </c>
      <c r="D19">
        <v>7.8</v>
      </c>
      <c r="E19" t="s">
        <v>2196</v>
      </c>
      <c r="F19" t="s">
        <v>2205</v>
      </c>
      <c r="G19" t="s">
        <v>2199</v>
      </c>
      <c r="H19" t="s">
        <v>2331</v>
      </c>
      <c r="I19">
        <v>0</v>
      </c>
      <c r="J19">
        <v>1409.2</v>
      </c>
      <c r="K19">
        <f t="shared" si="0"/>
        <v>61.400000000000006</v>
      </c>
      <c r="L19">
        <f t="shared" si="1"/>
        <v>14.28</v>
      </c>
      <c r="M19">
        <f t="shared" si="2"/>
        <v>47.120000000000005</v>
      </c>
      <c r="N19">
        <v>7.67</v>
      </c>
      <c r="O19">
        <v>0</v>
      </c>
      <c r="P19">
        <v>68</v>
      </c>
      <c r="Q19">
        <v>18.899999999999999</v>
      </c>
      <c r="R19">
        <v>6</v>
      </c>
      <c r="S19">
        <v>15.01</v>
      </c>
      <c r="T19">
        <v>-15.01</v>
      </c>
      <c r="U19">
        <v>0.06</v>
      </c>
      <c r="V19">
        <v>50.3</v>
      </c>
      <c r="W19">
        <v>14.74</v>
      </c>
      <c r="X19">
        <v>15.44</v>
      </c>
      <c r="Y19">
        <v>10.1</v>
      </c>
      <c r="Z19">
        <v>83.83</v>
      </c>
      <c r="AA19">
        <v>-2.2000000000000002</v>
      </c>
      <c r="AB19">
        <v>12.2</v>
      </c>
      <c r="AC19">
        <v>-66.59</v>
      </c>
      <c r="AD19">
        <v>160</v>
      </c>
      <c r="AE19">
        <v>1460</v>
      </c>
      <c r="AF19">
        <v>13.4</v>
      </c>
      <c r="AG19">
        <v>0.15</v>
      </c>
      <c r="AH19">
        <v>-14.19</v>
      </c>
      <c r="AI19">
        <v>151.4</v>
      </c>
      <c r="AJ19">
        <v>60</v>
      </c>
      <c r="AK19">
        <v>9</v>
      </c>
      <c r="AL19">
        <v>9</v>
      </c>
      <c r="AM19">
        <v>0.05</v>
      </c>
      <c r="AN19">
        <v>96</v>
      </c>
      <c r="AO19">
        <v>96.44</v>
      </c>
      <c r="AP19">
        <v>600733.23</v>
      </c>
      <c r="AQ19">
        <v>172101.2</v>
      </c>
      <c r="AR19" t="s">
        <v>931</v>
      </c>
      <c r="AT19" s="6">
        <f t="shared" si="3"/>
        <v>24.465298515981733</v>
      </c>
    </row>
    <row r="20" spans="1:46" x14ac:dyDescent="0.55000000000000004">
      <c r="A20">
        <v>0</v>
      </c>
      <c r="B20">
        <v>6</v>
      </c>
      <c r="C20">
        <v>54.23</v>
      </c>
      <c r="D20">
        <v>7.8</v>
      </c>
      <c r="E20" t="s">
        <v>2197</v>
      </c>
      <c r="F20" t="s">
        <v>2206</v>
      </c>
      <c r="G20" t="s">
        <v>2199</v>
      </c>
      <c r="H20" t="s">
        <v>2332</v>
      </c>
      <c r="I20">
        <v>0</v>
      </c>
      <c r="J20">
        <v>1201.51</v>
      </c>
      <c r="K20">
        <f t="shared" si="0"/>
        <v>25.09</v>
      </c>
      <c r="L20">
        <f t="shared" si="1"/>
        <v>14.28</v>
      </c>
      <c r="M20">
        <f t="shared" si="2"/>
        <v>10.81</v>
      </c>
      <c r="N20">
        <v>7.46</v>
      </c>
      <c r="O20">
        <v>0</v>
      </c>
      <c r="P20">
        <v>70</v>
      </c>
      <c r="Q20">
        <v>18.600000000000001</v>
      </c>
      <c r="R20">
        <v>6</v>
      </c>
      <c r="S20">
        <v>14.98</v>
      </c>
      <c r="T20">
        <v>-14.98</v>
      </c>
      <c r="U20">
        <v>0.05</v>
      </c>
      <c r="V20">
        <v>34.700000000000003</v>
      </c>
      <c r="W20">
        <v>10.16</v>
      </c>
      <c r="X20">
        <v>10.69</v>
      </c>
      <c r="Y20">
        <v>6.95</v>
      </c>
      <c r="Z20">
        <v>34.26</v>
      </c>
      <c r="AA20">
        <v>-2.5099999999999998</v>
      </c>
      <c r="AB20">
        <v>12.81</v>
      </c>
      <c r="AC20">
        <v>-66.849999999999994</v>
      </c>
      <c r="AD20">
        <v>160</v>
      </c>
      <c r="AE20">
        <v>1460</v>
      </c>
      <c r="AF20">
        <v>13.4</v>
      </c>
      <c r="AG20">
        <v>0.15</v>
      </c>
      <c r="AH20">
        <v>-14.04</v>
      </c>
      <c r="AI20">
        <v>151.4</v>
      </c>
      <c r="AJ20">
        <v>60</v>
      </c>
      <c r="AK20">
        <v>9</v>
      </c>
      <c r="AL20">
        <v>9</v>
      </c>
      <c r="AM20">
        <v>0.05</v>
      </c>
      <c r="AN20">
        <v>96</v>
      </c>
      <c r="AO20">
        <v>96.44</v>
      </c>
      <c r="AP20">
        <v>203537.84</v>
      </c>
      <c r="AQ20">
        <v>172101.2</v>
      </c>
      <c r="AR20" t="s">
        <v>932</v>
      </c>
      <c r="AT20" s="6">
        <f t="shared" si="3"/>
        <v>1.7943287671232868</v>
      </c>
    </row>
    <row r="21" spans="1:46" x14ac:dyDescent="0.5500000000000000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0"/>
        <v>0</v>
      </c>
      <c r="L21">
        <f t="shared" si="1"/>
        <v>0</v>
      </c>
      <c r="M21">
        <f t="shared" si="2"/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 s="6">
        <f t="shared" si="3"/>
        <v>0</v>
      </c>
    </row>
    <row r="22" spans="1:46" x14ac:dyDescent="0.5500000000000000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0"/>
        <v>0</v>
      </c>
      <c r="L22">
        <f t="shared" si="1"/>
        <v>0</v>
      </c>
      <c r="M22">
        <f t="shared" si="2"/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 s="6">
        <f t="shared" si="3"/>
        <v>0</v>
      </c>
    </row>
    <row r="23" spans="1:46" x14ac:dyDescent="0.5500000000000000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0"/>
        <v>0</v>
      </c>
      <c r="L23">
        <f t="shared" si="1"/>
        <v>0</v>
      </c>
      <c r="M23">
        <f t="shared" si="2"/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T23" s="6">
        <f t="shared" si="3"/>
        <v>0</v>
      </c>
    </row>
    <row r="24" spans="1:46" x14ac:dyDescent="0.5500000000000000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0"/>
        <v>0</v>
      </c>
      <c r="L24">
        <f t="shared" si="1"/>
        <v>0</v>
      </c>
      <c r="M24">
        <f t="shared" si="2"/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T24" s="6">
        <f t="shared" si="3"/>
        <v>0</v>
      </c>
    </row>
    <row r="25" spans="1:46" x14ac:dyDescent="0.5500000000000000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0"/>
        <v>0</v>
      </c>
      <c r="L25">
        <f t="shared" si="1"/>
        <v>0</v>
      </c>
      <c r="M25">
        <f t="shared" si="2"/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T25" s="6">
        <f t="shared" si="3"/>
        <v>0</v>
      </c>
    </row>
    <row r="26" spans="1:46" x14ac:dyDescent="0.5500000000000000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0"/>
        <v>0</v>
      </c>
      <c r="L26">
        <f t="shared" si="1"/>
        <v>0</v>
      </c>
      <c r="M26">
        <f t="shared" si="2"/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T26" s="6">
        <f t="shared" si="3"/>
        <v>0</v>
      </c>
    </row>
    <row r="27" spans="1:46" x14ac:dyDescent="0.5500000000000000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0"/>
        <v>0</v>
      </c>
      <c r="L27">
        <f t="shared" si="1"/>
        <v>0</v>
      </c>
      <c r="M27">
        <f t="shared" si="2"/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T27" s="6">
        <f t="shared" si="3"/>
        <v>0</v>
      </c>
    </row>
    <row r="28" spans="1:46" x14ac:dyDescent="0.5500000000000000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0"/>
        <v>0</v>
      </c>
      <c r="L28">
        <f t="shared" si="1"/>
        <v>0</v>
      </c>
      <c r="M28">
        <f t="shared" si="2"/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T28" s="6">
        <f t="shared" si="3"/>
        <v>0</v>
      </c>
    </row>
    <row r="29" spans="1:46" x14ac:dyDescent="0.5500000000000000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0"/>
        <v>0</v>
      </c>
      <c r="L29">
        <f t="shared" si="1"/>
        <v>0</v>
      </c>
      <c r="M29">
        <f t="shared" si="2"/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T29" s="6">
        <f t="shared" si="3"/>
        <v>0</v>
      </c>
    </row>
    <row r="30" spans="1:46" x14ac:dyDescent="0.5500000000000000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0"/>
        <v>0</v>
      </c>
      <c r="L30">
        <f t="shared" si="1"/>
        <v>0</v>
      </c>
      <c r="M30">
        <f t="shared" si="2"/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T30" s="6">
        <f t="shared" si="3"/>
        <v>0</v>
      </c>
    </row>
    <row r="31" spans="1:46" x14ac:dyDescent="0.5500000000000000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0"/>
        <v>0</v>
      </c>
      <c r="L31">
        <f t="shared" si="1"/>
        <v>0</v>
      </c>
      <c r="M31">
        <f t="shared" si="2"/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T31" s="6">
        <f t="shared" si="3"/>
        <v>0</v>
      </c>
    </row>
    <row r="32" spans="1:46" x14ac:dyDescent="0.5500000000000000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0"/>
        <v>0</v>
      </c>
      <c r="L32">
        <f t="shared" si="1"/>
        <v>0</v>
      </c>
      <c r="M32">
        <f t="shared" si="2"/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T32" s="6">
        <f t="shared" si="3"/>
        <v>0</v>
      </c>
    </row>
    <row r="33" spans="1:46" x14ac:dyDescent="0.5500000000000000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0"/>
        <v>0</v>
      </c>
      <c r="L33">
        <f t="shared" si="1"/>
        <v>0</v>
      </c>
      <c r="M33">
        <f t="shared" si="2"/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 s="6">
        <f t="shared" si="3"/>
        <v>0</v>
      </c>
    </row>
    <row r="34" spans="1:46" x14ac:dyDescent="0.5500000000000000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0"/>
        <v>0</v>
      </c>
      <c r="L34">
        <f t="shared" si="1"/>
        <v>0</v>
      </c>
      <c r="M34">
        <f t="shared" si="2"/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T34" s="6">
        <f t="shared" si="3"/>
        <v>0</v>
      </c>
    </row>
    <row r="35" spans="1:46" x14ac:dyDescent="0.5500000000000000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0"/>
        <v>0</v>
      </c>
      <c r="L35">
        <f t="shared" si="1"/>
        <v>0</v>
      </c>
      <c r="M35">
        <f t="shared" si="2"/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T35" s="6">
        <f t="shared" si="3"/>
        <v>0</v>
      </c>
    </row>
    <row r="36" spans="1:46" x14ac:dyDescent="0.5500000000000000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0"/>
        <v>0</v>
      </c>
      <c r="L36">
        <f t="shared" si="1"/>
        <v>0</v>
      </c>
      <c r="M36">
        <f t="shared" si="2"/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T36" s="6">
        <f t="shared" si="3"/>
        <v>0</v>
      </c>
    </row>
    <row r="37" spans="1:46" x14ac:dyDescent="0.55000000000000004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0"/>
        <v>0</v>
      </c>
      <c r="L37">
        <f t="shared" si="1"/>
        <v>0</v>
      </c>
      <c r="M37">
        <f t="shared" si="2"/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T37" s="6">
        <f t="shared" si="3"/>
        <v>0</v>
      </c>
    </row>
    <row r="38" spans="1:46" x14ac:dyDescent="0.5500000000000000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0"/>
        <v>0</v>
      </c>
      <c r="L38">
        <f t="shared" si="1"/>
        <v>0</v>
      </c>
      <c r="M38">
        <f t="shared" si="2"/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T38" s="6">
        <f t="shared" si="3"/>
        <v>0</v>
      </c>
    </row>
    <row r="39" spans="1:46" x14ac:dyDescent="0.5500000000000000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0"/>
        <v>0</v>
      </c>
      <c r="L39">
        <f t="shared" si="1"/>
        <v>0</v>
      </c>
      <c r="M39">
        <f t="shared" si="2"/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T39" s="6">
        <f t="shared" si="3"/>
        <v>0</v>
      </c>
    </row>
    <row r="40" spans="1:46" x14ac:dyDescent="0.5500000000000000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0"/>
        <v>0</v>
      </c>
      <c r="L40">
        <f t="shared" si="1"/>
        <v>0</v>
      </c>
      <c r="M40">
        <f t="shared" si="2"/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T40" s="6">
        <f t="shared" si="3"/>
        <v>0</v>
      </c>
    </row>
    <row r="41" spans="1:46" x14ac:dyDescent="0.5500000000000000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0"/>
        <v>0</v>
      </c>
      <c r="L41">
        <f t="shared" si="1"/>
        <v>0</v>
      </c>
      <c r="M41">
        <f t="shared" si="2"/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T41" s="6">
        <f t="shared" si="3"/>
        <v>0</v>
      </c>
    </row>
    <row r="42" spans="1:46" x14ac:dyDescent="0.5500000000000000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0"/>
        <v>0</v>
      </c>
      <c r="L42">
        <f t="shared" si="1"/>
        <v>0</v>
      </c>
      <c r="M42">
        <f t="shared" si="2"/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T42" s="6">
        <f t="shared" si="3"/>
        <v>0</v>
      </c>
    </row>
    <row r="43" spans="1:46" x14ac:dyDescent="0.5500000000000000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0"/>
        <v>0</v>
      </c>
      <c r="L43">
        <f t="shared" si="1"/>
        <v>0</v>
      </c>
      <c r="M43">
        <f t="shared" si="2"/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T43" s="6">
        <f t="shared" si="3"/>
        <v>0</v>
      </c>
    </row>
    <row r="44" spans="1:46" x14ac:dyDescent="0.5500000000000000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0"/>
        <v>0</v>
      </c>
      <c r="L44">
        <f t="shared" si="1"/>
        <v>0</v>
      </c>
      <c r="M44">
        <f t="shared" si="2"/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T44" s="6">
        <f t="shared" si="3"/>
        <v>0</v>
      </c>
    </row>
    <row r="45" spans="1:46" x14ac:dyDescent="0.5500000000000000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0"/>
        <v>0</v>
      </c>
      <c r="L45">
        <f t="shared" si="1"/>
        <v>0</v>
      </c>
      <c r="M45">
        <f t="shared" si="2"/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T45" s="6">
        <f t="shared" si="3"/>
        <v>0</v>
      </c>
    </row>
    <row r="46" spans="1:46" x14ac:dyDescent="0.5500000000000000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0"/>
        <v>0</v>
      </c>
      <c r="L46">
        <f t="shared" si="1"/>
        <v>0</v>
      </c>
      <c r="M46">
        <f t="shared" si="2"/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T46" s="6">
        <f t="shared" si="3"/>
        <v>0</v>
      </c>
    </row>
    <row r="47" spans="1:46" x14ac:dyDescent="0.5500000000000000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0"/>
        <v>0</v>
      </c>
      <c r="L47">
        <f t="shared" si="1"/>
        <v>0</v>
      </c>
      <c r="M47">
        <f t="shared" si="2"/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T47" s="6">
        <f t="shared" si="3"/>
        <v>0</v>
      </c>
    </row>
    <row r="48" spans="1:46" x14ac:dyDescent="0.5500000000000000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0"/>
        <v>0</v>
      </c>
      <c r="L48">
        <f t="shared" si="1"/>
        <v>0</v>
      </c>
      <c r="M48">
        <f t="shared" si="2"/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T48" s="6">
        <f t="shared" si="3"/>
        <v>0</v>
      </c>
    </row>
    <row r="49" spans="1:46" x14ac:dyDescent="0.5500000000000000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0"/>
        <v>0</v>
      </c>
      <c r="L49">
        <f t="shared" si="1"/>
        <v>0</v>
      </c>
      <c r="M49">
        <f t="shared" si="2"/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T49" s="6">
        <f t="shared" si="3"/>
        <v>0</v>
      </c>
    </row>
    <row r="50" spans="1:46" x14ac:dyDescent="0.5500000000000000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0"/>
        <v>0</v>
      </c>
      <c r="L50">
        <f t="shared" si="1"/>
        <v>0</v>
      </c>
      <c r="M50">
        <f t="shared" si="2"/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T50" s="6">
        <f t="shared" si="3"/>
        <v>0</v>
      </c>
    </row>
    <row r="51" spans="1:46" x14ac:dyDescent="0.5500000000000000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0"/>
        <v>0</v>
      </c>
      <c r="L51">
        <f t="shared" si="1"/>
        <v>0</v>
      </c>
      <c r="M51">
        <f t="shared" si="2"/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T51" s="6">
        <f t="shared" si="3"/>
        <v>0</v>
      </c>
    </row>
    <row r="52" spans="1:46" x14ac:dyDescent="0.5500000000000000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0"/>
        <v>0</v>
      </c>
      <c r="L52">
        <f t="shared" si="1"/>
        <v>0</v>
      </c>
      <c r="M52">
        <f t="shared" si="2"/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T52" s="6">
        <f t="shared" si="3"/>
        <v>0</v>
      </c>
    </row>
    <row r="53" spans="1:46" x14ac:dyDescent="0.5500000000000000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0"/>
        <v>0</v>
      </c>
      <c r="L53">
        <f t="shared" si="1"/>
        <v>0</v>
      </c>
      <c r="M53">
        <f t="shared" si="2"/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T53" s="6">
        <f t="shared" si="3"/>
        <v>0</v>
      </c>
    </row>
    <row r="54" spans="1:46" x14ac:dyDescent="0.5500000000000000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0"/>
        <v>0</v>
      </c>
      <c r="L54">
        <f t="shared" si="1"/>
        <v>0</v>
      </c>
      <c r="M54">
        <f t="shared" si="2"/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T54" s="6">
        <f t="shared" si="3"/>
        <v>0</v>
      </c>
    </row>
    <row r="55" spans="1:46" x14ac:dyDescent="0.55000000000000004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0"/>
        <v>0</v>
      </c>
      <c r="L55">
        <f t="shared" si="1"/>
        <v>0</v>
      </c>
      <c r="M55">
        <f t="shared" si="2"/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T55" s="6">
        <f t="shared" si="3"/>
        <v>0</v>
      </c>
    </row>
    <row r="56" spans="1:46" x14ac:dyDescent="0.5500000000000000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0"/>
        <v>0</v>
      </c>
      <c r="L56">
        <f t="shared" si="1"/>
        <v>0</v>
      </c>
      <c r="M56">
        <f t="shared" si="2"/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T56" s="6">
        <f t="shared" si="3"/>
        <v>0</v>
      </c>
    </row>
    <row r="57" spans="1:46" x14ac:dyDescent="0.55000000000000004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0"/>
        <v>0</v>
      </c>
      <c r="L57">
        <f t="shared" si="1"/>
        <v>0</v>
      </c>
      <c r="M57">
        <f t="shared" si="2"/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T57" s="6">
        <f t="shared" si="3"/>
        <v>0</v>
      </c>
    </row>
    <row r="58" spans="1:46" x14ac:dyDescent="0.5500000000000000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0"/>
        <v>0</v>
      </c>
      <c r="L58">
        <f t="shared" si="1"/>
        <v>0</v>
      </c>
      <c r="M58">
        <f t="shared" si="2"/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T58" s="6">
        <f t="shared" si="3"/>
        <v>0</v>
      </c>
    </row>
    <row r="59" spans="1:46" x14ac:dyDescent="0.5500000000000000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0"/>
        <v>0</v>
      </c>
      <c r="L59">
        <f t="shared" si="1"/>
        <v>0</v>
      </c>
      <c r="M59">
        <f t="shared" si="2"/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T59" s="6">
        <f t="shared" si="3"/>
        <v>0</v>
      </c>
    </row>
    <row r="60" spans="1:46" x14ac:dyDescent="0.5500000000000000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0"/>
        <v>0</v>
      </c>
      <c r="L60">
        <f t="shared" si="1"/>
        <v>0</v>
      </c>
      <c r="M60">
        <f t="shared" si="2"/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T60" s="6">
        <f t="shared" si="3"/>
        <v>0</v>
      </c>
    </row>
    <row r="61" spans="1:46" x14ac:dyDescent="0.5500000000000000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0"/>
        <v>0</v>
      </c>
      <c r="L61">
        <f t="shared" si="1"/>
        <v>0</v>
      </c>
      <c r="M61">
        <f t="shared" si="2"/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T61" s="6">
        <f t="shared" si="3"/>
        <v>0</v>
      </c>
    </row>
    <row r="62" spans="1:46" x14ac:dyDescent="0.55000000000000004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0"/>
        <v>0</v>
      </c>
      <c r="L62">
        <f t="shared" si="1"/>
        <v>0</v>
      </c>
      <c r="M62">
        <f t="shared" si="2"/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T62" s="6">
        <f t="shared" si="3"/>
        <v>0</v>
      </c>
    </row>
    <row r="63" spans="1:46" x14ac:dyDescent="0.5500000000000000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0"/>
        <v>0</v>
      </c>
      <c r="L63">
        <f t="shared" si="1"/>
        <v>0</v>
      </c>
      <c r="M63">
        <f t="shared" si="2"/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T63" s="6">
        <f t="shared" si="3"/>
        <v>0</v>
      </c>
    </row>
    <row r="64" spans="1:46" x14ac:dyDescent="0.5500000000000000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0"/>
        <v>0</v>
      </c>
      <c r="L64">
        <f t="shared" si="1"/>
        <v>0</v>
      </c>
      <c r="M64">
        <f t="shared" si="2"/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T64" s="6">
        <f t="shared" si="3"/>
        <v>0</v>
      </c>
    </row>
    <row r="65" spans="1:46" x14ac:dyDescent="0.5500000000000000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0"/>
        <v>0</v>
      </c>
      <c r="L65">
        <f t="shared" si="1"/>
        <v>0</v>
      </c>
      <c r="M65">
        <f t="shared" si="2"/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T65" s="6">
        <f t="shared" si="3"/>
        <v>0</v>
      </c>
    </row>
    <row r="66" spans="1:46" x14ac:dyDescent="0.5500000000000000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0"/>
        <v>0</v>
      </c>
      <c r="L66">
        <f t="shared" si="1"/>
        <v>0</v>
      </c>
      <c r="M66">
        <f t="shared" si="2"/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T66" s="6">
        <f t="shared" si="3"/>
        <v>0</v>
      </c>
    </row>
    <row r="67" spans="1:46" x14ac:dyDescent="0.5500000000000000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4">IF(E67=0,0,
VALUE(MID(E67,2,FIND(",",E67)-2))+
VALUE(MID(F67,2,FIND(",",F67)-2))+
VALUE(MID(G67,2,FIND(",",G67)-2))
)</f>
        <v>0</v>
      </c>
      <c r="L67">
        <f t="shared" ref="L67:L130" si="5">IF(E67=0,0,
VALUE(MID(E67,FIND(",",E67)+1,FIND("]",E67)-FIND(",",E67)-1))+
VALUE(MID(F67,FIND(",",F67)+1,FIND("]",F67)-FIND(",",F67)-1))+
VALUE(MID(G67,FIND(",",G67)+1,FIND("]",G67)-FIND(",",G67)-1))
)</f>
        <v>0</v>
      </c>
      <c r="M67">
        <f t="shared" ref="M67:M130" si="6">(K67-L67)</f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T67" s="6">
        <f t="shared" ref="AT67:AT130" si="7">(AP67-AQ67)/(365*24*2)</f>
        <v>0</v>
      </c>
    </row>
    <row r="68" spans="1:46" x14ac:dyDescent="0.5500000000000000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4"/>
        <v>0</v>
      </c>
      <c r="L68">
        <f t="shared" si="5"/>
        <v>0</v>
      </c>
      <c r="M68">
        <f t="shared" si="6"/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T68" s="6">
        <f t="shared" si="7"/>
        <v>0</v>
      </c>
    </row>
    <row r="69" spans="1:46" x14ac:dyDescent="0.5500000000000000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4"/>
        <v>0</v>
      </c>
      <c r="L69">
        <f t="shared" si="5"/>
        <v>0</v>
      </c>
      <c r="M69">
        <f t="shared" si="6"/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T69" s="6">
        <f t="shared" si="7"/>
        <v>0</v>
      </c>
    </row>
    <row r="70" spans="1:46" x14ac:dyDescent="0.5500000000000000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4"/>
        <v>0</v>
      </c>
      <c r="L70">
        <f t="shared" si="5"/>
        <v>0</v>
      </c>
      <c r="M70">
        <f t="shared" si="6"/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T70" s="6">
        <f t="shared" si="7"/>
        <v>0</v>
      </c>
    </row>
    <row r="71" spans="1:46" x14ac:dyDescent="0.5500000000000000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4"/>
        <v>0</v>
      </c>
      <c r="L71">
        <f t="shared" si="5"/>
        <v>0</v>
      </c>
      <c r="M71">
        <f t="shared" si="6"/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T71" s="6">
        <f t="shared" si="7"/>
        <v>0</v>
      </c>
    </row>
    <row r="72" spans="1:46" x14ac:dyDescent="0.5500000000000000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4"/>
        <v>0</v>
      </c>
      <c r="L72">
        <f t="shared" si="5"/>
        <v>0</v>
      </c>
      <c r="M72">
        <f t="shared" si="6"/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T72" s="6">
        <f t="shared" si="7"/>
        <v>0</v>
      </c>
    </row>
    <row r="73" spans="1:46" x14ac:dyDescent="0.5500000000000000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4"/>
        <v>0</v>
      </c>
      <c r="L73">
        <f t="shared" si="5"/>
        <v>0</v>
      </c>
      <c r="M73">
        <f t="shared" si="6"/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T73" s="6">
        <f t="shared" si="7"/>
        <v>0</v>
      </c>
    </row>
    <row r="74" spans="1:46" x14ac:dyDescent="0.5500000000000000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4"/>
        <v>0</v>
      </c>
      <c r="L74">
        <f t="shared" si="5"/>
        <v>0</v>
      </c>
      <c r="M74">
        <f t="shared" si="6"/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T74" s="6">
        <f t="shared" si="7"/>
        <v>0</v>
      </c>
    </row>
    <row r="75" spans="1:46" x14ac:dyDescent="0.5500000000000000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4"/>
        <v>0</v>
      </c>
      <c r="L75">
        <f t="shared" si="5"/>
        <v>0</v>
      </c>
      <c r="M75">
        <f t="shared" si="6"/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T75" s="6">
        <f t="shared" si="7"/>
        <v>0</v>
      </c>
    </row>
    <row r="76" spans="1:46" x14ac:dyDescent="0.5500000000000000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4"/>
        <v>0</v>
      </c>
      <c r="L76">
        <f t="shared" si="5"/>
        <v>0</v>
      </c>
      <c r="M76">
        <f t="shared" si="6"/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T76" s="6">
        <f t="shared" si="7"/>
        <v>0</v>
      </c>
    </row>
    <row r="77" spans="1:46" x14ac:dyDescent="0.5500000000000000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4"/>
        <v>0</v>
      </c>
      <c r="L77">
        <f t="shared" si="5"/>
        <v>0</v>
      </c>
      <c r="M77">
        <f t="shared" si="6"/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T77" s="6">
        <f t="shared" si="7"/>
        <v>0</v>
      </c>
    </row>
    <row r="78" spans="1:46" x14ac:dyDescent="0.5500000000000000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4"/>
        <v>0</v>
      </c>
      <c r="L78">
        <f t="shared" si="5"/>
        <v>0</v>
      </c>
      <c r="M78">
        <f t="shared" si="6"/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T78" s="6">
        <f t="shared" si="7"/>
        <v>0</v>
      </c>
    </row>
    <row r="79" spans="1:46" x14ac:dyDescent="0.5500000000000000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4"/>
        <v>0</v>
      </c>
      <c r="L79">
        <f t="shared" si="5"/>
        <v>0</v>
      </c>
      <c r="M79">
        <f t="shared" si="6"/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T79" s="6">
        <f t="shared" si="7"/>
        <v>0</v>
      </c>
    </row>
    <row r="80" spans="1:46" x14ac:dyDescent="0.5500000000000000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4"/>
        <v>0</v>
      </c>
      <c r="L80">
        <f t="shared" si="5"/>
        <v>0</v>
      </c>
      <c r="M80">
        <f t="shared" si="6"/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T80" s="6">
        <f t="shared" si="7"/>
        <v>0</v>
      </c>
    </row>
    <row r="81" spans="1:46" x14ac:dyDescent="0.5500000000000000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4"/>
        <v>0</v>
      </c>
      <c r="L81">
        <f t="shared" si="5"/>
        <v>0</v>
      </c>
      <c r="M81">
        <f t="shared" si="6"/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T81" s="6">
        <f t="shared" si="7"/>
        <v>0</v>
      </c>
    </row>
    <row r="82" spans="1:46" x14ac:dyDescent="0.5500000000000000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4"/>
        <v>0</v>
      </c>
      <c r="L82">
        <f t="shared" si="5"/>
        <v>0</v>
      </c>
      <c r="M82">
        <f t="shared" si="6"/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T82" s="6">
        <f t="shared" si="7"/>
        <v>0</v>
      </c>
    </row>
    <row r="83" spans="1:46" x14ac:dyDescent="0.5500000000000000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4"/>
        <v>0</v>
      </c>
      <c r="L83">
        <f t="shared" si="5"/>
        <v>0</v>
      </c>
      <c r="M83">
        <f t="shared" si="6"/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T83" s="6">
        <f t="shared" si="7"/>
        <v>0</v>
      </c>
    </row>
    <row r="84" spans="1:46" x14ac:dyDescent="0.5500000000000000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4"/>
        <v>0</v>
      </c>
      <c r="L84">
        <f t="shared" si="5"/>
        <v>0</v>
      </c>
      <c r="M84">
        <f t="shared" si="6"/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T84" s="6">
        <f t="shared" si="7"/>
        <v>0</v>
      </c>
    </row>
    <row r="85" spans="1:46" x14ac:dyDescent="0.5500000000000000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4"/>
        <v>0</v>
      </c>
      <c r="L85">
        <f t="shared" si="5"/>
        <v>0</v>
      </c>
      <c r="M85">
        <f t="shared" si="6"/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T85" s="6">
        <f t="shared" si="7"/>
        <v>0</v>
      </c>
    </row>
    <row r="86" spans="1:46" x14ac:dyDescent="0.5500000000000000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4"/>
        <v>0</v>
      </c>
      <c r="L86">
        <f t="shared" si="5"/>
        <v>0</v>
      </c>
      <c r="M86">
        <f t="shared" si="6"/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T86" s="6">
        <f t="shared" si="7"/>
        <v>0</v>
      </c>
    </row>
    <row r="87" spans="1:46" x14ac:dyDescent="0.55000000000000004">
      <c r="A87">
        <v>0</v>
      </c>
      <c r="B87">
        <v>6</v>
      </c>
      <c r="C87">
        <v>525.16999999999996</v>
      </c>
      <c r="D87">
        <v>7.8</v>
      </c>
      <c r="E87" t="s">
        <v>2198</v>
      </c>
      <c r="F87" t="s">
        <v>2207</v>
      </c>
      <c r="G87" t="s">
        <v>2199</v>
      </c>
      <c r="H87" t="s">
        <v>2333</v>
      </c>
      <c r="I87">
        <v>0</v>
      </c>
      <c r="J87">
        <v>35</v>
      </c>
      <c r="K87">
        <f t="shared" si="4"/>
        <v>13.91</v>
      </c>
      <c r="L87">
        <f t="shared" si="5"/>
        <v>14.28</v>
      </c>
      <c r="M87">
        <f t="shared" si="6"/>
        <v>-0.36999999999999922</v>
      </c>
      <c r="N87">
        <v>6.3</v>
      </c>
      <c r="O87">
        <v>0</v>
      </c>
      <c r="P87">
        <v>56</v>
      </c>
      <c r="Q87">
        <v>19.5</v>
      </c>
      <c r="R87">
        <v>6</v>
      </c>
      <c r="S87">
        <v>14.05</v>
      </c>
      <c r="T87">
        <v>-14.05</v>
      </c>
      <c r="U87">
        <v>15</v>
      </c>
      <c r="V87">
        <v>336.11</v>
      </c>
      <c r="W87">
        <v>76.52</v>
      </c>
      <c r="X87">
        <v>183.06</v>
      </c>
      <c r="Y87">
        <v>42.01</v>
      </c>
      <c r="Z87">
        <v>19</v>
      </c>
      <c r="AA87">
        <v>-0.49</v>
      </c>
      <c r="AB87">
        <v>8.7899999999999991</v>
      </c>
      <c r="AC87">
        <v>-74.540000000000006</v>
      </c>
      <c r="AD87">
        <v>160</v>
      </c>
      <c r="AE87">
        <v>1460</v>
      </c>
      <c r="AF87">
        <v>13.4</v>
      </c>
      <c r="AG87">
        <v>0.15</v>
      </c>
      <c r="AH87">
        <v>0.96</v>
      </c>
      <c r="AI87">
        <v>151.4</v>
      </c>
      <c r="AJ87">
        <v>60</v>
      </c>
      <c r="AK87">
        <v>9</v>
      </c>
      <c r="AL87">
        <v>9</v>
      </c>
      <c r="AM87">
        <v>0.05</v>
      </c>
      <c r="AN87">
        <v>96</v>
      </c>
      <c r="AO87">
        <v>96.44</v>
      </c>
      <c r="AP87">
        <v>174342.25</v>
      </c>
      <c r="AQ87">
        <v>172101.2</v>
      </c>
      <c r="AR87" t="s">
        <v>997</v>
      </c>
      <c r="AT87" s="6">
        <f t="shared" si="7"/>
        <v>0.12791381278538747</v>
      </c>
    </row>
    <row r="88" spans="1:46" x14ac:dyDescent="0.55000000000000004">
      <c r="A88">
        <v>0</v>
      </c>
      <c r="B88">
        <v>6</v>
      </c>
      <c r="C88">
        <v>73.03</v>
      </c>
      <c r="D88">
        <v>7.8</v>
      </c>
      <c r="E88" t="s">
        <v>2198</v>
      </c>
      <c r="F88" t="s">
        <v>2208</v>
      </c>
      <c r="G88" t="s">
        <v>2199</v>
      </c>
      <c r="H88" t="s">
        <v>2334</v>
      </c>
      <c r="I88">
        <v>0</v>
      </c>
      <c r="J88">
        <v>35</v>
      </c>
      <c r="K88">
        <f t="shared" si="4"/>
        <v>17.899999999999999</v>
      </c>
      <c r="L88">
        <f t="shared" si="5"/>
        <v>14.28</v>
      </c>
      <c r="M88">
        <f t="shared" si="6"/>
        <v>3.6199999999999992</v>
      </c>
      <c r="N88">
        <v>6.3</v>
      </c>
      <c r="O88">
        <v>0</v>
      </c>
      <c r="P88">
        <v>68</v>
      </c>
      <c r="Q88">
        <v>18.2</v>
      </c>
      <c r="R88">
        <v>6</v>
      </c>
      <c r="S88">
        <v>14.36</v>
      </c>
      <c r="T88">
        <v>-14.36</v>
      </c>
      <c r="U88">
        <v>2.09</v>
      </c>
      <c r="V88">
        <v>46.74</v>
      </c>
      <c r="W88">
        <v>10.64</v>
      </c>
      <c r="X88">
        <v>25.46</v>
      </c>
      <c r="Y88">
        <v>5.84</v>
      </c>
      <c r="Z88">
        <v>24.44</v>
      </c>
      <c r="AA88">
        <v>-2.12</v>
      </c>
      <c r="AB88">
        <v>12.04</v>
      </c>
      <c r="AC88">
        <v>-71.75</v>
      </c>
      <c r="AD88">
        <v>160</v>
      </c>
      <c r="AE88">
        <v>1460</v>
      </c>
      <c r="AF88">
        <v>13.4</v>
      </c>
      <c r="AG88">
        <v>0.15</v>
      </c>
      <c r="AH88">
        <v>12.33</v>
      </c>
      <c r="AI88">
        <v>151.4</v>
      </c>
      <c r="AJ88">
        <v>60</v>
      </c>
      <c r="AK88">
        <v>9</v>
      </c>
      <c r="AL88">
        <v>9</v>
      </c>
      <c r="AM88">
        <v>0.05</v>
      </c>
      <c r="AN88">
        <v>96</v>
      </c>
      <c r="AO88">
        <v>96.44</v>
      </c>
      <c r="AP88">
        <v>263746.21999999997</v>
      </c>
      <c r="AQ88">
        <v>172101.2</v>
      </c>
      <c r="AR88" t="s">
        <v>998</v>
      </c>
      <c r="AT88" s="6">
        <f t="shared" si="7"/>
        <v>5.2308801369862987</v>
      </c>
    </row>
    <row r="89" spans="1:46" x14ac:dyDescent="0.55000000000000004">
      <c r="A89">
        <v>0</v>
      </c>
      <c r="B89">
        <v>6</v>
      </c>
      <c r="C89">
        <v>14271.44</v>
      </c>
      <c r="D89">
        <v>7.8</v>
      </c>
      <c r="E89" t="s">
        <v>2199</v>
      </c>
      <c r="F89" t="s">
        <v>2209</v>
      </c>
      <c r="G89" t="s">
        <v>2199</v>
      </c>
      <c r="H89" t="s">
        <v>2335</v>
      </c>
      <c r="I89">
        <v>0</v>
      </c>
      <c r="J89">
        <v>35</v>
      </c>
      <c r="K89">
        <f t="shared" si="4"/>
        <v>13.56</v>
      </c>
      <c r="L89">
        <f t="shared" si="5"/>
        <v>13.56</v>
      </c>
      <c r="M89">
        <f t="shared" si="6"/>
        <v>0</v>
      </c>
      <c r="N89">
        <v>6.3</v>
      </c>
      <c r="O89">
        <v>0</v>
      </c>
      <c r="P89">
        <v>56</v>
      </c>
      <c r="Q89">
        <v>19.5</v>
      </c>
      <c r="R89">
        <v>6</v>
      </c>
      <c r="S89">
        <v>14.05</v>
      </c>
      <c r="T89">
        <v>-14.05</v>
      </c>
      <c r="U89">
        <v>407.76</v>
      </c>
      <c r="V89">
        <v>9133.7199999999993</v>
      </c>
      <c r="W89">
        <v>2079.5500000000002</v>
      </c>
      <c r="X89">
        <v>4974.62</v>
      </c>
      <c r="Y89">
        <v>1141.71</v>
      </c>
      <c r="Z89">
        <v>1063.8</v>
      </c>
      <c r="AA89">
        <v>2.23</v>
      </c>
      <c r="AB89">
        <v>3.34</v>
      </c>
      <c r="AC89">
        <v>-74.540000000000006</v>
      </c>
      <c r="AD89">
        <v>160</v>
      </c>
      <c r="AE89">
        <v>1460</v>
      </c>
      <c r="AF89">
        <v>13.4</v>
      </c>
      <c r="AG89">
        <v>0.15</v>
      </c>
      <c r="AH89">
        <v>0.03</v>
      </c>
      <c r="AI89">
        <v>8697.68</v>
      </c>
      <c r="AJ89">
        <v>60</v>
      </c>
      <c r="AK89">
        <v>9</v>
      </c>
      <c r="AL89">
        <v>9</v>
      </c>
      <c r="AM89">
        <v>0</v>
      </c>
      <c r="AN89">
        <v>96</v>
      </c>
      <c r="AO89">
        <v>96.01</v>
      </c>
      <c r="AP89">
        <v>166448.37</v>
      </c>
      <c r="AQ89">
        <v>166448.37</v>
      </c>
      <c r="AR89" t="s">
        <v>999</v>
      </c>
      <c r="AT89" s="6">
        <f t="shared" si="7"/>
        <v>0</v>
      </c>
    </row>
    <row r="90" spans="1:46" x14ac:dyDescent="0.55000000000000004">
      <c r="A90">
        <v>0</v>
      </c>
      <c r="B90">
        <v>6</v>
      </c>
      <c r="C90">
        <v>90.66</v>
      </c>
      <c r="D90">
        <v>7.8</v>
      </c>
      <c r="E90" t="s">
        <v>2198</v>
      </c>
      <c r="F90" t="s">
        <v>2210</v>
      </c>
      <c r="G90" t="s">
        <v>2199</v>
      </c>
      <c r="H90" t="s">
        <v>2336</v>
      </c>
      <c r="I90">
        <v>0</v>
      </c>
      <c r="J90">
        <v>35</v>
      </c>
      <c r="K90">
        <f t="shared" si="4"/>
        <v>16.54</v>
      </c>
      <c r="L90">
        <f t="shared" si="5"/>
        <v>14.28</v>
      </c>
      <c r="M90">
        <f t="shared" si="6"/>
        <v>2.2599999999999998</v>
      </c>
      <c r="N90">
        <v>6.3</v>
      </c>
      <c r="O90">
        <v>0</v>
      </c>
      <c r="P90">
        <v>57</v>
      </c>
      <c r="Q90">
        <v>19.8</v>
      </c>
      <c r="R90">
        <v>6</v>
      </c>
      <c r="S90">
        <v>14.44</v>
      </c>
      <c r="T90">
        <v>-14.44</v>
      </c>
      <c r="U90">
        <v>2.59</v>
      </c>
      <c r="V90">
        <v>58.02</v>
      </c>
      <c r="W90">
        <v>13.21</v>
      </c>
      <c r="X90">
        <v>31.6</v>
      </c>
      <c r="Y90">
        <v>7.25</v>
      </c>
      <c r="Z90">
        <v>22.58</v>
      </c>
      <c r="AA90">
        <v>-1.94</v>
      </c>
      <c r="AB90">
        <v>11.69</v>
      </c>
      <c r="AC90">
        <v>-71.05</v>
      </c>
      <c r="AD90">
        <v>160</v>
      </c>
      <c r="AE90">
        <v>1460</v>
      </c>
      <c r="AF90">
        <v>13.4</v>
      </c>
      <c r="AG90">
        <v>0.15</v>
      </c>
      <c r="AH90">
        <v>8.43</v>
      </c>
      <c r="AI90">
        <v>151.4</v>
      </c>
      <c r="AJ90">
        <v>60</v>
      </c>
      <c r="AK90">
        <v>9</v>
      </c>
      <c r="AL90">
        <v>9</v>
      </c>
      <c r="AM90">
        <v>0.05</v>
      </c>
      <c r="AN90">
        <v>96</v>
      </c>
      <c r="AO90">
        <v>96.44</v>
      </c>
      <c r="AP90">
        <v>233234.94</v>
      </c>
      <c r="AQ90">
        <v>172101.2</v>
      </c>
      <c r="AR90" t="s">
        <v>1000</v>
      </c>
      <c r="AT90" s="6">
        <f t="shared" si="7"/>
        <v>3.4893687214611866</v>
      </c>
    </row>
    <row r="91" spans="1:46" x14ac:dyDescent="0.55000000000000004">
      <c r="A91">
        <v>0</v>
      </c>
      <c r="B91">
        <v>6</v>
      </c>
      <c r="C91">
        <v>132.79</v>
      </c>
      <c r="D91">
        <v>7.8</v>
      </c>
      <c r="E91" t="s">
        <v>2198</v>
      </c>
      <c r="F91" t="s">
        <v>2211</v>
      </c>
      <c r="G91" t="s">
        <v>2199</v>
      </c>
      <c r="H91" t="s">
        <v>2337</v>
      </c>
      <c r="I91">
        <v>0</v>
      </c>
      <c r="J91">
        <v>35</v>
      </c>
      <c r="K91">
        <f t="shared" si="4"/>
        <v>15.29</v>
      </c>
      <c r="L91">
        <f t="shared" si="5"/>
        <v>14.28</v>
      </c>
      <c r="M91">
        <f t="shared" si="6"/>
        <v>1.0099999999999998</v>
      </c>
      <c r="N91">
        <v>6.3</v>
      </c>
      <c r="O91">
        <v>0</v>
      </c>
      <c r="P91">
        <v>55</v>
      </c>
      <c r="Q91">
        <v>20.100000000000001</v>
      </c>
      <c r="R91">
        <v>6</v>
      </c>
      <c r="S91">
        <v>14.45</v>
      </c>
      <c r="T91">
        <v>-14.45</v>
      </c>
      <c r="U91">
        <v>3.79</v>
      </c>
      <c r="V91">
        <v>84.98</v>
      </c>
      <c r="W91">
        <v>19.350000000000001</v>
      </c>
      <c r="X91">
        <v>46.29</v>
      </c>
      <c r="Y91">
        <v>10.62</v>
      </c>
      <c r="Z91">
        <v>20.88</v>
      </c>
      <c r="AA91">
        <v>-1.63</v>
      </c>
      <c r="AB91">
        <v>11.06</v>
      </c>
      <c r="AC91">
        <v>-71.010000000000005</v>
      </c>
      <c r="AD91">
        <v>160</v>
      </c>
      <c r="AE91">
        <v>1460</v>
      </c>
      <c r="AF91">
        <v>13.4</v>
      </c>
      <c r="AG91">
        <v>0.15</v>
      </c>
      <c r="AH91">
        <v>4.8</v>
      </c>
      <c r="AI91">
        <v>151.4</v>
      </c>
      <c r="AJ91">
        <v>60</v>
      </c>
      <c r="AK91">
        <v>9</v>
      </c>
      <c r="AL91">
        <v>9</v>
      </c>
      <c r="AM91">
        <v>0.05</v>
      </c>
      <c r="AN91">
        <v>96</v>
      </c>
      <c r="AO91">
        <v>96.44</v>
      </c>
      <c r="AP91">
        <v>205284.64</v>
      </c>
      <c r="AQ91">
        <v>172101.2</v>
      </c>
      <c r="AR91" t="s">
        <v>1001</v>
      </c>
      <c r="AT91" s="6">
        <f t="shared" si="7"/>
        <v>1.8940319634703198</v>
      </c>
    </row>
    <row r="92" spans="1:46" x14ac:dyDescent="0.5500000000000000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f t="shared" si="4"/>
        <v>0</v>
      </c>
      <c r="L92">
        <f t="shared" si="5"/>
        <v>0</v>
      </c>
      <c r="M92">
        <f t="shared" si="6"/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T92" s="6">
        <f t="shared" si="7"/>
        <v>0</v>
      </c>
    </row>
    <row r="93" spans="1:46" x14ac:dyDescent="0.55000000000000004">
      <c r="A93">
        <v>0</v>
      </c>
      <c r="B93">
        <v>6</v>
      </c>
      <c r="C93">
        <v>81.17</v>
      </c>
      <c r="D93">
        <v>7.8</v>
      </c>
      <c r="E93" t="s">
        <v>2198</v>
      </c>
      <c r="F93" t="s">
        <v>2212</v>
      </c>
      <c r="G93" t="s">
        <v>2199</v>
      </c>
      <c r="H93" t="s">
        <v>2338</v>
      </c>
      <c r="I93">
        <v>0</v>
      </c>
      <c r="J93">
        <v>35</v>
      </c>
      <c r="K93">
        <f t="shared" si="4"/>
        <v>17.13</v>
      </c>
      <c r="L93">
        <f t="shared" si="5"/>
        <v>14.28</v>
      </c>
      <c r="M93">
        <f t="shared" si="6"/>
        <v>2.8499999999999996</v>
      </c>
      <c r="N93">
        <v>6.3</v>
      </c>
      <c r="O93">
        <v>0</v>
      </c>
      <c r="P93">
        <v>56</v>
      </c>
      <c r="Q93">
        <v>20.2</v>
      </c>
      <c r="R93">
        <v>6</v>
      </c>
      <c r="S93">
        <v>14.67</v>
      </c>
      <c r="T93">
        <v>-14.67</v>
      </c>
      <c r="U93">
        <v>2.3199999999999998</v>
      </c>
      <c r="V93">
        <v>51.95</v>
      </c>
      <c r="W93">
        <v>11.83</v>
      </c>
      <c r="X93">
        <v>28.3</v>
      </c>
      <c r="Y93">
        <v>6.49</v>
      </c>
      <c r="Z93">
        <v>23.4</v>
      </c>
      <c r="AA93">
        <v>-2.0299999999999998</v>
      </c>
      <c r="AB93">
        <v>11.87</v>
      </c>
      <c r="AC93">
        <v>-69.22</v>
      </c>
      <c r="AD93">
        <v>160</v>
      </c>
      <c r="AE93">
        <v>1460</v>
      </c>
      <c r="AF93">
        <v>13.4</v>
      </c>
      <c r="AG93">
        <v>0.15</v>
      </c>
      <c r="AH93">
        <v>10.16</v>
      </c>
      <c r="AI93">
        <v>151.4</v>
      </c>
      <c r="AJ93">
        <v>60</v>
      </c>
      <c r="AK93">
        <v>9</v>
      </c>
      <c r="AL93">
        <v>9</v>
      </c>
      <c r="AM93">
        <v>0.05</v>
      </c>
      <c r="AN93">
        <v>96</v>
      </c>
      <c r="AO93">
        <v>96.44</v>
      </c>
      <c r="AP93">
        <v>246584.49</v>
      </c>
      <c r="AQ93">
        <v>172101.2</v>
      </c>
      <c r="AR93" t="s">
        <v>1003</v>
      </c>
      <c r="AT93" s="6">
        <f t="shared" si="7"/>
        <v>4.2513293378995423</v>
      </c>
    </row>
    <row r="94" spans="1:46" x14ac:dyDescent="0.5500000000000000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f t="shared" si="4"/>
        <v>0</v>
      </c>
      <c r="L94">
        <f t="shared" si="5"/>
        <v>0</v>
      </c>
      <c r="M94">
        <f t="shared" si="6"/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T94" s="6">
        <f t="shared" si="7"/>
        <v>0</v>
      </c>
    </row>
    <row r="95" spans="1:46" x14ac:dyDescent="0.55000000000000004">
      <c r="A95">
        <v>0</v>
      </c>
      <c r="B95">
        <v>6</v>
      </c>
      <c r="C95">
        <v>78.099999999999994</v>
      </c>
      <c r="D95">
        <v>7.8</v>
      </c>
      <c r="E95" t="s">
        <v>2198</v>
      </c>
      <c r="F95" t="s">
        <v>2213</v>
      </c>
      <c r="G95" t="s">
        <v>2199</v>
      </c>
      <c r="H95" t="s">
        <v>2339</v>
      </c>
      <c r="I95">
        <v>0</v>
      </c>
      <c r="J95">
        <v>35</v>
      </c>
      <c r="K95">
        <f t="shared" si="4"/>
        <v>17.39</v>
      </c>
      <c r="L95">
        <f t="shared" si="5"/>
        <v>14.28</v>
      </c>
      <c r="M95">
        <f t="shared" si="6"/>
        <v>3.1100000000000012</v>
      </c>
      <c r="N95">
        <v>6.3</v>
      </c>
      <c r="O95">
        <v>0</v>
      </c>
      <c r="P95">
        <v>73</v>
      </c>
      <c r="Q95">
        <v>16.7</v>
      </c>
      <c r="R95">
        <v>6</v>
      </c>
      <c r="S95">
        <v>13.55</v>
      </c>
      <c r="T95">
        <v>-13.55</v>
      </c>
      <c r="U95">
        <v>2.23</v>
      </c>
      <c r="V95">
        <v>49.99</v>
      </c>
      <c r="W95">
        <v>11.38</v>
      </c>
      <c r="X95">
        <v>27.22</v>
      </c>
      <c r="Y95">
        <v>6.25</v>
      </c>
      <c r="Z95">
        <v>23.74</v>
      </c>
      <c r="AA95">
        <v>-2.0699999999999998</v>
      </c>
      <c r="AB95">
        <v>11.93</v>
      </c>
      <c r="AC95">
        <v>-79.44</v>
      </c>
      <c r="AD95">
        <v>160</v>
      </c>
      <c r="AE95">
        <v>1460</v>
      </c>
      <c r="AF95">
        <v>13.4</v>
      </c>
      <c r="AG95">
        <v>0.15</v>
      </c>
      <c r="AH95">
        <v>10.88</v>
      </c>
      <c r="AI95">
        <v>151.4</v>
      </c>
      <c r="AJ95">
        <v>60</v>
      </c>
      <c r="AK95">
        <v>9</v>
      </c>
      <c r="AL95">
        <v>9</v>
      </c>
      <c r="AM95">
        <v>0.05</v>
      </c>
      <c r="AN95">
        <v>96</v>
      </c>
      <c r="AO95">
        <v>96.44</v>
      </c>
      <c r="AP95">
        <v>252230.54</v>
      </c>
      <c r="AQ95">
        <v>172101.2</v>
      </c>
      <c r="AR95" t="s">
        <v>1005</v>
      </c>
      <c r="AT95" s="6">
        <f t="shared" si="7"/>
        <v>4.5735924657534248</v>
      </c>
    </row>
    <row r="96" spans="1:46" x14ac:dyDescent="0.55000000000000004">
      <c r="A96">
        <v>0</v>
      </c>
      <c r="B96">
        <v>6</v>
      </c>
      <c r="C96">
        <v>73.58</v>
      </c>
      <c r="D96">
        <v>7.8</v>
      </c>
      <c r="E96" t="s">
        <v>2198</v>
      </c>
      <c r="F96" t="s">
        <v>2214</v>
      </c>
      <c r="G96" t="s">
        <v>2199</v>
      </c>
      <c r="H96" t="s">
        <v>2340</v>
      </c>
      <c r="I96">
        <v>0</v>
      </c>
      <c r="J96">
        <v>35</v>
      </c>
      <c r="K96">
        <f t="shared" si="4"/>
        <v>17.84</v>
      </c>
      <c r="L96">
        <f t="shared" si="5"/>
        <v>14.28</v>
      </c>
      <c r="M96">
        <f t="shared" si="6"/>
        <v>3.5600000000000005</v>
      </c>
      <c r="N96">
        <v>6.3</v>
      </c>
      <c r="O96">
        <v>0</v>
      </c>
      <c r="P96">
        <v>72</v>
      </c>
      <c r="Q96">
        <v>17.399999999999999</v>
      </c>
      <c r="R96">
        <v>6</v>
      </c>
      <c r="S96">
        <v>14.09</v>
      </c>
      <c r="T96">
        <v>-14.09</v>
      </c>
      <c r="U96">
        <v>2.1</v>
      </c>
      <c r="V96">
        <v>47.09</v>
      </c>
      <c r="W96">
        <v>10.72</v>
      </c>
      <c r="X96">
        <v>25.65</v>
      </c>
      <c r="Y96">
        <v>5.89</v>
      </c>
      <c r="Z96">
        <v>24.36</v>
      </c>
      <c r="AA96">
        <v>-2.12</v>
      </c>
      <c r="AB96">
        <v>12.03</v>
      </c>
      <c r="AC96">
        <v>-74.13</v>
      </c>
      <c r="AD96">
        <v>160</v>
      </c>
      <c r="AE96">
        <v>1460</v>
      </c>
      <c r="AF96">
        <v>13.4</v>
      </c>
      <c r="AG96">
        <v>0.15</v>
      </c>
      <c r="AH96">
        <v>12.16</v>
      </c>
      <c r="AI96">
        <v>151.4</v>
      </c>
      <c r="AJ96">
        <v>60</v>
      </c>
      <c r="AK96">
        <v>9</v>
      </c>
      <c r="AL96">
        <v>9</v>
      </c>
      <c r="AM96">
        <v>0.05</v>
      </c>
      <c r="AN96">
        <v>96</v>
      </c>
      <c r="AO96">
        <v>96.44</v>
      </c>
      <c r="AP96">
        <v>262337.95</v>
      </c>
      <c r="AQ96">
        <v>172101.2</v>
      </c>
      <c r="AR96" t="s">
        <v>1006</v>
      </c>
      <c r="AT96" s="6">
        <f t="shared" si="7"/>
        <v>5.1504994292237445</v>
      </c>
    </row>
    <row r="97" spans="1:46" x14ac:dyDescent="0.55000000000000004">
      <c r="A97">
        <v>0</v>
      </c>
      <c r="B97">
        <v>6</v>
      </c>
      <c r="C97">
        <v>72.13</v>
      </c>
      <c r="D97">
        <v>7.8</v>
      </c>
      <c r="E97" t="s">
        <v>2198</v>
      </c>
      <c r="F97" t="s">
        <v>2215</v>
      </c>
      <c r="G97" t="s">
        <v>2199</v>
      </c>
      <c r="H97" t="s">
        <v>2341</v>
      </c>
      <c r="I97">
        <v>0</v>
      </c>
      <c r="J97">
        <v>35</v>
      </c>
      <c r="K97">
        <f t="shared" si="4"/>
        <v>18.010000000000002</v>
      </c>
      <c r="L97">
        <f t="shared" si="5"/>
        <v>14.28</v>
      </c>
      <c r="M97">
        <f t="shared" si="6"/>
        <v>3.7300000000000022</v>
      </c>
      <c r="N97">
        <v>6.3</v>
      </c>
      <c r="O97">
        <v>0</v>
      </c>
      <c r="P97">
        <v>64</v>
      </c>
      <c r="Q97">
        <v>19</v>
      </c>
      <c r="R97">
        <v>6</v>
      </c>
      <c r="S97">
        <v>14.61</v>
      </c>
      <c r="T97">
        <v>-14.61</v>
      </c>
      <c r="U97">
        <v>2.06</v>
      </c>
      <c r="V97">
        <v>46.16</v>
      </c>
      <c r="W97">
        <v>10.51</v>
      </c>
      <c r="X97">
        <v>25.14</v>
      </c>
      <c r="Y97">
        <v>5.77</v>
      </c>
      <c r="Z97">
        <v>24.59</v>
      </c>
      <c r="AA97">
        <v>-2.13</v>
      </c>
      <c r="AB97">
        <v>12.06</v>
      </c>
      <c r="AC97">
        <v>-69.69</v>
      </c>
      <c r="AD97">
        <v>160</v>
      </c>
      <c r="AE97">
        <v>1460</v>
      </c>
      <c r="AF97">
        <v>13.4</v>
      </c>
      <c r="AG97">
        <v>0.15</v>
      </c>
      <c r="AH97">
        <v>12.63</v>
      </c>
      <c r="AI97">
        <v>151.4</v>
      </c>
      <c r="AJ97">
        <v>60</v>
      </c>
      <c r="AK97">
        <v>9</v>
      </c>
      <c r="AL97">
        <v>9</v>
      </c>
      <c r="AM97">
        <v>0.05</v>
      </c>
      <c r="AN97">
        <v>96</v>
      </c>
      <c r="AO97">
        <v>96.44</v>
      </c>
      <c r="AP97">
        <v>266172.89</v>
      </c>
      <c r="AQ97">
        <v>172101.2</v>
      </c>
      <c r="AR97" t="s">
        <v>1007</v>
      </c>
      <c r="AT97" s="6">
        <f t="shared" si="7"/>
        <v>5.3693886986301367</v>
      </c>
    </row>
    <row r="98" spans="1:46" x14ac:dyDescent="0.55000000000000004">
      <c r="A98">
        <v>0</v>
      </c>
      <c r="B98">
        <v>6</v>
      </c>
      <c r="C98">
        <v>218.09</v>
      </c>
      <c r="D98">
        <v>7.8</v>
      </c>
      <c r="E98" t="s">
        <v>2198</v>
      </c>
      <c r="F98" t="s">
        <v>2216</v>
      </c>
      <c r="G98" t="s">
        <v>2199</v>
      </c>
      <c r="H98" t="s">
        <v>2342</v>
      </c>
      <c r="I98">
        <v>0</v>
      </c>
      <c r="J98">
        <v>35</v>
      </c>
      <c r="K98">
        <f t="shared" si="4"/>
        <v>14.5</v>
      </c>
      <c r="L98">
        <f t="shared" si="5"/>
        <v>14.28</v>
      </c>
      <c r="M98">
        <f t="shared" si="6"/>
        <v>0.22000000000000064</v>
      </c>
      <c r="N98">
        <v>6.3</v>
      </c>
      <c r="O98">
        <v>0</v>
      </c>
      <c r="P98">
        <v>55</v>
      </c>
      <c r="Q98">
        <v>19.899999999999999</v>
      </c>
      <c r="R98">
        <v>6</v>
      </c>
      <c r="S98">
        <v>14.27</v>
      </c>
      <c r="T98">
        <v>-14.27</v>
      </c>
      <c r="U98">
        <v>6.23</v>
      </c>
      <c r="V98">
        <v>139.58000000000001</v>
      </c>
      <c r="W98">
        <v>31.78</v>
      </c>
      <c r="X98">
        <v>76.02</v>
      </c>
      <c r="Y98">
        <v>17.45</v>
      </c>
      <c r="Z98">
        <v>19.8</v>
      </c>
      <c r="AA98">
        <v>-1.22</v>
      </c>
      <c r="AB98">
        <v>10.24</v>
      </c>
      <c r="AC98">
        <v>-72.52</v>
      </c>
      <c r="AD98">
        <v>160</v>
      </c>
      <c r="AE98">
        <v>1460</v>
      </c>
      <c r="AF98">
        <v>13.4</v>
      </c>
      <c r="AG98">
        <v>0.15</v>
      </c>
      <c r="AH98">
        <v>2.56</v>
      </c>
      <c r="AI98">
        <v>151.4</v>
      </c>
      <c r="AJ98">
        <v>60</v>
      </c>
      <c r="AK98">
        <v>9</v>
      </c>
      <c r="AL98">
        <v>9</v>
      </c>
      <c r="AM98">
        <v>0.05</v>
      </c>
      <c r="AN98">
        <v>96</v>
      </c>
      <c r="AO98">
        <v>96.44</v>
      </c>
      <c r="AP98">
        <v>187574.62</v>
      </c>
      <c r="AQ98">
        <v>172101.2</v>
      </c>
      <c r="AR98" t="s">
        <v>1008</v>
      </c>
      <c r="AT98" s="6">
        <f t="shared" si="7"/>
        <v>0.88318607305935981</v>
      </c>
    </row>
    <row r="99" spans="1:46" x14ac:dyDescent="0.55000000000000004">
      <c r="A99">
        <v>0</v>
      </c>
      <c r="B99">
        <v>6</v>
      </c>
      <c r="C99">
        <v>71.48</v>
      </c>
      <c r="D99">
        <v>7.8</v>
      </c>
      <c r="E99" t="s">
        <v>2198</v>
      </c>
      <c r="F99" t="s">
        <v>2217</v>
      </c>
      <c r="G99" t="s">
        <v>2199</v>
      </c>
      <c r="H99" t="s">
        <v>2343</v>
      </c>
      <c r="I99">
        <v>0</v>
      </c>
      <c r="J99">
        <v>35</v>
      </c>
      <c r="K99">
        <f t="shared" si="4"/>
        <v>18.09</v>
      </c>
      <c r="L99">
        <f t="shared" si="5"/>
        <v>14.28</v>
      </c>
      <c r="M99">
        <f t="shared" si="6"/>
        <v>3.8100000000000005</v>
      </c>
      <c r="N99">
        <v>6.3</v>
      </c>
      <c r="O99">
        <v>0</v>
      </c>
      <c r="P99">
        <v>60</v>
      </c>
      <c r="Q99">
        <v>19.8</v>
      </c>
      <c r="R99">
        <v>6</v>
      </c>
      <c r="S99">
        <v>14.83</v>
      </c>
      <c r="T99">
        <v>-14.83</v>
      </c>
      <c r="U99">
        <v>2.04</v>
      </c>
      <c r="V99">
        <v>45.75</v>
      </c>
      <c r="W99">
        <v>10.42</v>
      </c>
      <c r="X99">
        <v>24.92</v>
      </c>
      <c r="Y99">
        <v>5.72</v>
      </c>
      <c r="Z99">
        <v>24.7</v>
      </c>
      <c r="AA99">
        <v>-2.14</v>
      </c>
      <c r="AB99">
        <v>12.08</v>
      </c>
      <c r="AC99">
        <v>-67.95</v>
      </c>
      <c r="AD99">
        <v>160</v>
      </c>
      <c r="AE99">
        <v>1460</v>
      </c>
      <c r="AF99">
        <v>13.4</v>
      </c>
      <c r="AG99">
        <v>0.15</v>
      </c>
      <c r="AH99">
        <v>12.86</v>
      </c>
      <c r="AI99">
        <v>151.4</v>
      </c>
      <c r="AJ99">
        <v>60</v>
      </c>
      <c r="AK99">
        <v>9</v>
      </c>
      <c r="AL99">
        <v>9</v>
      </c>
      <c r="AM99">
        <v>0.05</v>
      </c>
      <c r="AN99">
        <v>96</v>
      </c>
      <c r="AO99">
        <v>96.44</v>
      </c>
      <c r="AP99">
        <v>268001.84000000003</v>
      </c>
      <c r="AQ99">
        <v>172101.2</v>
      </c>
      <c r="AR99" t="s">
        <v>1009</v>
      </c>
      <c r="AT99" s="6">
        <f t="shared" si="7"/>
        <v>5.473780821917809</v>
      </c>
    </row>
    <row r="100" spans="1:46" x14ac:dyDescent="0.55000000000000004">
      <c r="A100">
        <v>0</v>
      </c>
      <c r="B100">
        <v>6</v>
      </c>
      <c r="C100">
        <v>78.19</v>
      </c>
      <c r="D100">
        <v>7.8</v>
      </c>
      <c r="E100" t="s">
        <v>2198</v>
      </c>
      <c r="F100" t="s">
        <v>2218</v>
      </c>
      <c r="G100" t="s">
        <v>2199</v>
      </c>
      <c r="H100" t="s">
        <v>2344</v>
      </c>
      <c r="I100">
        <v>0</v>
      </c>
      <c r="J100">
        <v>35</v>
      </c>
      <c r="K100">
        <f t="shared" si="4"/>
        <v>17.38</v>
      </c>
      <c r="L100">
        <f t="shared" si="5"/>
        <v>14.28</v>
      </c>
      <c r="M100">
        <f t="shared" si="6"/>
        <v>3.0999999999999996</v>
      </c>
      <c r="N100">
        <v>6.3</v>
      </c>
      <c r="O100">
        <v>0</v>
      </c>
      <c r="P100">
        <v>57</v>
      </c>
      <c r="Q100">
        <v>20.3</v>
      </c>
      <c r="R100">
        <v>6</v>
      </c>
      <c r="S100">
        <v>14.89</v>
      </c>
      <c r="T100">
        <v>-14.89</v>
      </c>
      <c r="U100">
        <v>2.23</v>
      </c>
      <c r="V100">
        <v>50.04</v>
      </c>
      <c r="W100">
        <v>11.39</v>
      </c>
      <c r="X100">
        <v>27.25</v>
      </c>
      <c r="Y100">
        <v>6.26</v>
      </c>
      <c r="Z100">
        <v>23.73</v>
      </c>
      <c r="AA100">
        <v>-2.0699999999999998</v>
      </c>
      <c r="AB100">
        <v>11.93</v>
      </c>
      <c r="AC100">
        <v>-67.510000000000005</v>
      </c>
      <c r="AD100">
        <v>160</v>
      </c>
      <c r="AE100">
        <v>1460</v>
      </c>
      <c r="AF100">
        <v>13.4</v>
      </c>
      <c r="AG100">
        <v>0.15</v>
      </c>
      <c r="AH100">
        <v>10.86</v>
      </c>
      <c r="AI100">
        <v>151.4</v>
      </c>
      <c r="AJ100">
        <v>60</v>
      </c>
      <c r="AK100">
        <v>9</v>
      </c>
      <c r="AL100">
        <v>9</v>
      </c>
      <c r="AM100">
        <v>0.05</v>
      </c>
      <c r="AN100">
        <v>96</v>
      </c>
      <c r="AO100">
        <v>96.44</v>
      </c>
      <c r="AP100">
        <v>252065.86</v>
      </c>
      <c r="AQ100">
        <v>172101.2</v>
      </c>
      <c r="AR100" t="s">
        <v>1010</v>
      </c>
      <c r="AT100" s="6">
        <f t="shared" si="7"/>
        <v>4.5641929223744278</v>
      </c>
    </row>
    <row r="101" spans="1:46" x14ac:dyDescent="0.5500000000000000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f t="shared" si="4"/>
        <v>0</v>
      </c>
      <c r="L101">
        <f t="shared" si="5"/>
        <v>0</v>
      </c>
      <c r="M101">
        <f t="shared" si="6"/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T101" s="6">
        <f t="shared" si="7"/>
        <v>0</v>
      </c>
    </row>
    <row r="102" spans="1:46" x14ac:dyDescent="0.5500000000000000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f t="shared" si="4"/>
        <v>0</v>
      </c>
      <c r="L102">
        <f t="shared" si="5"/>
        <v>0</v>
      </c>
      <c r="M102">
        <f t="shared" si="6"/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T102" s="6">
        <f t="shared" si="7"/>
        <v>0</v>
      </c>
    </row>
    <row r="103" spans="1:46" x14ac:dyDescent="0.5500000000000000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f t="shared" si="4"/>
        <v>0</v>
      </c>
      <c r="L103">
        <f t="shared" si="5"/>
        <v>0</v>
      </c>
      <c r="M103">
        <f t="shared" si="6"/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T103" s="6">
        <f t="shared" si="7"/>
        <v>0</v>
      </c>
    </row>
    <row r="104" spans="1:46" x14ac:dyDescent="0.55000000000000004">
      <c r="A104">
        <v>0</v>
      </c>
      <c r="B104">
        <v>6</v>
      </c>
      <c r="C104">
        <v>99.25</v>
      </c>
      <c r="D104">
        <v>7.8</v>
      </c>
      <c r="E104" t="s">
        <v>2198</v>
      </c>
      <c r="F104" t="s">
        <v>2219</v>
      </c>
      <c r="G104" t="s">
        <v>2199</v>
      </c>
      <c r="H104" t="s">
        <v>2345</v>
      </c>
      <c r="I104">
        <v>0</v>
      </c>
      <c r="J104">
        <v>35</v>
      </c>
      <c r="K104">
        <f t="shared" si="4"/>
        <v>16.149999999999999</v>
      </c>
      <c r="L104">
        <f t="shared" si="5"/>
        <v>14.28</v>
      </c>
      <c r="M104">
        <f t="shared" si="6"/>
        <v>1.8699999999999992</v>
      </c>
      <c r="N104">
        <v>6.3</v>
      </c>
      <c r="O104">
        <v>0</v>
      </c>
      <c r="P104">
        <v>71</v>
      </c>
      <c r="Q104">
        <v>16</v>
      </c>
      <c r="R104">
        <v>6</v>
      </c>
      <c r="S104">
        <v>12.67</v>
      </c>
      <c r="T104">
        <v>-12.67</v>
      </c>
      <c r="U104">
        <v>2.84</v>
      </c>
      <c r="V104">
        <v>63.52</v>
      </c>
      <c r="W104">
        <v>14.46</v>
      </c>
      <c r="X104">
        <v>34.6</v>
      </c>
      <c r="Y104">
        <v>7.94</v>
      </c>
      <c r="Z104">
        <v>22.06</v>
      </c>
      <c r="AA104">
        <v>-1.87</v>
      </c>
      <c r="AB104">
        <v>11.54</v>
      </c>
      <c r="AC104">
        <v>-89.99</v>
      </c>
      <c r="AD104">
        <v>160</v>
      </c>
      <c r="AE104">
        <v>1460</v>
      </c>
      <c r="AF104">
        <v>13.4</v>
      </c>
      <c r="AG104">
        <v>0.15</v>
      </c>
      <c r="AH104">
        <v>7.3</v>
      </c>
      <c r="AI104">
        <v>151.4</v>
      </c>
      <c r="AJ104">
        <v>60</v>
      </c>
      <c r="AK104">
        <v>9</v>
      </c>
      <c r="AL104">
        <v>9</v>
      </c>
      <c r="AM104">
        <v>0.05</v>
      </c>
      <c r="AN104">
        <v>96</v>
      </c>
      <c r="AO104">
        <v>96.44</v>
      </c>
      <c r="AP104">
        <v>224591.37</v>
      </c>
      <c r="AQ104">
        <v>172101.2</v>
      </c>
      <c r="AR104" t="s">
        <v>1014</v>
      </c>
      <c r="AT104" s="6">
        <f t="shared" si="7"/>
        <v>2.9960142694063916</v>
      </c>
    </row>
    <row r="105" spans="1:46" x14ac:dyDescent="0.55000000000000004">
      <c r="A105">
        <v>0</v>
      </c>
      <c r="B105">
        <v>6</v>
      </c>
      <c r="C105">
        <v>303.74</v>
      </c>
      <c r="D105">
        <v>7.8</v>
      </c>
      <c r="E105" t="s">
        <v>2198</v>
      </c>
      <c r="F105" t="s">
        <v>2220</v>
      </c>
      <c r="G105" t="s">
        <v>2199</v>
      </c>
      <c r="H105" t="s">
        <v>2346</v>
      </c>
      <c r="I105">
        <v>0</v>
      </c>
      <c r="J105">
        <v>35</v>
      </c>
      <c r="K105">
        <f t="shared" si="4"/>
        <v>14.21</v>
      </c>
      <c r="L105">
        <f t="shared" si="5"/>
        <v>14.28</v>
      </c>
      <c r="M105">
        <f t="shared" si="6"/>
        <v>-6.9999999999998508E-2</v>
      </c>
      <c r="N105">
        <v>6.3</v>
      </c>
      <c r="O105">
        <v>0</v>
      </c>
      <c r="P105">
        <v>75</v>
      </c>
      <c r="Q105">
        <v>14.9</v>
      </c>
      <c r="R105">
        <v>6</v>
      </c>
      <c r="S105">
        <v>12.08</v>
      </c>
      <c r="T105">
        <v>-12.08</v>
      </c>
      <c r="U105">
        <v>8.68</v>
      </c>
      <c r="V105">
        <v>194.39</v>
      </c>
      <c r="W105">
        <v>44.26</v>
      </c>
      <c r="X105">
        <v>105.87</v>
      </c>
      <c r="Y105">
        <v>24.3</v>
      </c>
      <c r="Z105">
        <v>19.399999999999999</v>
      </c>
      <c r="AA105">
        <v>-0.95</v>
      </c>
      <c r="AB105">
        <v>9.69</v>
      </c>
      <c r="AC105">
        <v>-98.68</v>
      </c>
      <c r="AD105">
        <v>160</v>
      </c>
      <c r="AE105">
        <v>1460</v>
      </c>
      <c r="AF105">
        <v>13.4</v>
      </c>
      <c r="AG105">
        <v>0.15</v>
      </c>
      <c r="AH105">
        <v>1.75</v>
      </c>
      <c r="AI105">
        <v>151.4</v>
      </c>
      <c r="AJ105">
        <v>60</v>
      </c>
      <c r="AK105">
        <v>9</v>
      </c>
      <c r="AL105">
        <v>9</v>
      </c>
      <c r="AM105">
        <v>0.05</v>
      </c>
      <c r="AN105">
        <v>96</v>
      </c>
      <c r="AO105">
        <v>96.44</v>
      </c>
      <c r="AP105">
        <v>180910.28</v>
      </c>
      <c r="AQ105">
        <v>172101.2</v>
      </c>
      <c r="AR105" t="s">
        <v>1015</v>
      </c>
      <c r="AT105" s="6">
        <f t="shared" si="7"/>
        <v>0.50280136986301294</v>
      </c>
    </row>
    <row r="106" spans="1:46" x14ac:dyDescent="0.5500000000000000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f t="shared" si="4"/>
        <v>0</v>
      </c>
      <c r="L106">
        <f t="shared" si="5"/>
        <v>0</v>
      </c>
      <c r="M106">
        <f t="shared" si="6"/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T106" s="6">
        <f t="shared" si="7"/>
        <v>0</v>
      </c>
    </row>
    <row r="107" spans="1:46" x14ac:dyDescent="0.55000000000000004">
      <c r="A107">
        <v>0</v>
      </c>
      <c r="B107">
        <v>6</v>
      </c>
      <c r="C107">
        <v>138.86000000000001</v>
      </c>
      <c r="D107">
        <v>7.8</v>
      </c>
      <c r="E107" t="s">
        <v>2198</v>
      </c>
      <c r="F107" t="s">
        <v>2221</v>
      </c>
      <c r="G107" t="s">
        <v>2199</v>
      </c>
      <c r="H107" t="s">
        <v>2347</v>
      </c>
      <c r="I107">
        <v>0</v>
      </c>
      <c r="J107">
        <v>35</v>
      </c>
      <c r="K107">
        <f t="shared" si="4"/>
        <v>15.2</v>
      </c>
      <c r="L107">
        <f t="shared" si="5"/>
        <v>14.28</v>
      </c>
      <c r="M107">
        <f t="shared" si="6"/>
        <v>0.91999999999999993</v>
      </c>
      <c r="N107">
        <v>6.3</v>
      </c>
      <c r="O107">
        <v>0</v>
      </c>
      <c r="P107">
        <v>73</v>
      </c>
      <c r="Q107">
        <v>15.4</v>
      </c>
      <c r="R107">
        <v>6</v>
      </c>
      <c r="S107">
        <v>12.33</v>
      </c>
      <c r="T107">
        <v>-12.33</v>
      </c>
      <c r="U107">
        <v>3.97</v>
      </c>
      <c r="V107">
        <v>88.87</v>
      </c>
      <c r="W107">
        <v>20.23</v>
      </c>
      <c r="X107">
        <v>48.4</v>
      </c>
      <c r="Y107">
        <v>11.11</v>
      </c>
      <c r="Z107">
        <v>20.75</v>
      </c>
      <c r="AA107">
        <v>-1.59</v>
      </c>
      <c r="AB107">
        <v>10.98</v>
      </c>
      <c r="AC107">
        <v>-94.79</v>
      </c>
      <c r="AD107">
        <v>160</v>
      </c>
      <c r="AE107">
        <v>1460</v>
      </c>
      <c r="AF107">
        <v>13.4</v>
      </c>
      <c r="AG107">
        <v>0.15</v>
      </c>
      <c r="AH107">
        <v>4.5199999999999996</v>
      </c>
      <c r="AI107">
        <v>151.4</v>
      </c>
      <c r="AJ107">
        <v>60</v>
      </c>
      <c r="AK107">
        <v>9</v>
      </c>
      <c r="AL107">
        <v>9</v>
      </c>
      <c r="AM107">
        <v>0.05</v>
      </c>
      <c r="AN107">
        <v>96</v>
      </c>
      <c r="AO107">
        <v>96.44</v>
      </c>
      <c r="AP107">
        <v>203094.23</v>
      </c>
      <c r="AQ107">
        <v>172101.2</v>
      </c>
      <c r="AR107" t="s">
        <v>1017</v>
      </c>
      <c r="AT107" s="6">
        <f t="shared" si="7"/>
        <v>1.7690085616438356</v>
      </c>
    </row>
    <row r="108" spans="1:46" x14ac:dyDescent="0.5500000000000000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f t="shared" si="4"/>
        <v>0</v>
      </c>
      <c r="L108">
        <f t="shared" si="5"/>
        <v>0</v>
      </c>
      <c r="M108">
        <f t="shared" si="6"/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T108" s="6">
        <f t="shared" si="7"/>
        <v>0</v>
      </c>
    </row>
    <row r="109" spans="1:46" x14ac:dyDescent="0.5500000000000000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f t="shared" si="4"/>
        <v>0</v>
      </c>
      <c r="L109">
        <f t="shared" si="5"/>
        <v>0</v>
      </c>
      <c r="M109">
        <f t="shared" si="6"/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T109" s="6">
        <f t="shared" si="7"/>
        <v>0</v>
      </c>
    </row>
    <row r="110" spans="1:46" x14ac:dyDescent="0.55000000000000004">
      <c r="A110">
        <v>0</v>
      </c>
      <c r="B110">
        <v>6</v>
      </c>
      <c r="C110">
        <v>84.58</v>
      </c>
      <c r="D110">
        <v>7.8</v>
      </c>
      <c r="E110" t="s">
        <v>2198</v>
      </c>
      <c r="F110" t="s">
        <v>2222</v>
      </c>
      <c r="G110" t="s">
        <v>2199</v>
      </c>
      <c r="H110" t="s">
        <v>2348</v>
      </c>
      <c r="I110">
        <v>0</v>
      </c>
      <c r="J110">
        <v>35</v>
      </c>
      <c r="K110">
        <f t="shared" si="4"/>
        <v>16.89</v>
      </c>
      <c r="L110">
        <f t="shared" si="5"/>
        <v>14.28</v>
      </c>
      <c r="M110">
        <f t="shared" si="6"/>
        <v>2.6100000000000012</v>
      </c>
      <c r="N110">
        <v>6.3</v>
      </c>
      <c r="O110">
        <v>0</v>
      </c>
      <c r="P110">
        <v>72</v>
      </c>
      <c r="Q110">
        <v>16.100000000000001</v>
      </c>
      <c r="R110">
        <v>6</v>
      </c>
      <c r="S110">
        <v>12.87</v>
      </c>
      <c r="T110">
        <v>-12.87</v>
      </c>
      <c r="U110">
        <v>2.42</v>
      </c>
      <c r="V110">
        <v>54.13</v>
      </c>
      <c r="W110">
        <v>12.32</v>
      </c>
      <c r="X110">
        <v>29.48</v>
      </c>
      <c r="Y110">
        <v>6.77</v>
      </c>
      <c r="Z110">
        <v>23.07</v>
      </c>
      <c r="AA110">
        <v>-2</v>
      </c>
      <c r="AB110">
        <v>11.8</v>
      </c>
      <c r="AC110">
        <v>-87.28</v>
      </c>
      <c r="AD110">
        <v>160</v>
      </c>
      <c r="AE110">
        <v>1460</v>
      </c>
      <c r="AF110">
        <v>13.4</v>
      </c>
      <c r="AG110">
        <v>0.15</v>
      </c>
      <c r="AH110">
        <v>9.4600000000000009</v>
      </c>
      <c r="AI110">
        <v>151.4</v>
      </c>
      <c r="AJ110">
        <v>60</v>
      </c>
      <c r="AK110">
        <v>9</v>
      </c>
      <c r="AL110">
        <v>9</v>
      </c>
      <c r="AM110">
        <v>0.05</v>
      </c>
      <c r="AN110">
        <v>96</v>
      </c>
      <c r="AO110">
        <v>96.44</v>
      </c>
      <c r="AP110">
        <v>241180.02</v>
      </c>
      <c r="AQ110">
        <v>172101.2</v>
      </c>
      <c r="AR110" t="s">
        <v>1020</v>
      </c>
      <c r="AT110" s="6">
        <f t="shared" si="7"/>
        <v>3.9428550228310488</v>
      </c>
    </row>
    <row r="111" spans="1:46" x14ac:dyDescent="0.5500000000000000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f t="shared" si="4"/>
        <v>0</v>
      </c>
      <c r="L111">
        <f t="shared" si="5"/>
        <v>0</v>
      </c>
      <c r="M111">
        <f t="shared" si="6"/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T111" s="6">
        <f t="shared" si="7"/>
        <v>0</v>
      </c>
    </row>
    <row r="112" spans="1:46" x14ac:dyDescent="0.5500000000000000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f t="shared" si="4"/>
        <v>0</v>
      </c>
      <c r="L112">
        <f t="shared" si="5"/>
        <v>0</v>
      </c>
      <c r="M112">
        <f t="shared" si="6"/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T112" s="6">
        <f t="shared" si="7"/>
        <v>0</v>
      </c>
    </row>
    <row r="113" spans="1:46" x14ac:dyDescent="0.5500000000000000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f t="shared" si="4"/>
        <v>0</v>
      </c>
      <c r="L113">
        <f t="shared" si="5"/>
        <v>0</v>
      </c>
      <c r="M113">
        <f t="shared" si="6"/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T113" s="6">
        <f t="shared" si="7"/>
        <v>0</v>
      </c>
    </row>
    <row r="114" spans="1:46" x14ac:dyDescent="0.5500000000000000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f t="shared" si="4"/>
        <v>0</v>
      </c>
      <c r="L114">
        <f t="shared" si="5"/>
        <v>0</v>
      </c>
      <c r="M114">
        <f t="shared" si="6"/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T114" s="6">
        <f t="shared" si="7"/>
        <v>0</v>
      </c>
    </row>
    <row r="115" spans="1:46" x14ac:dyDescent="0.5500000000000000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f t="shared" si="4"/>
        <v>0</v>
      </c>
      <c r="L115">
        <f t="shared" si="5"/>
        <v>0</v>
      </c>
      <c r="M115">
        <f t="shared" si="6"/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T115" s="6">
        <f t="shared" si="7"/>
        <v>0</v>
      </c>
    </row>
    <row r="116" spans="1:46" x14ac:dyDescent="0.5500000000000000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f t="shared" si="4"/>
        <v>0</v>
      </c>
      <c r="L116">
        <f t="shared" si="5"/>
        <v>0</v>
      </c>
      <c r="M116">
        <f t="shared" si="6"/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T116" s="6">
        <f t="shared" si="7"/>
        <v>0</v>
      </c>
    </row>
    <row r="117" spans="1:46" x14ac:dyDescent="0.5500000000000000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f t="shared" si="4"/>
        <v>0</v>
      </c>
      <c r="L117">
        <f t="shared" si="5"/>
        <v>0</v>
      </c>
      <c r="M117">
        <f t="shared" si="6"/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T117" s="6">
        <f t="shared" si="7"/>
        <v>0</v>
      </c>
    </row>
    <row r="118" spans="1:46" x14ac:dyDescent="0.5500000000000000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f t="shared" si="4"/>
        <v>0</v>
      </c>
      <c r="L118">
        <f t="shared" si="5"/>
        <v>0</v>
      </c>
      <c r="M118">
        <f t="shared" si="6"/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T118" s="6">
        <f t="shared" si="7"/>
        <v>0</v>
      </c>
    </row>
    <row r="119" spans="1:46" x14ac:dyDescent="0.5500000000000000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f t="shared" si="4"/>
        <v>0</v>
      </c>
      <c r="L119">
        <f t="shared" si="5"/>
        <v>0</v>
      </c>
      <c r="M119">
        <f t="shared" si="6"/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T119" s="6">
        <f t="shared" si="7"/>
        <v>0</v>
      </c>
    </row>
    <row r="120" spans="1:46" x14ac:dyDescent="0.5500000000000000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f t="shared" si="4"/>
        <v>0</v>
      </c>
      <c r="L120">
        <f t="shared" si="5"/>
        <v>0</v>
      </c>
      <c r="M120">
        <f t="shared" si="6"/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T120" s="6">
        <f t="shared" si="7"/>
        <v>0</v>
      </c>
    </row>
    <row r="121" spans="1:46" x14ac:dyDescent="0.5500000000000000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f t="shared" si="4"/>
        <v>0</v>
      </c>
      <c r="L121">
        <f t="shared" si="5"/>
        <v>0</v>
      </c>
      <c r="M121">
        <f t="shared" si="6"/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T121" s="6">
        <f t="shared" si="7"/>
        <v>0</v>
      </c>
    </row>
    <row r="122" spans="1:46" x14ac:dyDescent="0.5500000000000000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f t="shared" si="4"/>
        <v>0</v>
      </c>
      <c r="L122">
        <f t="shared" si="5"/>
        <v>0</v>
      </c>
      <c r="M122">
        <f t="shared" si="6"/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T122" s="6">
        <f t="shared" si="7"/>
        <v>0</v>
      </c>
    </row>
    <row r="123" spans="1:46" x14ac:dyDescent="0.55000000000000004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f t="shared" si="4"/>
        <v>0</v>
      </c>
      <c r="L123">
        <f t="shared" si="5"/>
        <v>0</v>
      </c>
      <c r="M123">
        <f t="shared" si="6"/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T123" s="6">
        <f t="shared" si="7"/>
        <v>0</v>
      </c>
    </row>
    <row r="124" spans="1:46" x14ac:dyDescent="0.5500000000000000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f t="shared" si="4"/>
        <v>0</v>
      </c>
      <c r="L124">
        <f t="shared" si="5"/>
        <v>0</v>
      </c>
      <c r="M124">
        <f t="shared" si="6"/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T124" s="6">
        <f t="shared" si="7"/>
        <v>0</v>
      </c>
    </row>
    <row r="125" spans="1:46" x14ac:dyDescent="0.5500000000000000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f t="shared" si="4"/>
        <v>0</v>
      </c>
      <c r="L125">
        <f t="shared" si="5"/>
        <v>0</v>
      </c>
      <c r="M125">
        <f t="shared" si="6"/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T125" s="6">
        <f t="shared" si="7"/>
        <v>0</v>
      </c>
    </row>
    <row r="126" spans="1:46" x14ac:dyDescent="0.5500000000000000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f t="shared" si="4"/>
        <v>0</v>
      </c>
      <c r="L126">
        <f t="shared" si="5"/>
        <v>0</v>
      </c>
      <c r="M126">
        <f t="shared" si="6"/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T126" s="6">
        <f t="shared" si="7"/>
        <v>0</v>
      </c>
    </row>
    <row r="127" spans="1:46" x14ac:dyDescent="0.5500000000000000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f t="shared" si="4"/>
        <v>0</v>
      </c>
      <c r="L127">
        <f t="shared" si="5"/>
        <v>0</v>
      </c>
      <c r="M127">
        <f t="shared" si="6"/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T127" s="6">
        <f t="shared" si="7"/>
        <v>0</v>
      </c>
    </row>
    <row r="128" spans="1:46" x14ac:dyDescent="0.55000000000000004">
      <c r="A128">
        <v>0</v>
      </c>
      <c r="B128">
        <v>6</v>
      </c>
      <c r="C128">
        <v>112.65</v>
      </c>
      <c r="D128">
        <v>7.8</v>
      </c>
      <c r="E128" t="s">
        <v>2198</v>
      </c>
      <c r="F128" t="s">
        <v>2223</v>
      </c>
      <c r="G128" t="s">
        <v>2199</v>
      </c>
      <c r="H128" t="s">
        <v>2349</v>
      </c>
      <c r="I128">
        <v>0</v>
      </c>
      <c r="J128">
        <v>35</v>
      </c>
      <c r="K128">
        <f t="shared" si="4"/>
        <v>15.72</v>
      </c>
      <c r="L128">
        <f t="shared" si="5"/>
        <v>14.28</v>
      </c>
      <c r="M128">
        <f t="shared" si="6"/>
        <v>1.4400000000000013</v>
      </c>
      <c r="N128">
        <v>6.3</v>
      </c>
      <c r="O128">
        <v>0</v>
      </c>
      <c r="P128">
        <v>51</v>
      </c>
      <c r="Q128">
        <v>20.399999999999999</v>
      </c>
      <c r="R128">
        <v>6</v>
      </c>
      <c r="S128">
        <v>14.18</v>
      </c>
      <c r="T128">
        <v>-14.18</v>
      </c>
      <c r="U128">
        <v>3.22</v>
      </c>
      <c r="V128">
        <v>72.099999999999994</v>
      </c>
      <c r="W128">
        <v>16.41</v>
      </c>
      <c r="X128">
        <v>39.270000000000003</v>
      </c>
      <c r="Y128">
        <v>9.01</v>
      </c>
      <c r="Z128">
        <v>21.47</v>
      </c>
      <c r="AA128">
        <v>-1.76</v>
      </c>
      <c r="AB128">
        <v>11.33</v>
      </c>
      <c r="AC128">
        <v>-73.36</v>
      </c>
      <c r="AD128">
        <v>160</v>
      </c>
      <c r="AE128">
        <v>1460</v>
      </c>
      <c r="AF128">
        <v>13.4</v>
      </c>
      <c r="AG128">
        <v>0.15</v>
      </c>
      <c r="AH128">
        <v>6.04</v>
      </c>
      <c r="AI128">
        <v>151.4</v>
      </c>
      <c r="AJ128">
        <v>60</v>
      </c>
      <c r="AK128">
        <v>9</v>
      </c>
      <c r="AL128">
        <v>9</v>
      </c>
      <c r="AM128">
        <v>0.05</v>
      </c>
      <c r="AN128">
        <v>96</v>
      </c>
      <c r="AO128">
        <v>96.44</v>
      </c>
      <c r="AP128">
        <v>214917.95</v>
      </c>
      <c r="AQ128">
        <v>172101.2</v>
      </c>
      <c r="AR128" t="s">
        <v>1035</v>
      </c>
      <c r="AT128" s="6">
        <f t="shared" si="7"/>
        <v>2.4438784246575342</v>
      </c>
    </row>
    <row r="129" spans="1:46" x14ac:dyDescent="0.55000000000000004">
      <c r="A129">
        <v>0</v>
      </c>
      <c r="B129">
        <v>6</v>
      </c>
      <c r="C129">
        <v>761.66</v>
      </c>
      <c r="D129">
        <v>7.8</v>
      </c>
      <c r="E129" t="s">
        <v>2199</v>
      </c>
      <c r="F129" t="s">
        <v>2224</v>
      </c>
      <c r="G129" t="s">
        <v>2199</v>
      </c>
      <c r="H129" t="s">
        <v>2350</v>
      </c>
      <c r="I129">
        <v>0</v>
      </c>
      <c r="J129">
        <v>35</v>
      </c>
      <c r="K129">
        <f t="shared" si="4"/>
        <v>13.8</v>
      </c>
      <c r="L129">
        <f t="shared" si="5"/>
        <v>13.8</v>
      </c>
      <c r="M129">
        <f t="shared" si="6"/>
        <v>0</v>
      </c>
      <c r="N129">
        <v>6.3</v>
      </c>
      <c r="O129">
        <v>0</v>
      </c>
      <c r="P129">
        <v>55</v>
      </c>
      <c r="Q129">
        <v>19.399999999999999</v>
      </c>
      <c r="R129">
        <v>6</v>
      </c>
      <c r="S129">
        <v>13.83</v>
      </c>
      <c r="T129">
        <v>-13.83</v>
      </c>
      <c r="U129">
        <v>21.76</v>
      </c>
      <c r="V129">
        <v>487.46</v>
      </c>
      <c r="W129">
        <v>110.98</v>
      </c>
      <c r="X129">
        <v>265.49</v>
      </c>
      <c r="Y129">
        <v>60.93</v>
      </c>
      <c r="Z129">
        <v>55.8</v>
      </c>
      <c r="AA129">
        <v>-0.19</v>
      </c>
      <c r="AB129">
        <v>8.17</v>
      </c>
      <c r="AC129">
        <v>-76.599999999999994</v>
      </c>
      <c r="AD129">
        <v>160</v>
      </c>
      <c r="AE129">
        <v>1460</v>
      </c>
      <c r="AF129">
        <v>13.4</v>
      </c>
      <c r="AG129">
        <v>0.15</v>
      </c>
      <c r="AH129">
        <v>0.65</v>
      </c>
      <c r="AI129">
        <v>448.46</v>
      </c>
      <c r="AJ129">
        <v>60</v>
      </c>
      <c r="AK129">
        <v>9</v>
      </c>
      <c r="AL129">
        <v>9</v>
      </c>
      <c r="AM129">
        <v>0.02</v>
      </c>
      <c r="AN129">
        <v>96</v>
      </c>
      <c r="AO129">
        <v>96.15</v>
      </c>
      <c r="AP129">
        <v>171707.11</v>
      </c>
      <c r="AQ129">
        <v>171707.11</v>
      </c>
      <c r="AR129" t="s">
        <v>1036</v>
      </c>
      <c r="AT129" s="6">
        <f t="shared" si="7"/>
        <v>0</v>
      </c>
    </row>
    <row r="130" spans="1:46" x14ac:dyDescent="0.55000000000000004">
      <c r="A130">
        <v>0</v>
      </c>
      <c r="B130">
        <v>6</v>
      </c>
      <c r="C130">
        <v>77.400000000000006</v>
      </c>
      <c r="D130">
        <v>7.8</v>
      </c>
      <c r="E130" t="s">
        <v>2199</v>
      </c>
      <c r="F130" t="s">
        <v>2225</v>
      </c>
      <c r="G130" t="s">
        <v>2199</v>
      </c>
      <c r="H130" t="s">
        <v>2351</v>
      </c>
      <c r="I130">
        <v>0</v>
      </c>
      <c r="J130">
        <v>35</v>
      </c>
      <c r="K130">
        <f t="shared" si="4"/>
        <v>17.45</v>
      </c>
      <c r="L130">
        <f t="shared" si="5"/>
        <v>17.45</v>
      </c>
      <c r="M130">
        <f t="shared" si="6"/>
        <v>0</v>
      </c>
      <c r="N130">
        <v>6.3</v>
      </c>
      <c r="O130">
        <v>0</v>
      </c>
      <c r="P130">
        <v>48</v>
      </c>
      <c r="Q130">
        <v>21.5</v>
      </c>
      <c r="R130">
        <v>6</v>
      </c>
      <c r="S130">
        <v>14.71</v>
      </c>
      <c r="T130">
        <v>-14.71</v>
      </c>
      <c r="U130">
        <v>2.21</v>
      </c>
      <c r="V130">
        <v>49.54</v>
      </c>
      <c r="W130">
        <v>11.28</v>
      </c>
      <c r="X130">
        <v>26.98</v>
      </c>
      <c r="Y130">
        <v>6.19</v>
      </c>
      <c r="Z130">
        <v>4.47</v>
      </c>
      <c r="AA130">
        <v>-2.0699999999999998</v>
      </c>
      <c r="AB130">
        <v>11.95</v>
      </c>
      <c r="AC130">
        <v>-68.91</v>
      </c>
      <c r="AD130">
        <v>160</v>
      </c>
      <c r="AE130">
        <v>1460</v>
      </c>
      <c r="AF130">
        <v>13.4</v>
      </c>
      <c r="AG130">
        <v>0.15</v>
      </c>
      <c r="AH130">
        <v>11.06</v>
      </c>
      <c r="AI130">
        <v>28.42</v>
      </c>
      <c r="AJ130">
        <v>60</v>
      </c>
      <c r="AK130">
        <v>9</v>
      </c>
      <c r="AL130">
        <v>9</v>
      </c>
      <c r="AM130">
        <v>0.26</v>
      </c>
      <c r="AN130">
        <v>96</v>
      </c>
      <c r="AO130">
        <v>98.34</v>
      </c>
      <c r="AP130">
        <v>253648.4</v>
      </c>
      <c r="AQ130">
        <v>253648.4</v>
      </c>
      <c r="AR130" t="s">
        <v>1037</v>
      </c>
      <c r="AT130" s="6">
        <f t="shared" si="7"/>
        <v>0</v>
      </c>
    </row>
    <row r="131" spans="1:46" x14ac:dyDescent="0.5500000000000000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f t="shared" ref="K131:K194" si="8">IF(E131=0,0,
VALUE(MID(E131,2,FIND(",",E131)-2))+
VALUE(MID(F131,2,FIND(",",F131)-2))+
VALUE(MID(G131,2,FIND(",",G131)-2))
)</f>
        <v>0</v>
      </c>
      <c r="L131">
        <f t="shared" ref="L131:L194" si="9">IF(E131=0,0,
VALUE(MID(E131,FIND(",",E131)+1,FIND("]",E131)-FIND(",",E131)-1))+
VALUE(MID(F131,FIND(",",F131)+1,FIND("]",F131)-FIND(",",F131)-1))+
VALUE(MID(G131,FIND(",",G131)+1,FIND("]",G131)-FIND(",",G131)-1))
)</f>
        <v>0</v>
      </c>
      <c r="M131">
        <f t="shared" ref="M131:M194" si="10">(K131-L131)</f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T131" s="6">
        <f t="shared" ref="AT131:AT194" si="11">(AP131-AQ131)/(365*24*2)</f>
        <v>0</v>
      </c>
    </row>
    <row r="132" spans="1:46" x14ac:dyDescent="0.5500000000000000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f t="shared" si="8"/>
        <v>0</v>
      </c>
      <c r="L132">
        <f t="shared" si="9"/>
        <v>0</v>
      </c>
      <c r="M132">
        <f t="shared" si="10"/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T132" s="6">
        <f t="shared" si="11"/>
        <v>0</v>
      </c>
    </row>
    <row r="133" spans="1:46" x14ac:dyDescent="0.55000000000000004">
      <c r="A133">
        <v>0</v>
      </c>
      <c r="B133">
        <v>6</v>
      </c>
      <c r="C133">
        <v>72.650000000000006</v>
      </c>
      <c r="D133">
        <v>7.8</v>
      </c>
      <c r="E133" t="s">
        <v>2198</v>
      </c>
      <c r="F133" t="s">
        <v>2226</v>
      </c>
      <c r="G133" t="s">
        <v>2199</v>
      </c>
      <c r="H133" t="s">
        <v>2352</v>
      </c>
      <c r="I133">
        <v>0</v>
      </c>
      <c r="J133">
        <v>35</v>
      </c>
      <c r="K133">
        <f t="shared" si="8"/>
        <v>17.95</v>
      </c>
      <c r="L133">
        <f t="shared" si="9"/>
        <v>14.28</v>
      </c>
      <c r="M133">
        <f t="shared" si="10"/>
        <v>3.67</v>
      </c>
      <c r="N133">
        <v>6.3</v>
      </c>
      <c r="O133">
        <v>0</v>
      </c>
      <c r="P133">
        <v>47</v>
      </c>
      <c r="Q133">
        <v>21.8</v>
      </c>
      <c r="R133">
        <v>6</v>
      </c>
      <c r="S133">
        <v>14.82</v>
      </c>
      <c r="T133">
        <v>-14.82</v>
      </c>
      <c r="U133">
        <v>2.08</v>
      </c>
      <c r="V133">
        <v>46.5</v>
      </c>
      <c r="W133">
        <v>10.59</v>
      </c>
      <c r="X133">
        <v>25.33</v>
      </c>
      <c r="Y133">
        <v>5.81</v>
      </c>
      <c r="Z133">
        <v>24.5</v>
      </c>
      <c r="AA133">
        <v>-2.13</v>
      </c>
      <c r="AB133">
        <v>12.05</v>
      </c>
      <c r="AC133">
        <v>-68.040000000000006</v>
      </c>
      <c r="AD133">
        <v>160</v>
      </c>
      <c r="AE133">
        <v>1460</v>
      </c>
      <c r="AF133">
        <v>13.4</v>
      </c>
      <c r="AG133">
        <v>0.15</v>
      </c>
      <c r="AH133">
        <v>12.46</v>
      </c>
      <c r="AI133">
        <v>151.4</v>
      </c>
      <c r="AJ133">
        <v>60</v>
      </c>
      <c r="AK133">
        <v>9</v>
      </c>
      <c r="AL133">
        <v>9</v>
      </c>
      <c r="AM133">
        <v>0.05</v>
      </c>
      <c r="AN133">
        <v>96</v>
      </c>
      <c r="AO133">
        <v>96.44</v>
      </c>
      <c r="AP133">
        <v>264750.53999999998</v>
      </c>
      <c r="AQ133">
        <v>172101.2</v>
      </c>
      <c r="AR133" t="s">
        <v>1040</v>
      </c>
      <c r="AT133" s="6">
        <f t="shared" si="11"/>
        <v>5.2882043378995416</v>
      </c>
    </row>
    <row r="134" spans="1:46" x14ac:dyDescent="0.55000000000000004">
      <c r="A134">
        <v>0</v>
      </c>
      <c r="B134">
        <v>6</v>
      </c>
      <c r="C134">
        <v>174.23</v>
      </c>
      <c r="D134">
        <v>7.8</v>
      </c>
      <c r="E134" t="s">
        <v>2198</v>
      </c>
      <c r="F134" t="s">
        <v>2227</v>
      </c>
      <c r="G134" t="s">
        <v>2199</v>
      </c>
      <c r="H134" t="s">
        <v>2353</v>
      </c>
      <c r="I134">
        <v>0</v>
      </c>
      <c r="J134">
        <v>35</v>
      </c>
      <c r="K134">
        <f t="shared" si="8"/>
        <v>14.79</v>
      </c>
      <c r="L134">
        <f t="shared" si="9"/>
        <v>14.28</v>
      </c>
      <c r="M134">
        <f t="shared" si="10"/>
        <v>0.50999999999999979</v>
      </c>
      <c r="N134">
        <v>6.3</v>
      </c>
      <c r="O134">
        <v>0</v>
      </c>
      <c r="P134">
        <v>53</v>
      </c>
      <c r="Q134">
        <v>19.899999999999999</v>
      </c>
      <c r="R134">
        <v>6</v>
      </c>
      <c r="S134">
        <v>14.01</v>
      </c>
      <c r="T134">
        <v>-14.01</v>
      </c>
      <c r="U134">
        <v>4.9800000000000004</v>
      </c>
      <c r="V134">
        <v>111.51</v>
      </c>
      <c r="W134">
        <v>25.39</v>
      </c>
      <c r="X134">
        <v>60.73</v>
      </c>
      <c r="Y134">
        <v>13.94</v>
      </c>
      <c r="Z134">
        <v>20.2</v>
      </c>
      <c r="AA134">
        <v>-1.4</v>
      </c>
      <c r="AB134">
        <v>10.61</v>
      </c>
      <c r="AC134">
        <v>-74.900000000000006</v>
      </c>
      <c r="AD134">
        <v>160</v>
      </c>
      <c r="AE134">
        <v>1460</v>
      </c>
      <c r="AF134">
        <v>13.4</v>
      </c>
      <c r="AG134">
        <v>0.15</v>
      </c>
      <c r="AH134">
        <v>3.37</v>
      </c>
      <c r="AI134">
        <v>151.4</v>
      </c>
      <c r="AJ134">
        <v>60</v>
      </c>
      <c r="AK134">
        <v>9</v>
      </c>
      <c r="AL134">
        <v>9</v>
      </c>
      <c r="AM134">
        <v>0.05</v>
      </c>
      <c r="AN134">
        <v>96</v>
      </c>
      <c r="AO134">
        <v>96.44</v>
      </c>
      <c r="AP134">
        <v>194048.19</v>
      </c>
      <c r="AQ134">
        <v>172101.2</v>
      </c>
      <c r="AR134" t="s">
        <v>1041</v>
      </c>
      <c r="AT134" s="6">
        <f t="shared" si="11"/>
        <v>1.2526820776255703</v>
      </c>
    </row>
    <row r="135" spans="1:46" x14ac:dyDescent="0.5500000000000000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f t="shared" si="8"/>
        <v>0</v>
      </c>
      <c r="L135">
        <f t="shared" si="9"/>
        <v>0</v>
      </c>
      <c r="M135">
        <f t="shared" si="10"/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T135" s="6">
        <f t="shared" si="11"/>
        <v>0</v>
      </c>
    </row>
    <row r="136" spans="1:46" x14ac:dyDescent="0.55000000000000004">
      <c r="A136">
        <v>0</v>
      </c>
      <c r="B136">
        <v>6</v>
      </c>
      <c r="C136">
        <v>64.790000000000006</v>
      </c>
      <c r="D136">
        <v>7.8</v>
      </c>
      <c r="E136" t="s">
        <v>2198</v>
      </c>
      <c r="F136" t="s">
        <v>2228</v>
      </c>
      <c r="G136" t="s">
        <v>2199</v>
      </c>
      <c r="H136" t="s">
        <v>2354</v>
      </c>
      <c r="I136">
        <v>0</v>
      </c>
      <c r="J136">
        <v>35</v>
      </c>
      <c r="K136">
        <f t="shared" si="8"/>
        <v>19.190000000000001</v>
      </c>
      <c r="L136">
        <f t="shared" si="9"/>
        <v>14.28</v>
      </c>
      <c r="M136">
        <f t="shared" si="10"/>
        <v>4.9100000000000019</v>
      </c>
      <c r="N136">
        <v>6.3</v>
      </c>
      <c r="O136">
        <v>0</v>
      </c>
      <c r="P136">
        <v>47</v>
      </c>
      <c r="Q136">
        <v>22</v>
      </c>
      <c r="R136">
        <v>6</v>
      </c>
      <c r="S136">
        <v>14.99</v>
      </c>
      <c r="T136">
        <v>-14.99</v>
      </c>
      <c r="U136">
        <v>1.85</v>
      </c>
      <c r="V136">
        <v>41.46</v>
      </c>
      <c r="W136">
        <v>9.44</v>
      </c>
      <c r="X136">
        <v>22.58</v>
      </c>
      <c r="Y136">
        <v>5.18</v>
      </c>
      <c r="Z136">
        <v>26.2</v>
      </c>
      <c r="AA136">
        <v>-2.2200000000000002</v>
      </c>
      <c r="AB136">
        <v>12.24</v>
      </c>
      <c r="AC136">
        <v>-66.760000000000005</v>
      </c>
      <c r="AD136">
        <v>160</v>
      </c>
      <c r="AE136">
        <v>1460</v>
      </c>
      <c r="AF136">
        <v>13.4</v>
      </c>
      <c r="AG136">
        <v>0.15</v>
      </c>
      <c r="AH136">
        <v>15.75</v>
      </c>
      <c r="AI136">
        <v>151.4</v>
      </c>
      <c r="AJ136">
        <v>60</v>
      </c>
      <c r="AK136">
        <v>9</v>
      </c>
      <c r="AL136">
        <v>9</v>
      </c>
      <c r="AM136">
        <v>0.05</v>
      </c>
      <c r="AN136">
        <v>96</v>
      </c>
      <c r="AO136">
        <v>96.44</v>
      </c>
      <c r="AP136">
        <v>292660.08</v>
      </c>
      <c r="AQ136">
        <v>172101.2</v>
      </c>
      <c r="AR136" t="s">
        <v>1043</v>
      </c>
      <c r="AT136" s="6">
        <f t="shared" si="11"/>
        <v>6.8812146118721467</v>
      </c>
    </row>
    <row r="137" spans="1:46" x14ac:dyDescent="0.5500000000000000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f t="shared" si="8"/>
        <v>0</v>
      </c>
      <c r="L137">
        <f t="shared" si="9"/>
        <v>0</v>
      </c>
      <c r="M137">
        <f t="shared" si="10"/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T137" s="6">
        <f t="shared" si="11"/>
        <v>0</v>
      </c>
    </row>
    <row r="138" spans="1:46" x14ac:dyDescent="0.55000000000000004">
      <c r="A138">
        <v>0</v>
      </c>
      <c r="B138">
        <v>6</v>
      </c>
      <c r="C138">
        <v>68.040000000000006</v>
      </c>
      <c r="D138">
        <v>7.8</v>
      </c>
      <c r="E138" t="s">
        <v>2198</v>
      </c>
      <c r="F138" t="s">
        <v>2229</v>
      </c>
      <c r="G138" t="s">
        <v>2199</v>
      </c>
      <c r="H138" t="s">
        <v>2355</v>
      </c>
      <c r="I138">
        <v>0</v>
      </c>
      <c r="J138">
        <v>35</v>
      </c>
      <c r="K138">
        <f t="shared" si="8"/>
        <v>18.59</v>
      </c>
      <c r="L138">
        <f t="shared" si="9"/>
        <v>14.28</v>
      </c>
      <c r="M138">
        <f t="shared" si="10"/>
        <v>4.3100000000000005</v>
      </c>
      <c r="N138">
        <v>6.3</v>
      </c>
      <c r="O138">
        <v>0</v>
      </c>
      <c r="P138">
        <v>47</v>
      </c>
      <c r="Q138">
        <v>22</v>
      </c>
      <c r="R138">
        <v>6</v>
      </c>
      <c r="S138">
        <v>14.99</v>
      </c>
      <c r="T138">
        <v>-14.99</v>
      </c>
      <c r="U138">
        <v>1.94</v>
      </c>
      <c r="V138">
        <v>43.55</v>
      </c>
      <c r="W138">
        <v>9.91</v>
      </c>
      <c r="X138">
        <v>23.72</v>
      </c>
      <c r="Y138">
        <v>5.44</v>
      </c>
      <c r="Z138">
        <v>25.38</v>
      </c>
      <c r="AA138">
        <v>-2.1800000000000002</v>
      </c>
      <c r="AB138">
        <v>12.16</v>
      </c>
      <c r="AC138">
        <v>-66.760000000000005</v>
      </c>
      <c r="AD138">
        <v>160</v>
      </c>
      <c r="AE138">
        <v>1460</v>
      </c>
      <c r="AF138">
        <v>13.4</v>
      </c>
      <c r="AG138">
        <v>0.15</v>
      </c>
      <c r="AH138">
        <v>14.2</v>
      </c>
      <c r="AI138">
        <v>151.4</v>
      </c>
      <c r="AJ138">
        <v>60</v>
      </c>
      <c r="AK138">
        <v>9</v>
      </c>
      <c r="AL138">
        <v>9</v>
      </c>
      <c r="AM138">
        <v>0.05</v>
      </c>
      <c r="AN138">
        <v>96</v>
      </c>
      <c r="AO138">
        <v>96.44</v>
      </c>
      <c r="AP138">
        <v>279110.57</v>
      </c>
      <c r="AQ138">
        <v>172101.2</v>
      </c>
      <c r="AR138" t="s">
        <v>1045</v>
      </c>
      <c r="AT138" s="6">
        <f t="shared" si="11"/>
        <v>6.1078407534246573</v>
      </c>
    </row>
    <row r="139" spans="1:46" x14ac:dyDescent="0.5500000000000000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f t="shared" si="8"/>
        <v>0</v>
      </c>
      <c r="L139">
        <f t="shared" si="9"/>
        <v>0</v>
      </c>
      <c r="M139">
        <f t="shared" si="10"/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T139" s="6">
        <f t="shared" si="11"/>
        <v>0</v>
      </c>
    </row>
    <row r="140" spans="1:46" x14ac:dyDescent="0.55000000000000004">
      <c r="A140">
        <v>0</v>
      </c>
      <c r="B140">
        <v>6</v>
      </c>
      <c r="C140">
        <v>94.25</v>
      </c>
      <c r="D140">
        <v>7.8</v>
      </c>
      <c r="E140" t="s">
        <v>2198</v>
      </c>
      <c r="F140" t="s">
        <v>2230</v>
      </c>
      <c r="G140" t="s">
        <v>2199</v>
      </c>
      <c r="H140" t="s">
        <v>2356</v>
      </c>
      <c r="I140">
        <v>0</v>
      </c>
      <c r="J140">
        <v>35</v>
      </c>
      <c r="K140">
        <f t="shared" si="8"/>
        <v>16.37</v>
      </c>
      <c r="L140">
        <f t="shared" si="9"/>
        <v>14.28</v>
      </c>
      <c r="M140">
        <f t="shared" si="10"/>
        <v>2.0900000000000016</v>
      </c>
      <c r="N140">
        <v>6.3</v>
      </c>
      <c r="O140">
        <v>0</v>
      </c>
      <c r="P140">
        <v>49</v>
      </c>
      <c r="Q140">
        <v>21</v>
      </c>
      <c r="R140">
        <v>6</v>
      </c>
      <c r="S140">
        <v>14.42</v>
      </c>
      <c r="T140">
        <v>-14.42</v>
      </c>
      <c r="U140">
        <v>2.69</v>
      </c>
      <c r="V140">
        <v>60.32</v>
      </c>
      <c r="W140">
        <v>13.73</v>
      </c>
      <c r="X140">
        <v>32.85</v>
      </c>
      <c r="Y140">
        <v>7.54</v>
      </c>
      <c r="Z140">
        <v>22.35</v>
      </c>
      <c r="AA140">
        <v>-1.91</v>
      </c>
      <c r="AB140">
        <v>11.62</v>
      </c>
      <c r="AC140">
        <v>-71.25</v>
      </c>
      <c r="AD140">
        <v>160</v>
      </c>
      <c r="AE140">
        <v>1460</v>
      </c>
      <c r="AF140">
        <v>13.4</v>
      </c>
      <c r="AG140">
        <v>0.15</v>
      </c>
      <c r="AH140">
        <v>7.92</v>
      </c>
      <c r="AI140">
        <v>151.4</v>
      </c>
      <c r="AJ140">
        <v>60</v>
      </c>
      <c r="AK140">
        <v>9</v>
      </c>
      <c r="AL140">
        <v>9</v>
      </c>
      <c r="AM140">
        <v>0.05</v>
      </c>
      <c r="AN140">
        <v>96</v>
      </c>
      <c r="AO140">
        <v>96.44</v>
      </c>
      <c r="AP140">
        <v>229321.22</v>
      </c>
      <c r="AQ140">
        <v>172101.2</v>
      </c>
      <c r="AR140" t="s">
        <v>1047</v>
      </c>
      <c r="AT140" s="6">
        <f t="shared" si="11"/>
        <v>3.2659828767123282</v>
      </c>
    </row>
    <row r="141" spans="1:46" x14ac:dyDescent="0.5500000000000000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f t="shared" si="8"/>
        <v>0</v>
      </c>
      <c r="L141">
        <f t="shared" si="9"/>
        <v>0</v>
      </c>
      <c r="M141">
        <f t="shared" si="10"/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T141" s="6">
        <f t="shared" si="11"/>
        <v>0</v>
      </c>
    </row>
    <row r="142" spans="1:46" x14ac:dyDescent="0.55000000000000004">
      <c r="A142">
        <v>0</v>
      </c>
      <c r="B142">
        <v>6</v>
      </c>
      <c r="C142">
        <v>955.97</v>
      </c>
      <c r="D142">
        <v>7.8</v>
      </c>
      <c r="E142" t="s">
        <v>2199</v>
      </c>
      <c r="F142" t="s">
        <v>2231</v>
      </c>
      <c r="G142" t="s">
        <v>2199</v>
      </c>
      <c r="H142" t="s">
        <v>2357</v>
      </c>
      <c r="I142">
        <v>0</v>
      </c>
      <c r="J142">
        <v>35</v>
      </c>
      <c r="K142">
        <f t="shared" si="8"/>
        <v>13.74</v>
      </c>
      <c r="L142">
        <f t="shared" si="9"/>
        <v>13.74</v>
      </c>
      <c r="M142">
        <f t="shared" si="10"/>
        <v>0</v>
      </c>
      <c r="N142">
        <v>6.3</v>
      </c>
      <c r="O142">
        <v>0</v>
      </c>
      <c r="P142">
        <v>57</v>
      </c>
      <c r="Q142">
        <v>17.899999999999999</v>
      </c>
      <c r="R142">
        <v>6</v>
      </c>
      <c r="S142">
        <v>12.76</v>
      </c>
      <c r="T142">
        <v>-12.76</v>
      </c>
      <c r="U142">
        <v>27.31</v>
      </c>
      <c r="V142">
        <v>611.82000000000005</v>
      </c>
      <c r="W142">
        <v>139.30000000000001</v>
      </c>
      <c r="X142">
        <v>333.22</v>
      </c>
      <c r="Y142">
        <v>76.48</v>
      </c>
      <c r="Z142">
        <v>70.3</v>
      </c>
      <c r="AA142">
        <v>0</v>
      </c>
      <c r="AB142">
        <v>7.8</v>
      </c>
      <c r="AC142">
        <v>-88.79</v>
      </c>
      <c r="AD142">
        <v>160</v>
      </c>
      <c r="AE142">
        <v>1460</v>
      </c>
      <c r="AF142">
        <v>13.4</v>
      </c>
      <c r="AG142">
        <v>0.15</v>
      </c>
      <c r="AH142">
        <v>0.51</v>
      </c>
      <c r="AI142">
        <v>567.14</v>
      </c>
      <c r="AJ142">
        <v>60</v>
      </c>
      <c r="AK142">
        <v>9</v>
      </c>
      <c r="AL142">
        <v>9</v>
      </c>
      <c r="AM142">
        <v>0.01</v>
      </c>
      <c r="AN142">
        <v>96</v>
      </c>
      <c r="AO142">
        <v>96.12</v>
      </c>
      <c r="AP142">
        <v>170546.88</v>
      </c>
      <c r="AQ142">
        <v>170546.88</v>
      </c>
      <c r="AR142" t="s">
        <v>1049</v>
      </c>
      <c r="AT142" s="6">
        <f t="shared" si="11"/>
        <v>0</v>
      </c>
    </row>
    <row r="143" spans="1:46" x14ac:dyDescent="0.55000000000000004">
      <c r="A143">
        <v>0</v>
      </c>
      <c r="B143">
        <v>6</v>
      </c>
      <c r="C143">
        <v>115.96</v>
      </c>
      <c r="D143">
        <v>7.8</v>
      </c>
      <c r="E143" t="s">
        <v>2198</v>
      </c>
      <c r="F143" t="s">
        <v>2232</v>
      </c>
      <c r="G143" t="s">
        <v>2199</v>
      </c>
      <c r="H143" t="s">
        <v>2358</v>
      </c>
      <c r="I143">
        <v>0</v>
      </c>
      <c r="J143">
        <v>35</v>
      </c>
      <c r="K143">
        <f t="shared" si="8"/>
        <v>15.64</v>
      </c>
      <c r="L143">
        <f t="shared" si="9"/>
        <v>14.28</v>
      </c>
      <c r="M143">
        <f t="shared" si="10"/>
        <v>1.3600000000000012</v>
      </c>
      <c r="N143">
        <v>6.3</v>
      </c>
      <c r="O143">
        <v>0</v>
      </c>
      <c r="P143">
        <v>66</v>
      </c>
      <c r="Q143">
        <v>16.8</v>
      </c>
      <c r="R143">
        <v>6</v>
      </c>
      <c r="S143">
        <v>12.83</v>
      </c>
      <c r="T143">
        <v>-12.83</v>
      </c>
      <c r="U143">
        <v>3.31</v>
      </c>
      <c r="V143">
        <v>74.209999999999994</v>
      </c>
      <c r="W143">
        <v>16.899999999999999</v>
      </c>
      <c r="X143">
        <v>40.42</v>
      </c>
      <c r="Y143">
        <v>9.2799999999999994</v>
      </c>
      <c r="Z143">
        <v>21.35</v>
      </c>
      <c r="AA143">
        <v>-1.74</v>
      </c>
      <c r="AB143">
        <v>11.28</v>
      </c>
      <c r="AC143">
        <v>-87.79</v>
      </c>
      <c r="AD143">
        <v>160</v>
      </c>
      <c r="AE143">
        <v>1460</v>
      </c>
      <c r="AF143">
        <v>13.4</v>
      </c>
      <c r="AG143">
        <v>0.15</v>
      </c>
      <c r="AH143">
        <v>5.79</v>
      </c>
      <c r="AI143">
        <v>151.4</v>
      </c>
      <c r="AJ143">
        <v>60</v>
      </c>
      <c r="AK143">
        <v>9</v>
      </c>
      <c r="AL143">
        <v>9</v>
      </c>
      <c r="AM143">
        <v>0.05</v>
      </c>
      <c r="AN143">
        <v>96</v>
      </c>
      <c r="AO143">
        <v>96.44</v>
      </c>
      <c r="AP143">
        <v>213014.14</v>
      </c>
      <c r="AQ143">
        <v>172101.2</v>
      </c>
      <c r="AR143" t="s">
        <v>1050</v>
      </c>
      <c r="AT143" s="6">
        <f t="shared" si="11"/>
        <v>2.3352134703196348</v>
      </c>
    </row>
    <row r="144" spans="1:46" x14ac:dyDescent="0.55000000000000004">
      <c r="A144">
        <v>0</v>
      </c>
      <c r="B144">
        <v>6</v>
      </c>
      <c r="C144">
        <v>461.95</v>
      </c>
      <c r="D144">
        <v>7.8</v>
      </c>
      <c r="E144" t="s">
        <v>2198</v>
      </c>
      <c r="F144" t="s">
        <v>2233</v>
      </c>
      <c r="G144" t="s">
        <v>2199</v>
      </c>
      <c r="H144" t="s">
        <v>2359</v>
      </c>
      <c r="I144">
        <v>0</v>
      </c>
      <c r="J144">
        <v>35</v>
      </c>
      <c r="K144">
        <f t="shared" si="8"/>
        <v>13.97</v>
      </c>
      <c r="L144">
        <f t="shared" si="9"/>
        <v>14.28</v>
      </c>
      <c r="M144">
        <f t="shared" si="10"/>
        <v>-0.30999999999999872</v>
      </c>
      <c r="N144">
        <v>6.3</v>
      </c>
      <c r="O144">
        <v>0</v>
      </c>
      <c r="P144">
        <v>56</v>
      </c>
      <c r="Q144">
        <v>17.7</v>
      </c>
      <c r="R144">
        <v>6</v>
      </c>
      <c r="S144">
        <v>12.46</v>
      </c>
      <c r="T144">
        <v>-12.46</v>
      </c>
      <c r="U144">
        <v>13.2</v>
      </c>
      <c r="V144">
        <v>295.64999999999998</v>
      </c>
      <c r="W144">
        <v>67.31</v>
      </c>
      <c r="X144">
        <v>161.02000000000001</v>
      </c>
      <c r="Y144">
        <v>36.96</v>
      </c>
      <c r="Z144">
        <v>19.07</v>
      </c>
      <c r="AA144">
        <v>-0.6</v>
      </c>
      <c r="AB144">
        <v>9</v>
      </c>
      <c r="AC144">
        <v>-92.9</v>
      </c>
      <c r="AD144">
        <v>160</v>
      </c>
      <c r="AE144">
        <v>1460</v>
      </c>
      <c r="AF144">
        <v>13.4</v>
      </c>
      <c r="AG144">
        <v>0.15</v>
      </c>
      <c r="AH144">
        <v>1.1000000000000001</v>
      </c>
      <c r="AI144">
        <v>151.4</v>
      </c>
      <c r="AJ144">
        <v>60</v>
      </c>
      <c r="AK144">
        <v>9</v>
      </c>
      <c r="AL144">
        <v>9</v>
      </c>
      <c r="AM144">
        <v>0.05</v>
      </c>
      <c r="AN144">
        <v>96</v>
      </c>
      <c r="AO144">
        <v>96.44</v>
      </c>
      <c r="AP144">
        <v>175533.11</v>
      </c>
      <c r="AQ144">
        <v>172101.2</v>
      </c>
      <c r="AR144" t="s">
        <v>1051</v>
      </c>
      <c r="AT144" s="6">
        <f t="shared" si="11"/>
        <v>0.19588527397260128</v>
      </c>
    </row>
    <row r="145" spans="1:46" x14ac:dyDescent="0.55000000000000004">
      <c r="A145">
        <v>0</v>
      </c>
      <c r="B145">
        <v>6</v>
      </c>
      <c r="C145">
        <v>497.97</v>
      </c>
      <c r="D145">
        <v>7.8</v>
      </c>
      <c r="E145" t="s">
        <v>2198</v>
      </c>
      <c r="F145" t="s">
        <v>2234</v>
      </c>
      <c r="G145" t="s">
        <v>2199</v>
      </c>
      <c r="H145" t="s">
        <v>2360</v>
      </c>
      <c r="I145">
        <v>0</v>
      </c>
      <c r="J145">
        <v>35</v>
      </c>
      <c r="K145">
        <f t="shared" si="8"/>
        <v>13.93</v>
      </c>
      <c r="L145">
        <f t="shared" si="9"/>
        <v>14.28</v>
      </c>
      <c r="M145">
        <f t="shared" si="10"/>
        <v>-0.34999999999999964</v>
      </c>
      <c r="N145">
        <v>6.3</v>
      </c>
      <c r="O145">
        <v>0</v>
      </c>
      <c r="P145">
        <v>57</v>
      </c>
      <c r="Q145">
        <v>17.399999999999999</v>
      </c>
      <c r="R145">
        <v>6</v>
      </c>
      <c r="S145">
        <v>12.31</v>
      </c>
      <c r="T145">
        <v>-12.31</v>
      </c>
      <c r="U145">
        <v>14.23</v>
      </c>
      <c r="V145">
        <v>318.7</v>
      </c>
      <c r="W145">
        <v>72.56</v>
      </c>
      <c r="X145">
        <v>173.58</v>
      </c>
      <c r="Y145">
        <v>39.840000000000003</v>
      </c>
      <c r="Z145">
        <v>19.03</v>
      </c>
      <c r="AA145">
        <v>-0.54</v>
      </c>
      <c r="AB145">
        <v>8.8800000000000008</v>
      </c>
      <c r="AC145">
        <v>-95.03</v>
      </c>
      <c r="AD145">
        <v>160</v>
      </c>
      <c r="AE145">
        <v>1460</v>
      </c>
      <c r="AF145">
        <v>13.4</v>
      </c>
      <c r="AG145">
        <v>0.15</v>
      </c>
      <c r="AH145">
        <v>1.01</v>
      </c>
      <c r="AI145">
        <v>151.4</v>
      </c>
      <c r="AJ145">
        <v>60</v>
      </c>
      <c r="AK145">
        <v>9</v>
      </c>
      <c r="AL145">
        <v>9</v>
      </c>
      <c r="AM145">
        <v>0.05</v>
      </c>
      <c r="AN145">
        <v>96</v>
      </c>
      <c r="AO145">
        <v>96.44</v>
      </c>
      <c r="AP145">
        <v>174815.24</v>
      </c>
      <c r="AQ145">
        <v>172101.2</v>
      </c>
      <c r="AR145" t="s">
        <v>1052</v>
      </c>
      <c r="AT145" s="6">
        <f t="shared" si="11"/>
        <v>0.15491095890410839</v>
      </c>
    </row>
    <row r="146" spans="1:46" x14ac:dyDescent="0.55000000000000004">
      <c r="A146">
        <v>0</v>
      </c>
      <c r="B146">
        <v>6</v>
      </c>
      <c r="C146">
        <v>62.29</v>
      </c>
      <c r="D146">
        <v>7.8</v>
      </c>
      <c r="E146" t="s">
        <v>2198</v>
      </c>
      <c r="F146" t="s">
        <v>2235</v>
      </c>
      <c r="G146" t="s">
        <v>2199</v>
      </c>
      <c r="H146" t="s">
        <v>2361</v>
      </c>
      <c r="I146">
        <v>0</v>
      </c>
      <c r="J146">
        <v>35</v>
      </c>
      <c r="K146">
        <f t="shared" si="8"/>
        <v>19.79</v>
      </c>
      <c r="L146">
        <f t="shared" si="9"/>
        <v>14.28</v>
      </c>
      <c r="M146">
        <f t="shared" si="10"/>
        <v>5.51</v>
      </c>
      <c r="N146">
        <v>6.3</v>
      </c>
      <c r="O146">
        <v>0</v>
      </c>
      <c r="P146">
        <v>49</v>
      </c>
      <c r="Q146">
        <v>21.7</v>
      </c>
      <c r="R146">
        <v>6</v>
      </c>
      <c r="S146">
        <v>15.02</v>
      </c>
      <c r="T146">
        <v>-15.02</v>
      </c>
      <c r="U146">
        <v>1.78</v>
      </c>
      <c r="V146">
        <v>39.869999999999997</v>
      </c>
      <c r="W146">
        <v>9.08</v>
      </c>
      <c r="X146">
        <v>21.71</v>
      </c>
      <c r="Y146">
        <v>4.9800000000000004</v>
      </c>
      <c r="Z146">
        <v>27.02</v>
      </c>
      <c r="AA146">
        <v>-2.25</v>
      </c>
      <c r="AB146">
        <v>12.31</v>
      </c>
      <c r="AC146">
        <v>-66.52</v>
      </c>
      <c r="AD146">
        <v>160</v>
      </c>
      <c r="AE146">
        <v>1460</v>
      </c>
      <c r="AF146">
        <v>13.4</v>
      </c>
      <c r="AG146">
        <v>0.15</v>
      </c>
      <c r="AH146">
        <v>17.190000000000001</v>
      </c>
      <c r="AI146">
        <v>151.4</v>
      </c>
      <c r="AJ146">
        <v>60</v>
      </c>
      <c r="AK146">
        <v>9</v>
      </c>
      <c r="AL146">
        <v>9</v>
      </c>
      <c r="AM146">
        <v>0.05</v>
      </c>
      <c r="AN146">
        <v>96</v>
      </c>
      <c r="AO146">
        <v>96.44</v>
      </c>
      <c r="AP146">
        <v>306117.93</v>
      </c>
      <c r="AQ146">
        <v>172101.2</v>
      </c>
      <c r="AR146" t="s">
        <v>1053</v>
      </c>
      <c r="AT146" s="6">
        <f t="shared" si="11"/>
        <v>7.6493567351598166</v>
      </c>
    </row>
    <row r="147" spans="1:46" x14ac:dyDescent="0.55000000000000004">
      <c r="A147">
        <v>0</v>
      </c>
      <c r="B147">
        <v>6</v>
      </c>
      <c r="C147">
        <v>75.06</v>
      </c>
      <c r="D147">
        <v>7.8</v>
      </c>
      <c r="E147" t="s">
        <v>2198</v>
      </c>
      <c r="F147" t="s">
        <v>2236</v>
      </c>
      <c r="G147" t="s">
        <v>2199</v>
      </c>
      <c r="H147" t="s">
        <v>2362</v>
      </c>
      <c r="I147">
        <v>0</v>
      </c>
      <c r="J147">
        <v>35</v>
      </c>
      <c r="K147">
        <f t="shared" si="8"/>
        <v>17.68</v>
      </c>
      <c r="L147">
        <f t="shared" si="9"/>
        <v>14.28</v>
      </c>
      <c r="M147">
        <f t="shared" si="10"/>
        <v>3.4000000000000004</v>
      </c>
      <c r="N147">
        <v>6.3</v>
      </c>
      <c r="O147">
        <v>0</v>
      </c>
      <c r="P147">
        <v>64</v>
      </c>
      <c r="Q147">
        <v>17.5</v>
      </c>
      <c r="R147">
        <v>6</v>
      </c>
      <c r="S147">
        <v>13.24</v>
      </c>
      <c r="T147">
        <v>-13.24</v>
      </c>
      <c r="U147">
        <v>2.14</v>
      </c>
      <c r="V147">
        <v>48.04</v>
      </c>
      <c r="W147">
        <v>10.94</v>
      </c>
      <c r="X147">
        <v>26.16</v>
      </c>
      <c r="Y147">
        <v>6</v>
      </c>
      <c r="Z147">
        <v>24.14</v>
      </c>
      <c r="AA147">
        <v>-2.1</v>
      </c>
      <c r="AB147">
        <v>12</v>
      </c>
      <c r="AC147">
        <v>-82.87</v>
      </c>
      <c r="AD147">
        <v>160</v>
      </c>
      <c r="AE147">
        <v>1460</v>
      </c>
      <c r="AF147">
        <v>13.4</v>
      </c>
      <c r="AG147">
        <v>0.15</v>
      </c>
      <c r="AH147">
        <v>11.71</v>
      </c>
      <c r="AI147">
        <v>151.4</v>
      </c>
      <c r="AJ147">
        <v>60</v>
      </c>
      <c r="AK147">
        <v>9</v>
      </c>
      <c r="AL147">
        <v>9</v>
      </c>
      <c r="AM147">
        <v>0.05</v>
      </c>
      <c r="AN147">
        <v>96</v>
      </c>
      <c r="AO147">
        <v>96.44</v>
      </c>
      <c r="AP147">
        <v>258754.95</v>
      </c>
      <c r="AQ147">
        <v>172101.2</v>
      </c>
      <c r="AR147" t="s">
        <v>1054</v>
      </c>
      <c r="AT147" s="6">
        <f t="shared" si="11"/>
        <v>4.9459902968036529</v>
      </c>
    </row>
    <row r="148" spans="1:46" x14ac:dyDescent="0.55000000000000004">
      <c r="A148">
        <v>0</v>
      </c>
      <c r="B148">
        <v>6</v>
      </c>
      <c r="C148">
        <v>62.2</v>
      </c>
      <c r="D148">
        <v>7.8</v>
      </c>
      <c r="E148" t="s">
        <v>2198</v>
      </c>
      <c r="F148" t="s">
        <v>2237</v>
      </c>
      <c r="G148" t="s">
        <v>2199</v>
      </c>
      <c r="H148" t="s">
        <v>2363</v>
      </c>
      <c r="I148">
        <v>0</v>
      </c>
      <c r="J148">
        <v>35</v>
      </c>
      <c r="K148">
        <f t="shared" si="8"/>
        <v>19.809999999999999</v>
      </c>
      <c r="L148">
        <f t="shared" si="9"/>
        <v>14.28</v>
      </c>
      <c r="M148">
        <f t="shared" si="10"/>
        <v>5.5299999999999994</v>
      </c>
      <c r="N148">
        <v>6.3</v>
      </c>
      <c r="O148">
        <v>0</v>
      </c>
      <c r="P148">
        <v>47</v>
      </c>
      <c r="Q148">
        <v>22.1</v>
      </c>
      <c r="R148">
        <v>6</v>
      </c>
      <c r="S148">
        <v>15.07</v>
      </c>
      <c r="T148">
        <v>-15.07</v>
      </c>
      <c r="U148">
        <v>1.78</v>
      </c>
      <c r="V148">
        <v>39.81</v>
      </c>
      <c r="W148">
        <v>9.06</v>
      </c>
      <c r="X148">
        <v>21.68</v>
      </c>
      <c r="Y148">
        <v>4.9800000000000004</v>
      </c>
      <c r="Z148">
        <v>27.06</v>
      </c>
      <c r="AA148">
        <v>-2.25</v>
      </c>
      <c r="AB148">
        <v>12.31</v>
      </c>
      <c r="AC148">
        <v>-66.13</v>
      </c>
      <c r="AD148">
        <v>160</v>
      </c>
      <c r="AE148">
        <v>1460</v>
      </c>
      <c r="AF148">
        <v>13.4</v>
      </c>
      <c r="AG148">
        <v>0.15</v>
      </c>
      <c r="AH148">
        <v>17.25</v>
      </c>
      <c r="AI148">
        <v>151.4</v>
      </c>
      <c r="AJ148">
        <v>60</v>
      </c>
      <c r="AK148">
        <v>9</v>
      </c>
      <c r="AL148">
        <v>9</v>
      </c>
      <c r="AM148">
        <v>0.05</v>
      </c>
      <c r="AN148">
        <v>96</v>
      </c>
      <c r="AO148">
        <v>96.44</v>
      </c>
      <c r="AP148">
        <v>306668.3</v>
      </c>
      <c r="AQ148">
        <v>172101.2</v>
      </c>
      <c r="AR148" t="s">
        <v>1055</v>
      </c>
      <c r="AT148" s="6">
        <f t="shared" si="11"/>
        <v>7.6807705479452038</v>
      </c>
    </row>
    <row r="149" spans="1:46" x14ac:dyDescent="0.55000000000000004">
      <c r="A149">
        <v>0</v>
      </c>
      <c r="B149">
        <v>6</v>
      </c>
      <c r="C149">
        <v>80.760000000000005</v>
      </c>
      <c r="D149">
        <v>7.8</v>
      </c>
      <c r="E149" t="s">
        <v>2198</v>
      </c>
      <c r="F149" t="s">
        <v>2238</v>
      </c>
      <c r="G149" t="s">
        <v>2199</v>
      </c>
      <c r="H149" t="s">
        <v>2364</v>
      </c>
      <c r="I149">
        <v>0</v>
      </c>
      <c r="J149">
        <v>35</v>
      </c>
      <c r="K149">
        <f t="shared" si="8"/>
        <v>17.170000000000002</v>
      </c>
      <c r="L149">
        <f t="shared" si="9"/>
        <v>14.28</v>
      </c>
      <c r="M149">
        <f t="shared" si="10"/>
        <v>2.8900000000000023</v>
      </c>
      <c r="N149">
        <v>6.3</v>
      </c>
      <c r="O149">
        <v>0</v>
      </c>
      <c r="P149">
        <v>66</v>
      </c>
      <c r="Q149">
        <v>17.100000000000001</v>
      </c>
      <c r="R149">
        <v>6</v>
      </c>
      <c r="S149">
        <v>13.11</v>
      </c>
      <c r="T149">
        <v>-13.11</v>
      </c>
      <c r="U149">
        <v>2.31</v>
      </c>
      <c r="V149">
        <v>51.69</v>
      </c>
      <c r="W149">
        <v>11.77</v>
      </c>
      <c r="X149">
        <v>28.15</v>
      </c>
      <c r="Y149">
        <v>6.46</v>
      </c>
      <c r="Z149">
        <v>23.44</v>
      </c>
      <c r="AA149">
        <v>-2.04</v>
      </c>
      <c r="AB149">
        <v>11.88</v>
      </c>
      <c r="AC149">
        <v>-84.38</v>
      </c>
      <c r="AD149">
        <v>160</v>
      </c>
      <c r="AE149">
        <v>1460</v>
      </c>
      <c r="AF149">
        <v>13.4</v>
      </c>
      <c r="AG149">
        <v>0.15</v>
      </c>
      <c r="AH149">
        <v>10.25</v>
      </c>
      <c r="AI149">
        <v>151.4</v>
      </c>
      <c r="AJ149">
        <v>60</v>
      </c>
      <c r="AK149">
        <v>9</v>
      </c>
      <c r="AL149">
        <v>9</v>
      </c>
      <c r="AM149">
        <v>0.05</v>
      </c>
      <c r="AN149">
        <v>96</v>
      </c>
      <c r="AO149">
        <v>96.44</v>
      </c>
      <c r="AP149">
        <v>247301.25</v>
      </c>
      <c r="AQ149">
        <v>172101.2</v>
      </c>
      <c r="AR149" t="s">
        <v>1056</v>
      </c>
      <c r="AT149" s="6">
        <f t="shared" si="11"/>
        <v>4.2922402968036524</v>
      </c>
    </row>
    <row r="150" spans="1:46" x14ac:dyDescent="0.55000000000000004">
      <c r="A150">
        <v>0</v>
      </c>
      <c r="B150">
        <v>6</v>
      </c>
      <c r="C150">
        <v>67.290000000000006</v>
      </c>
      <c r="D150">
        <v>7.8</v>
      </c>
      <c r="E150" t="s">
        <v>2198</v>
      </c>
      <c r="F150" t="s">
        <v>2239</v>
      </c>
      <c r="G150" t="s">
        <v>2199</v>
      </c>
      <c r="H150" t="s">
        <v>2365</v>
      </c>
      <c r="I150">
        <v>0</v>
      </c>
      <c r="J150">
        <v>35</v>
      </c>
      <c r="K150">
        <f t="shared" si="8"/>
        <v>18.71</v>
      </c>
      <c r="L150">
        <f t="shared" si="9"/>
        <v>14.28</v>
      </c>
      <c r="M150">
        <f t="shared" si="10"/>
        <v>4.4300000000000015</v>
      </c>
      <c r="N150">
        <v>6.3</v>
      </c>
      <c r="O150">
        <v>0</v>
      </c>
      <c r="P150">
        <v>61</v>
      </c>
      <c r="Q150">
        <v>18.5</v>
      </c>
      <c r="R150">
        <v>6</v>
      </c>
      <c r="S150">
        <v>13.79</v>
      </c>
      <c r="T150">
        <v>-13.79</v>
      </c>
      <c r="U150">
        <v>1.92</v>
      </c>
      <c r="V150">
        <v>43.07</v>
      </c>
      <c r="W150">
        <v>9.81</v>
      </c>
      <c r="X150">
        <v>23.46</v>
      </c>
      <c r="Y150">
        <v>5.38</v>
      </c>
      <c r="Z150">
        <v>25.55</v>
      </c>
      <c r="AA150">
        <v>-2.19</v>
      </c>
      <c r="AB150">
        <v>12.18</v>
      </c>
      <c r="AC150">
        <v>-77.069999999999993</v>
      </c>
      <c r="AD150">
        <v>160</v>
      </c>
      <c r="AE150">
        <v>1460</v>
      </c>
      <c r="AF150">
        <v>13.4</v>
      </c>
      <c r="AG150">
        <v>0.15</v>
      </c>
      <c r="AH150">
        <v>14.53</v>
      </c>
      <c r="AI150">
        <v>151.4</v>
      </c>
      <c r="AJ150">
        <v>60</v>
      </c>
      <c r="AK150">
        <v>9</v>
      </c>
      <c r="AL150">
        <v>9</v>
      </c>
      <c r="AM150">
        <v>0.05</v>
      </c>
      <c r="AN150">
        <v>96</v>
      </c>
      <c r="AO150">
        <v>96.44</v>
      </c>
      <c r="AP150">
        <v>281921.21000000002</v>
      </c>
      <c r="AQ150">
        <v>172101.2</v>
      </c>
      <c r="AR150" t="s">
        <v>1057</v>
      </c>
      <c r="AT150" s="6">
        <f t="shared" si="11"/>
        <v>6.2682654109589047</v>
      </c>
    </row>
    <row r="151" spans="1:46" x14ac:dyDescent="0.55000000000000004">
      <c r="A151">
        <v>0</v>
      </c>
      <c r="B151">
        <v>6</v>
      </c>
      <c r="C151">
        <v>63.59</v>
      </c>
      <c r="D151">
        <v>7.8</v>
      </c>
      <c r="E151" t="s">
        <v>2198</v>
      </c>
      <c r="F151" t="s">
        <v>2240</v>
      </c>
      <c r="G151" t="s">
        <v>2199</v>
      </c>
      <c r="H151" t="s">
        <v>2366</v>
      </c>
      <c r="I151">
        <v>0</v>
      </c>
      <c r="J151">
        <v>35</v>
      </c>
      <c r="K151">
        <f t="shared" si="8"/>
        <v>19.46</v>
      </c>
      <c r="L151">
        <f t="shared" si="9"/>
        <v>14.28</v>
      </c>
      <c r="M151">
        <f t="shared" si="10"/>
        <v>5.1800000000000015</v>
      </c>
      <c r="N151">
        <v>6.3</v>
      </c>
      <c r="O151">
        <v>0</v>
      </c>
      <c r="P151">
        <v>47</v>
      </c>
      <c r="Q151">
        <v>22.2</v>
      </c>
      <c r="R151">
        <v>6</v>
      </c>
      <c r="S151">
        <v>15.16</v>
      </c>
      <c r="T151">
        <v>-15.16</v>
      </c>
      <c r="U151">
        <v>1.82</v>
      </c>
      <c r="V151">
        <v>40.69</v>
      </c>
      <c r="W151">
        <v>9.27</v>
      </c>
      <c r="X151">
        <v>22.16</v>
      </c>
      <c r="Y151">
        <v>5.09</v>
      </c>
      <c r="Z151">
        <v>26.57</v>
      </c>
      <c r="AA151">
        <v>-2.2400000000000002</v>
      </c>
      <c r="AB151">
        <v>12.27</v>
      </c>
      <c r="AC151">
        <v>-65.52</v>
      </c>
      <c r="AD151">
        <v>160</v>
      </c>
      <c r="AE151">
        <v>1460</v>
      </c>
      <c r="AF151">
        <v>13.4</v>
      </c>
      <c r="AG151">
        <v>0.15</v>
      </c>
      <c r="AH151">
        <v>16.41</v>
      </c>
      <c r="AI151">
        <v>151.4</v>
      </c>
      <c r="AJ151">
        <v>60</v>
      </c>
      <c r="AK151">
        <v>9</v>
      </c>
      <c r="AL151">
        <v>9</v>
      </c>
      <c r="AM151">
        <v>0.05</v>
      </c>
      <c r="AN151">
        <v>96</v>
      </c>
      <c r="AO151">
        <v>96.44</v>
      </c>
      <c r="AP151">
        <v>298708.15999999997</v>
      </c>
      <c r="AQ151">
        <v>172101.2</v>
      </c>
      <c r="AR151" t="s">
        <v>1058</v>
      </c>
      <c r="AT151" s="6">
        <f t="shared" si="11"/>
        <v>7.2264246575342446</v>
      </c>
    </row>
    <row r="152" spans="1:46" x14ac:dyDescent="0.55000000000000004">
      <c r="A152">
        <v>0</v>
      </c>
      <c r="B152">
        <v>6</v>
      </c>
      <c r="C152">
        <v>258.89</v>
      </c>
      <c r="D152">
        <v>7.8</v>
      </c>
      <c r="E152" t="s">
        <v>2198</v>
      </c>
      <c r="F152" t="s">
        <v>2241</v>
      </c>
      <c r="G152" t="s">
        <v>2199</v>
      </c>
      <c r="H152" t="s">
        <v>2367</v>
      </c>
      <c r="I152">
        <v>0</v>
      </c>
      <c r="J152">
        <v>35</v>
      </c>
      <c r="K152">
        <f t="shared" si="8"/>
        <v>14.33</v>
      </c>
      <c r="L152">
        <f t="shared" si="9"/>
        <v>14.28</v>
      </c>
      <c r="M152">
        <f t="shared" si="10"/>
        <v>5.0000000000000711E-2</v>
      </c>
      <c r="N152">
        <v>6.3</v>
      </c>
      <c r="O152">
        <v>0</v>
      </c>
      <c r="P152">
        <v>58</v>
      </c>
      <c r="Q152">
        <v>18</v>
      </c>
      <c r="R152">
        <v>6</v>
      </c>
      <c r="S152">
        <v>12.97</v>
      </c>
      <c r="T152">
        <v>-12.97</v>
      </c>
      <c r="U152">
        <v>7.4</v>
      </c>
      <c r="V152">
        <v>165.69</v>
      </c>
      <c r="W152">
        <v>37.72</v>
      </c>
      <c r="X152">
        <v>90.24</v>
      </c>
      <c r="Y152">
        <v>20.71</v>
      </c>
      <c r="Z152">
        <v>19.57</v>
      </c>
      <c r="AA152">
        <v>-1.08</v>
      </c>
      <c r="AB152">
        <v>9.9499999999999993</v>
      </c>
      <c r="AC152">
        <v>-86.1</v>
      </c>
      <c r="AD152">
        <v>160</v>
      </c>
      <c r="AE152">
        <v>1460</v>
      </c>
      <c r="AF152">
        <v>13.4</v>
      </c>
      <c r="AG152">
        <v>0.15</v>
      </c>
      <c r="AH152">
        <v>2.1</v>
      </c>
      <c r="AI152">
        <v>151.4</v>
      </c>
      <c r="AJ152">
        <v>60</v>
      </c>
      <c r="AK152">
        <v>9</v>
      </c>
      <c r="AL152">
        <v>9</v>
      </c>
      <c r="AM152">
        <v>0.05</v>
      </c>
      <c r="AN152">
        <v>96</v>
      </c>
      <c r="AO152">
        <v>96.44</v>
      </c>
      <c r="AP152">
        <v>183779.95</v>
      </c>
      <c r="AQ152">
        <v>172101.2</v>
      </c>
      <c r="AR152" t="s">
        <v>1059</v>
      </c>
      <c r="AT152" s="6">
        <f t="shared" si="11"/>
        <v>0.6665953196347032</v>
      </c>
    </row>
    <row r="153" spans="1:46" x14ac:dyDescent="0.55000000000000004">
      <c r="A153">
        <v>0</v>
      </c>
      <c r="B153">
        <v>6</v>
      </c>
      <c r="C153">
        <v>62.45</v>
      </c>
      <c r="D153">
        <v>7.8</v>
      </c>
      <c r="E153" t="s">
        <v>2199</v>
      </c>
      <c r="F153" t="s">
        <v>1363</v>
      </c>
      <c r="G153" t="s">
        <v>2199</v>
      </c>
      <c r="H153" t="s">
        <v>560</v>
      </c>
      <c r="I153">
        <v>0</v>
      </c>
      <c r="J153">
        <v>35</v>
      </c>
      <c r="K153">
        <f t="shared" si="8"/>
        <v>19.75</v>
      </c>
      <c r="L153">
        <f t="shared" si="9"/>
        <v>19.75</v>
      </c>
      <c r="M153">
        <f t="shared" si="10"/>
        <v>0</v>
      </c>
      <c r="N153">
        <v>6.3</v>
      </c>
      <c r="O153">
        <v>0</v>
      </c>
      <c r="P153">
        <v>53</v>
      </c>
      <c r="Q153">
        <v>20.9</v>
      </c>
      <c r="R153">
        <v>6</v>
      </c>
      <c r="S153">
        <v>14.88</v>
      </c>
      <c r="T153">
        <v>-14.88</v>
      </c>
      <c r="U153">
        <v>1.78</v>
      </c>
      <c r="V153">
        <v>39.97</v>
      </c>
      <c r="W153">
        <v>9.1</v>
      </c>
      <c r="X153">
        <v>21.77</v>
      </c>
      <c r="Y153">
        <v>5</v>
      </c>
      <c r="Z153">
        <v>3.19</v>
      </c>
      <c r="AA153">
        <v>-2.25</v>
      </c>
      <c r="AB153">
        <v>12.3</v>
      </c>
      <c r="AC153">
        <v>-67.540000000000006</v>
      </c>
      <c r="AD153">
        <v>160</v>
      </c>
      <c r="AE153">
        <v>1460</v>
      </c>
      <c r="AF153">
        <v>13.4</v>
      </c>
      <c r="AG153">
        <v>0.15</v>
      </c>
      <c r="AH153">
        <v>17.09</v>
      </c>
      <c r="AI153">
        <v>17.89</v>
      </c>
      <c r="AJ153">
        <v>60</v>
      </c>
      <c r="AK153">
        <v>9</v>
      </c>
      <c r="AL153">
        <v>9</v>
      </c>
      <c r="AM153">
        <v>0.41</v>
      </c>
      <c r="AN153">
        <v>96</v>
      </c>
      <c r="AO153">
        <v>99.72</v>
      </c>
      <c r="AP153">
        <v>305156.90000000002</v>
      </c>
      <c r="AQ153">
        <v>305156.90000000002</v>
      </c>
      <c r="AR153" t="s">
        <v>1060</v>
      </c>
      <c r="AT153" s="6">
        <f t="shared" si="11"/>
        <v>0</v>
      </c>
    </row>
    <row r="154" spans="1:46" x14ac:dyDescent="0.55000000000000004">
      <c r="A154">
        <v>0</v>
      </c>
      <c r="B154">
        <v>6</v>
      </c>
      <c r="C154">
        <v>119.07</v>
      </c>
      <c r="D154">
        <v>7.8</v>
      </c>
      <c r="E154" t="s">
        <v>2198</v>
      </c>
      <c r="F154" t="s">
        <v>2242</v>
      </c>
      <c r="G154" t="s">
        <v>2199</v>
      </c>
      <c r="H154" t="s">
        <v>2368</v>
      </c>
      <c r="I154">
        <v>0</v>
      </c>
      <c r="J154">
        <v>35</v>
      </c>
      <c r="K154">
        <f t="shared" si="8"/>
        <v>15.56</v>
      </c>
      <c r="L154">
        <f t="shared" si="9"/>
        <v>14.28</v>
      </c>
      <c r="M154">
        <f t="shared" si="10"/>
        <v>1.2800000000000011</v>
      </c>
      <c r="N154">
        <v>6.3</v>
      </c>
      <c r="O154">
        <v>0</v>
      </c>
      <c r="P154">
        <v>63</v>
      </c>
      <c r="Q154">
        <v>17.399999999999999</v>
      </c>
      <c r="R154">
        <v>6</v>
      </c>
      <c r="S154">
        <v>13.03</v>
      </c>
      <c r="T154">
        <v>-13.03</v>
      </c>
      <c r="U154">
        <v>3.4</v>
      </c>
      <c r="V154">
        <v>76.2</v>
      </c>
      <c r="W154">
        <v>17.350000000000001</v>
      </c>
      <c r="X154">
        <v>41.5</v>
      </c>
      <c r="Y154">
        <v>9.5299999999999994</v>
      </c>
      <c r="Z154">
        <v>21.25</v>
      </c>
      <c r="AA154">
        <v>-1.72</v>
      </c>
      <c r="AB154">
        <v>11.24</v>
      </c>
      <c r="AC154">
        <v>-85.34</v>
      </c>
      <c r="AD154">
        <v>160</v>
      </c>
      <c r="AE154">
        <v>1460</v>
      </c>
      <c r="AF154">
        <v>13.4</v>
      </c>
      <c r="AG154">
        <v>0.15</v>
      </c>
      <c r="AH154">
        <v>5.58</v>
      </c>
      <c r="AI154">
        <v>151.4</v>
      </c>
      <c r="AJ154">
        <v>60</v>
      </c>
      <c r="AK154">
        <v>9</v>
      </c>
      <c r="AL154">
        <v>9</v>
      </c>
      <c r="AM154">
        <v>0.05</v>
      </c>
      <c r="AN154">
        <v>96</v>
      </c>
      <c r="AO154">
        <v>96.44</v>
      </c>
      <c r="AP154">
        <v>211360.69</v>
      </c>
      <c r="AQ154">
        <v>172101.2</v>
      </c>
      <c r="AR154" t="s">
        <v>1061</v>
      </c>
      <c r="AT154" s="6">
        <f t="shared" si="11"/>
        <v>2.240838470319634</v>
      </c>
    </row>
    <row r="155" spans="1:46" x14ac:dyDescent="0.55000000000000004">
      <c r="A155">
        <v>0</v>
      </c>
      <c r="B155">
        <v>6</v>
      </c>
      <c r="C155">
        <v>87.69</v>
      </c>
      <c r="D155">
        <v>7.8</v>
      </c>
      <c r="E155" t="s">
        <v>2198</v>
      </c>
      <c r="F155" t="s">
        <v>2243</v>
      </c>
      <c r="G155" t="s">
        <v>2199</v>
      </c>
      <c r="H155" t="s">
        <v>2369</v>
      </c>
      <c r="I155">
        <v>0</v>
      </c>
      <c r="J155">
        <v>35</v>
      </c>
      <c r="K155">
        <f t="shared" si="8"/>
        <v>16.7</v>
      </c>
      <c r="L155">
        <f t="shared" si="9"/>
        <v>14.28</v>
      </c>
      <c r="M155">
        <f t="shared" si="10"/>
        <v>2.42</v>
      </c>
      <c r="N155">
        <v>6.3</v>
      </c>
      <c r="O155">
        <v>0</v>
      </c>
      <c r="P155">
        <v>66</v>
      </c>
      <c r="Q155">
        <v>16.8</v>
      </c>
      <c r="R155">
        <v>6</v>
      </c>
      <c r="S155">
        <v>12.83</v>
      </c>
      <c r="T155">
        <v>-12.83</v>
      </c>
      <c r="U155">
        <v>2.5099999999999998</v>
      </c>
      <c r="V155">
        <v>56.12</v>
      </c>
      <c r="W155">
        <v>12.78</v>
      </c>
      <c r="X155">
        <v>30.57</v>
      </c>
      <c r="Y155">
        <v>7.02</v>
      </c>
      <c r="Z155">
        <v>22.81</v>
      </c>
      <c r="AA155">
        <v>-1.97</v>
      </c>
      <c r="AB155">
        <v>11.74</v>
      </c>
      <c r="AC155">
        <v>-87.79</v>
      </c>
      <c r="AD155">
        <v>160</v>
      </c>
      <c r="AE155">
        <v>1460</v>
      </c>
      <c r="AF155">
        <v>13.4</v>
      </c>
      <c r="AG155">
        <v>0.15</v>
      </c>
      <c r="AH155">
        <v>8.9</v>
      </c>
      <c r="AI155">
        <v>151.4</v>
      </c>
      <c r="AJ155">
        <v>60</v>
      </c>
      <c r="AK155">
        <v>9</v>
      </c>
      <c r="AL155">
        <v>9</v>
      </c>
      <c r="AM155">
        <v>0.05</v>
      </c>
      <c r="AN155">
        <v>96</v>
      </c>
      <c r="AO155">
        <v>96.44</v>
      </c>
      <c r="AP155">
        <v>236881.25</v>
      </c>
      <c r="AQ155">
        <v>172101.2</v>
      </c>
      <c r="AR155" t="s">
        <v>1062</v>
      </c>
      <c r="AT155" s="6">
        <f t="shared" si="11"/>
        <v>3.6974914383561637</v>
      </c>
    </row>
    <row r="156" spans="1:46" x14ac:dyDescent="0.55000000000000004">
      <c r="A156">
        <v>0</v>
      </c>
      <c r="B156">
        <v>6</v>
      </c>
      <c r="C156">
        <v>239.01</v>
      </c>
      <c r="D156">
        <v>7.8</v>
      </c>
      <c r="E156" t="s">
        <v>2198</v>
      </c>
      <c r="F156" t="s">
        <v>2244</v>
      </c>
      <c r="G156" t="s">
        <v>2199</v>
      </c>
      <c r="H156" t="s">
        <v>2370</v>
      </c>
      <c r="I156">
        <v>0</v>
      </c>
      <c r="J156">
        <v>35</v>
      </c>
      <c r="K156">
        <f t="shared" si="8"/>
        <v>14.41</v>
      </c>
      <c r="L156">
        <f t="shared" si="9"/>
        <v>14.28</v>
      </c>
      <c r="M156">
        <f t="shared" si="10"/>
        <v>0.13000000000000078</v>
      </c>
      <c r="N156">
        <v>6.3</v>
      </c>
      <c r="O156">
        <v>0</v>
      </c>
      <c r="P156">
        <v>59</v>
      </c>
      <c r="Q156">
        <v>18.100000000000001</v>
      </c>
      <c r="R156">
        <v>6</v>
      </c>
      <c r="S156">
        <v>13.18</v>
      </c>
      <c r="T156">
        <v>-13.18</v>
      </c>
      <c r="U156">
        <v>6.83</v>
      </c>
      <c r="V156">
        <v>152.96</v>
      </c>
      <c r="W156">
        <v>34.83</v>
      </c>
      <c r="X156">
        <v>83.31</v>
      </c>
      <c r="Y156">
        <v>19.12</v>
      </c>
      <c r="Z156">
        <v>19.670000000000002</v>
      </c>
      <c r="AA156">
        <v>-1.1399999999999999</v>
      </c>
      <c r="AB156">
        <v>10.09</v>
      </c>
      <c r="AC156">
        <v>-83.56</v>
      </c>
      <c r="AD156">
        <v>160</v>
      </c>
      <c r="AE156">
        <v>1460</v>
      </c>
      <c r="AF156">
        <v>13.4</v>
      </c>
      <c r="AG156">
        <v>0.15</v>
      </c>
      <c r="AH156">
        <v>2.2999999999999998</v>
      </c>
      <c r="AI156">
        <v>151.4</v>
      </c>
      <c r="AJ156">
        <v>60</v>
      </c>
      <c r="AK156">
        <v>9</v>
      </c>
      <c r="AL156">
        <v>9</v>
      </c>
      <c r="AM156">
        <v>0.05</v>
      </c>
      <c r="AN156">
        <v>96</v>
      </c>
      <c r="AO156">
        <v>96.44</v>
      </c>
      <c r="AP156">
        <v>185444.63</v>
      </c>
      <c r="AQ156">
        <v>172101.2</v>
      </c>
      <c r="AR156" t="s">
        <v>1063</v>
      </c>
      <c r="AT156" s="6">
        <f t="shared" si="11"/>
        <v>0.76161130136986266</v>
      </c>
    </row>
    <row r="157" spans="1:46" x14ac:dyDescent="0.55000000000000004">
      <c r="A157">
        <v>0</v>
      </c>
      <c r="B157">
        <v>6</v>
      </c>
      <c r="C157">
        <v>70.63</v>
      </c>
      <c r="D157">
        <v>7.8</v>
      </c>
      <c r="E157" t="s">
        <v>2198</v>
      </c>
      <c r="F157" t="s">
        <v>2245</v>
      </c>
      <c r="G157" t="s">
        <v>2199</v>
      </c>
      <c r="H157" t="s">
        <v>2371</v>
      </c>
      <c r="I157">
        <v>0</v>
      </c>
      <c r="J157">
        <v>35</v>
      </c>
      <c r="K157">
        <f t="shared" si="8"/>
        <v>18.2</v>
      </c>
      <c r="L157">
        <f t="shared" si="9"/>
        <v>14.28</v>
      </c>
      <c r="M157">
        <f t="shared" si="10"/>
        <v>3.92</v>
      </c>
      <c r="N157">
        <v>6.3</v>
      </c>
      <c r="O157">
        <v>0</v>
      </c>
      <c r="P157">
        <v>64</v>
      </c>
      <c r="Q157">
        <v>17.8</v>
      </c>
      <c r="R157">
        <v>6</v>
      </c>
      <c r="S157">
        <v>13.51</v>
      </c>
      <c r="T157">
        <v>-13.51</v>
      </c>
      <c r="U157">
        <v>2.02</v>
      </c>
      <c r="V157">
        <v>45.2</v>
      </c>
      <c r="W157">
        <v>10.29</v>
      </c>
      <c r="X157">
        <v>24.62</v>
      </c>
      <c r="Y157">
        <v>5.65</v>
      </c>
      <c r="Z157">
        <v>24.85</v>
      </c>
      <c r="AA157">
        <v>-2.15</v>
      </c>
      <c r="AB157">
        <v>12.1</v>
      </c>
      <c r="AC157">
        <v>-79.849999999999994</v>
      </c>
      <c r="AD157">
        <v>160</v>
      </c>
      <c r="AE157">
        <v>1460</v>
      </c>
      <c r="AF157">
        <v>13.4</v>
      </c>
      <c r="AG157">
        <v>0.15</v>
      </c>
      <c r="AH157">
        <v>13.17</v>
      </c>
      <c r="AI157">
        <v>151.4</v>
      </c>
      <c r="AJ157">
        <v>60</v>
      </c>
      <c r="AK157">
        <v>9</v>
      </c>
      <c r="AL157">
        <v>9</v>
      </c>
      <c r="AM157">
        <v>0.05</v>
      </c>
      <c r="AN157">
        <v>96</v>
      </c>
      <c r="AO157">
        <v>96.44</v>
      </c>
      <c r="AP157">
        <v>270521.83</v>
      </c>
      <c r="AQ157">
        <v>172101.2</v>
      </c>
      <c r="AR157" t="s">
        <v>1064</v>
      </c>
      <c r="AT157" s="6">
        <f t="shared" si="11"/>
        <v>5.6176158675799091</v>
      </c>
    </row>
    <row r="158" spans="1:46" x14ac:dyDescent="0.55000000000000004">
      <c r="A158">
        <v>0</v>
      </c>
      <c r="B158">
        <v>6</v>
      </c>
      <c r="C158">
        <v>64.22</v>
      </c>
      <c r="D158">
        <v>7.8</v>
      </c>
      <c r="E158" t="s">
        <v>2199</v>
      </c>
      <c r="F158" t="s">
        <v>2246</v>
      </c>
      <c r="G158" t="s">
        <v>2199</v>
      </c>
      <c r="H158" t="s">
        <v>2372</v>
      </c>
      <c r="I158">
        <v>0</v>
      </c>
      <c r="J158">
        <v>35</v>
      </c>
      <c r="K158">
        <f t="shared" si="8"/>
        <v>19.309999999999999</v>
      </c>
      <c r="L158">
        <f t="shared" si="9"/>
        <v>19.309999999999999</v>
      </c>
      <c r="M158">
        <f t="shared" si="10"/>
        <v>0</v>
      </c>
      <c r="N158">
        <v>6.3</v>
      </c>
      <c r="O158">
        <v>0</v>
      </c>
      <c r="P158">
        <v>57</v>
      </c>
      <c r="Q158">
        <v>19.7</v>
      </c>
      <c r="R158">
        <v>6</v>
      </c>
      <c r="S158">
        <v>14.36</v>
      </c>
      <c r="T158">
        <v>-14.36</v>
      </c>
      <c r="U158">
        <v>1.83</v>
      </c>
      <c r="V158">
        <v>41.1</v>
      </c>
      <c r="W158">
        <v>9.36</v>
      </c>
      <c r="X158">
        <v>22.38</v>
      </c>
      <c r="Y158">
        <v>5.14</v>
      </c>
      <c r="Z158">
        <v>3.35</v>
      </c>
      <c r="AA158">
        <v>-2.23</v>
      </c>
      <c r="AB158">
        <v>12.26</v>
      </c>
      <c r="AC158">
        <v>-71.81</v>
      </c>
      <c r="AD158">
        <v>160</v>
      </c>
      <c r="AE158">
        <v>1460</v>
      </c>
      <c r="AF158">
        <v>13.4</v>
      </c>
      <c r="AG158">
        <v>0.15</v>
      </c>
      <c r="AH158">
        <v>16.059999999999999</v>
      </c>
      <c r="AI158">
        <v>19.23</v>
      </c>
      <c r="AJ158">
        <v>60</v>
      </c>
      <c r="AK158">
        <v>9</v>
      </c>
      <c r="AL158">
        <v>9</v>
      </c>
      <c r="AM158">
        <v>0.38</v>
      </c>
      <c r="AN158">
        <v>96</v>
      </c>
      <c r="AO158">
        <v>99.46</v>
      </c>
      <c r="AP158">
        <v>295447.53999999998</v>
      </c>
      <c r="AQ158">
        <v>295447.53999999998</v>
      </c>
      <c r="AR158" t="s">
        <v>1065</v>
      </c>
      <c r="AT158" s="6">
        <f t="shared" si="11"/>
        <v>0</v>
      </c>
    </row>
    <row r="159" spans="1:46" x14ac:dyDescent="0.55000000000000004">
      <c r="A159">
        <v>0</v>
      </c>
      <c r="B159">
        <v>6</v>
      </c>
      <c r="C159">
        <v>162.63999999999999</v>
      </c>
      <c r="D159">
        <v>7.8</v>
      </c>
      <c r="E159" t="s">
        <v>2198</v>
      </c>
      <c r="F159" t="s">
        <v>2247</v>
      </c>
      <c r="G159" t="s">
        <v>2199</v>
      </c>
      <c r="H159" t="s">
        <v>2373</v>
      </c>
      <c r="I159">
        <v>0</v>
      </c>
      <c r="J159">
        <v>35</v>
      </c>
      <c r="K159">
        <f t="shared" si="8"/>
        <v>14.9</v>
      </c>
      <c r="L159">
        <f t="shared" si="9"/>
        <v>14.28</v>
      </c>
      <c r="M159">
        <f t="shared" si="10"/>
        <v>0.62000000000000099</v>
      </c>
      <c r="N159">
        <v>6.3</v>
      </c>
      <c r="O159">
        <v>0</v>
      </c>
      <c r="P159">
        <v>60</v>
      </c>
      <c r="Q159">
        <v>17.8</v>
      </c>
      <c r="R159">
        <v>6</v>
      </c>
      <c r="S159">
        <v>13.03</v>
      </c>
      <c r="T159">
        <v>-13.03</v>
      </c>
      <c r="U159">
        <v>4.6500000000000004</v>
      </c>
      <c r="V159">
        <v>104.09</v>
      </c>
      <c r="W159">
        <v>23.7</v>
      </c>
      <c r="X159">
        <v>56.69</v>
      </c>
      <c r="Y159">
        <v>13.01</v>
      </c>
      <c r="Z159">
        <v>20.350000000000001</v>
      </c>
      <c r="AA159">
        <v>-1.46</v>
      </c>
      <c r="AB159">
        <v>10.72</v>
      </c>
      <c r="AC159">
        <v>-85.31</v>
      </c>
      <c r="AD159">
        <v>160</v>
      </c>
      <c r="AE159">
        <v>1460</v>
      </c>
      <c r="AF159">
        <v>13.4</v>
      </c>
      <c r="AG159">
        <v>0.15</v>
      </c>
      <c r="AH159">
        <v>3.68</v>
      </c>
      <c r="AI159">
        <v>151.4</v>
      </c>
      <c r="AJ159">
        <v>60</v>
      </c>
      <c r="AK159">
        <v>9</v>
      </c>
      <c r="AL159">
        <v>9</v>
      </c>
      <c r="AM159">
        <v>0.05</v>
      </c>
      <c r="AN159">
        <v>96</v>
      </c>
      <c r="AO159">
        <v>96.44</v>
      </c>
      <c r="AP159">
        <v>196476.2</v>
      </c>
      <c r="AQ159">
        <v>172101.2</v>
      </c>
      <c r="AR159" t="s">
        <v>1066</v>
      </c>
      <c r="AT159" s="6">
        <f t="shared" si="11"/>
        <v>1.3912671232876712</v>
      </c>
    </row>
    <row r="160" spans="1:46" x14ac:dyDescent="0.55000000000000004">
      <c r="A160">
        <v>0</v>
      </c>
      <c r="B160">
        <v>6</v>
      </c>
      <c r="C160">
        <v>61.71</v>
      </c>
      <c r="D160">
        <v>7.8</v>
      </c>
      <c r="E160" t="s">
        <v>2198</v>
      </c>
      <c r="F160" t="s">
        <v>2248</v>
      </c>
      <c r="G160" t="s">
        <v>2199</v>
      </c>
      <c r="H160" t="s">
        <v>2374</v>
      </c>
      <c r="I160">
        <v>0</v>
      </c>
      <c r="J160">
        <v>35</v>
      </c>
      <c r="K160">
        <f t="shared" si="8"/>
        <v>19.95</v>
      </c>
      <c r="L160">
        <f t="shared" si="9"/>
        <v>14.28</v>
      </c>
      <c r="M160">
        <f t="shared" si="10"/>
        <v>5.67</v>
      </c>
      <c r="N160">
        <v>6.3</v>
      </c>
      <c r="O160">
        <v>0</v>
      </c>
      <c r="P160">
        <v>48</v>
      </c>
      <c r="Q160">
        <v>22</v>
      </c>
      <c r="R160">
        <v>6</v>
      </c>
      <c r="S160">
        <v>15.13</v>
      </c>
      <c r="T160">
        <v>-15.13</v>
      </c>
      <c r="U160">
        <v>1.76</v>
      </c>
      <c r="V160">
        <v>39.5</v>
      </c>
      <c r="W160">
        <v>8.99</v>
      </c>
      <c r="X160">
        <v>21.51</v>
      </c>
      <c r="Y160">
        <v>4.9400000000000004</v>
      </c>
      <c r="Z160">
        <v>27.24</v>
      </c>
      <c r="AA160">
        <v>-2.2599999999999998</v>
      </c>
      <c r="AB160">
        <v>12.32</v>
      </c>
      <c r="AC160">
        <v>-65.7</v>
      </c>
      <c r="AD160">
        <v>160</v>
      </c>
      <c r="AE160">
        <v>1460</v>
      </c>
      <c r="AF160">
        <v>13.4</v>
      </c>
      <c r="AG160">
        <v>0.15</v>
      </c>
      <c r="AH160">
        <v>17.559999999999999</v>
      </c>
      <c r="AI160">
        <v>151.4</v>
      </c>
      <c r="AJ160">
        <v>60</v>
      </c>
      <c r="AK160">
        <v>9</v>
      </c>
      <c r="AL160">
        <v>9</v>
      </c>
      <c r="AM160">
        <v>0.05</v>
      </c>
      <c r="AN160">
        <v>96</v>
      </c>
      <c r="AO160">
        <v>96.44</v>
      </c>
      <c r="AP160">
        <v>309771.89</v>
      </c>
      <c r="AQ160">
        <v>172101.2</v>
      </c>
      <c r="AR160" t="s">
        <v>1067</v>
      </c>
      <c r="AT160" s="6">
        <f t="shared" si="11"/>
        <v>7.8579160958904115</v>
      </c>
    </row>
    <row r="161" spans="1:46" x14ac:dyDescent="0.55000000000000004">
      <c r="A161">
        <v>0</v>
      </c>
      <c r="B161">
        <v>6</v>
      </c>
      <c r="C161">
        <v>65.48</v>
      </c>
      <c r="D161">
        <v>7.8</v>
      </c>
      <c r="E161" t="s">
        <v>2198</v>
      </c>
      <c r="F161" t="s">
        <v>2249</v>
      </c>
      <c r="G161" t="s">
        <v>2199</v>
      </c>
      <c r="H161" t="s">
        <v>2375</v>
      </c>
      <c r="I161">
        <v>0</v>
      </c>
      <c r="J161">
        <v>35</v>
      </c>
      <c r="K161">
        <f t="shared" si="8"/>
        <v>19.05</v>
      </c>
      <c r="L161">
        <f t="shared" si="9"/>
        <v>14.28</v>
      </c>
      <c r="M161">
        <f t="shared" si="10"/>
        <v>4.7700000000000014</v>
      </c>
      <c r="N161">
        <v>6.3</v>
      </c>
      <c r="O161">
        <v>0</v>
      </c>
      <c r="P161">
        <v>59</v>
      </c>
      <c r="Q161">
        <v>19.100000000000001</v>
      </c>
      <c r="R161">
        <v>6</v>
      </c>
      <c r="S161">
        <v>14.08</v>
      </c>
      <c r="T161">
        <v>-14.08</v>
      </c>
      <c r="U161">
        <v>1.87</v>
      </c>
      <c r="V161">
        <v>41.91</v>
      </c>
      <c r="W161">
        <v>9.5399999999999991</v>
      </c>
      <c r="X161">
        <v>22.82</v>
      </c>
      <c r="Y161">
        <v>5.24</v>
      </c>
      <c r="Z161">
        <v>26.01</v>
      </c>
      <c r="AA161">
        <v>-2.21</v>
      </c>
      <c r="AB161">
        <v>12.22</v>
      </c>
      <c r="AC161">
        <v>-74.3</v>
      </c>
      <c r="AD161">
        <v>160</v>
      </c>
      <c r="AE161">
        <v>1460</v>
      </c>
      <c r="AF161">
        <v>13.4</v>
      </c>
      <c r="AG161">
        <v>0.15</v>
      </c>
      <c r="AH161">
        <v>15.39</v>
      </c>
      <c r="AI161">
        <v>151.4</v>
      </c>
      <c r="AJ161">
        <v>60</v>
      </c>
      <c r="AK161">
        <v>9</v>
      </c>
      <c r="AL161">
        <v>9</v>
      </c>
      <c r="AM161">
        <v>0.05</v>
      </c>
      <c r="AN161">
        <v>96</v>
      </c>
      <c r="AO161">
        <v>96.44</v>
      </c>
      <c r="AP161">
        <v>289448.90999999997</v>
      </c>
      <c r="AQ161">
        <v>172101.2</v>
      </c>
      <c r="AR161" t="s">
        <v>1068</v>
      </c>
      <c r="AT161" s="6">
        <f t="shared" si="11"/>
        <v>6.6979286529680344</v>
      </c>
    </row>
    <row r="162" spans="1:46" x14ac:dyDescent="0.55000000000000004">
      <c r="A162">
        <v>0</v>
      </c>
      <c r="B162">
        <v>6</v>
      </c>
      <c r="C162">
        <v>167.5</v>
      </c>
      <c r="D162">
        <v>7.8</v>
      </c>
      <c r="E162" t="s">
        <v>2198</v>
      </c>
      <c r="F162" t="s">
        <v>2250</v>
      </c>
      <c r="G162" t="s">
        <v>2199</v>
      </c>
      <c r="H162" t="s">
        <v>2376</v>
      </c>
      <c r="I162">
        <v>0</v>
      </c>
      <c r="J162">
        <v>35</v>
      </c>
      <c r="K162">
        <f t="shared" si="8"/>
        <v>14.85</v>
      </c>
      <c r="L162">
        <f t="shared" si="9"/>
        <v>14.28</v>
      </c>
      <c r="M162">
        <f t="shared" si="10"/>
        <v>0.57000000000000028</v>
      </c>
      <c r="N162">
        <v>6.3</v>
      </c>
      <c r="O162">
        <v>0</v>
      </c>
      <c r="P162">
        <v>43</v>
      </c>
      <c r="Q162">
        <v>20.7</v>
      </c>
      <c r="R162">
        <v>6</v>
      </c>
      <c r="S162">
        <v>13.32</v>
      </c>
      <c r="T162">
        <v>-13.32</v>
      </c>
      <c r="U162">
        <v>4.79</v>
      </c>
      <c r="V162">
        <v>107.2</v>
      </c>
      <c r="W162">
        <v>24.41</v>
      </c>
      <c r="X162">
        <v>58.38</v>
      </c>
      <c r="Y162">
        <v>13.4</v>
      </c>
      <c r="Z162">
        <v>20.28</v>
      </c>
      <c r="AA162">
        <v>-1.44</v>
      </c>
      <c r="AB162">
        <v>10.67</v>
      </c>
      <c r="AC162">
        <v>-81.94</v>
      </c>
      <c r="AD162">
        <v>160</v>
      </c>
      <c r="AE162">
        <v>1460</v>
      </c>
      <c r="AF162">
        <v>13.4</v>
      </c>
      <c r="AG162">
        <v>0.15</v>
      </c>
      <c r="AH162">
        <v>3.54</v>
      </c>
      <c r="AI162">
        <v>151.4</v>
      </c>
      <c r="AJ162">
        <v>60</v>
      </c>
      <c r="AK162">
        <v>9</v>
      </c>
      <c r="AL162">
        <v>9</v>
      </c>
      <c r="AM162">
        <v>0.05</v>
      </c>
      <c r="AN162">
        <v>96</v>
      </c>
      <c r="AO162">
        <v>96.44</v>
      </c>
      <c r="AP162">
        <v>195408.98</v>
      </c>
      <c r="AQ162">
        <v>172101.2</v>
      </c>
      <c r="AR162" t="s">
        <v>1069</v>
      </c>
      <c r="AT162" s="6">
        <f t="shared" si="11"/>
        <v>1.3303527397260273</v>
      </c>
    </row>
    <row r="163" spans="1:46" x14ac:dyDescent="0.55000000000000004">
      <c r="A163">
        <v>0</v>
      </c>
      <c r="B163">
        <v>6</v>
      </c>
      <c r="C163">
        <v>274.36</v>
      </c>
      <c r="D163">
        <v>7.8</v>
      </c>
      <c r="E163" t="s">
        <v>2198</v>
      </c>
      <c r="F163" t="s">
        <v>2251</v>
      </c>
      <c r="G163" t="s">
        <v>2199</v>
      </c>
      <c r="H163" t="s">
        <v>2377</v>
      </c>
      <c r="I163">
        <v>0</v>
      </c>
      <c r="J163">
        <v>35</v>
      </c>
      <c r="K163">
        <f t="shared" si="8"/>
        <v>14.28</v>
      </c>
      <c r="L163">
        <f t="shared" si="9"/>
        <v>14.28</v>
      </c>
      <c r="M163">
        <f t="shared" si="10"/>
        <v>0</v>
      </c>
      <c r="N163">
        <v>6.3</v>
      </c>
      <c r="O163">
        <v>0</v>
      </c>
      <c r="P163">
        <v>49</v>
      </c>
      <c r="Q163">
        <v>18.600000000000001</v>
      </c>
      <c r="R163">
        <v>6</v>
      </c>
      <c r="S163">
        <v>12.37</v>
      </c>
      <c r="T163">
        <v>-12.37</v>
      </c>
      <c r="U163">
        <v>7.84</v>
      </c>
      <c r="V163">
        <v>175.59</v>
      </c>
      <c r="W163">
        <v>39.979999999999997</v>
      </c>
      <c r="X163">
        <v>95.64</v>
      </c>
      <c r="Y163">
        <v>21.95</v>
      </c>
      <c r="Z163">
        <v>19.510000000000002</v>
      </c>
      <c r="AA163">
        <v>-1.03</v>
      </c>
      <c r="AB163">
        <v>9.86</v>
      </c>
      <c r="AC163">
        <v>-94.23</v>
      </c>
      <c r="AD163">
        <v>160</v>
      </c>
      <c r="AE163">
        <v>1460</v>
      </c>
      <c r="AF163">
        <v>13.4</v>
      </c>
      <c r="AG163">
        <v>0.15</v>
      </c>
      <c r="AH163">
        <v>1.96</v>
      </c>
      <c r="AI163">
        <v>151.4</v>
      </c>
      <c r="AJ163">
        <v>60</v>
      </c>
      <c r="AK163">
        <v>9</v>
      </c>
      <c r="AL163">
        <v>9</v>
      </c>
      <c r="AM163">
        <v>0.05</v>
      </c>
      <c r="AN163">
        <v>96</v>
      </c>
      <c r="AO163">
        <v>96.44</v>
      </c>
      <c r="AP163">
        <v>182671.22</v>
      </c>
      <c r="AQ163">
        <v>172101.2</v>
      </c>
      <c r="AR163" t="s">
        <v>1070</v>
      </c>
      <c r="AT163" s="6">
        <f t="shared" si="11"/>
        <v>0.60331164383561586</v>
      </c>
    </row>
    <row r="164" spans="1:46" x14ac:dyDescent="0.55000000000000004">
      <c r="A164">
        <v>0</v>
      </c>
      <c r="B164">
        <v>6</v>
      </c>
      <c r="C164">
        <v>109.3</v>
      </c>
      <c r="D164">
        <v>7.8</v>
      </c>
      <c r="E164" t="s">
        <v>2198</v>
      </c>
      <c r="F164" t="s">
        <v>2252</v>
      </c>
      <c r="G164" t="s">
        <v>2199</v>
      </c>
      <c r="H164" t="s">
        <v>2378</v>
      </c>
      <c r="I164">
        <v>0</v>
      </c>
      <c r="J164">
        <v>35</v>
      </c>
      <c r="K164">
        <f t="shared" si="8"/>
        <v>15.82</v>
      </c>
      <c r="L164">
        <f t="shared" si="9"/>
        <v>14.28</v>
      </c>
      <c r="M164">
        <f t="shared" si="10"/>
        <v>1.5400000000000009</v>
      </c>
      <c r="N164">
        <v>6.3</v>
      </c>
      <c r="O164">
        <v>0</v>
      </c>
      <c r="P164">
        <v>54</v>
      </c>
      <c r="Q164">
        <v>16.5</v>
      </c>
      <c r="R164">
        <v>6</v>
      </c>
      <c r="S164">
        <v>11.16</v>
      </c>
      <c r="T164">
        <v>-11.16</v>
      </c>
      <c r="U164">
        <v>3.12</v>
      </c>
      <c r="V164">
        <v>69.95</v>
      </c>
      <c r="W164">
        <v>15.93</v>
      </c>
      <c r="X164">
        <v>38.1</v>
      </c>
      <c r="Y164">
        <v>8.74</v>
      </c>
      <c r="Z164">
        <v>21.6</v>
      </c>
      <c r="AA164">
        <v>-1.79</v>
      </c>
      <c r="AB164">
        <v>11.38</v>
      </c>
      <c r="AC164">
        <v>-116.2</v>
      </c>
      <c r="AD164">
        <v>160</v>
      </c>
      <c r="AE164">
        <v>1460</v>
      </c>
      <c r="AF164">
        <v>13.4</v>
      </c>
      <c r="AG164">
        <v>0.15</v>
      </c>
      <c r="AH164">
        <v>6.31</v>
      </c>
      <c r="AI164">
        <v>151.4</v>
      </c>
      <c r="AJ164">
        <v>60</v>
      </c>
      <c r="AK164">
        <v>9</v>
      </c>
      <c r="AL164">
        <v>9</v>
      </c>
      <c r="AM164">
        <v>0.05</v>
      </c>
      <c r="AN164">
        <v>96</v>
      </c>
      <c r="AO164">
        <v>96.44</v>
      </c>
      <c r="AP164">
        <v>217016.69</v>
      </c>
      <c r="AQ164">
        <v>172101.2</v>
      </c>
      <c r="AR164" t="s">
        <v>1071</v>
      </c>
      <c r="AT164" s="6">
        <f t="shared" si="11"/>
        <v>2.5636695205479447</v>
      </c>
    </row>
    <row r="165" spans="1:46" x14ac:dyDescent="0.55000000000000004">
      <c r="A165">
        <v>0</v>
      </c>
      <c r="B165">
        <v>6</v>
      </c>
      <c r="C165">
        <v>170.16</v>
      </c>
      <c r="D165">
        <v>7.8</v>
      </c>
      <c r="E165" t="s">
        <v>2198</v>
      </c>
      <c r="F165" t="s">
        <v>2253</v>
      </c>
      <c r="G165" t="s">
        <v>2199</v>
      </c>
      <c r="H165" t="s">
        <v>2379</v>
      </c>
      <c r="I165">
        <v>0</v>
      </c>
      <c r="J165">
        <v>35</v>
      </c>
      <c r="K165">
        <f t="shared" si="8"/>
        <v>14.83</v>
      </c>
      <c r="L165">
        <f t="shared" si="9"/>
        <v>14.28</v>
      </c>
      <c r="M165">
        <f t="shared" si="10"/>
        <v>0.55000000000000071</v>
      </c>
      <c r="N165">
        <v>6.3</v>
      </c>
      <c r="O165">
        <v>0</v>
      </c>
      <c r="P165">
        <v>49</v>
      </c>
      <c r="Q165">
        <v>18.2</v>
      </c>
      <c r="R165">
        <v>6</v>
      </c>
      <c r="S165">
        <v>12.03</v>
      </c>
      <c r="T165">
        <v>-12.03</v>
      </c>
      <c r="U165">
        <v>4.8600000000000003</v>
      </c>
      <c r="V165">
        <v>108.9</v>
      </c>
      <c r="W165">
        <v>24.8</v>
      </c>
      <c r="X165">
        <v>59.31</v>
      </c>
      <c r="Y165">
        <v>13.61</v>
      </c>
      <c r="Z165">
        <v>20.25</v>
      </c>
      <c r="AA165">
        <v>-1.42</v>
      </c>
      <c r="AB165">
        <v>10.65</v>
      </c>
      <c r="AC165">
        <v>-99.58</v>
      </c>
      <c r="AD165">
        <v>160</v>
      </c>
      <c r="AE165">
        <v>1460</v>
      </c>
      <c r="AF165">
        <v>13.4</v>
      </c>
      <c r="AG165">
        <v>0.15</v>
      </c>
      <c r="AH165">
        <v>3.47</v>
      </c>
      <c r="AI165">
        <v>151.4</v>
      </c>
      <c r="AJ165">
        <v>60</v>
      </c>
      <c r="AK165">
        <v>9</v>
      </c>
      <c r="AL165">
        <v>9</v>
      </c>
      <c r="AM165">
        <v>0.05</v>
      </c>
      <c r="AN165">
        <v>96</v>
      </c>
      <c r="AO165">
        <v>96.44</v>
      </c>
      <c r="AP165">
        <v>194854.47</v>
      </c>
      <c r="AQ165">
        <v>172101.2</v>
      </c>
      <c r="AR165" t="s">
        <v>1072</v>
      </c>
      <c r="AT165" s="6">
        <f t="shared" si="11"/>
        <v>1.2987026255707756</v>
      </c>
    </row>
    <row r="166" spans="1:46" x14ac:dyDescent="0.55000000000000004">
      <c r="A166">
        <v>0</v>
      </c>
      <c r="B166">
        <v>6</v>
      </c>
      <c r="C166">
        <v>119.57</v>
      </c>
      <c r="D166">
        <v>7.8</v>
      </c>
      <c r="E166" t="s">
        <v>2198</v>
      </c>
      <c r="F166" t="s">
        <v>2254</v>
      </c>
      <c r="G166" t="s">
        <v>2199</v>
      </c>
      <c r="H166" t="s">
        <v>2380</v>
      </c>
      <c r="I166">
        <v>0</v>
      </c>
      <c r="J166">
        <v>35</v>
      </c>
      <c r="K166">
        <f t="shared" si="8"/>
        <v>15.55</v>
      </c>
      <c r="L166">
        <f t="shared" si="9"/>
        <v>14.28</v>
      </c>
      <c r="M166">
        <f t="shared" si="10"/>
        <v>1.2700000000000014</v>
      </c>
      <c r="N166">
        <v>6.3</v>
      </c>
      <c r="O166">
        <v>0</v>
      </c>
      <c r="P166">
        <v>54</v>
      </c>
      <c r="Q166">
        <v>16.600000000000001</v>
      </c>
      <c r="R166">
        <v>6</v>
      </c>
      <c r="S166">
        <v>11.25</v>
      </c>
      <c r="T166">
        <v>-11.25</v>
      </c>
      <c r="U166">
        <v>3.42</v>
      </c>
      <c r="V166">
        <v>76.53</v>
      </c>
      <c r="W166">
        <v>17.420000000000002</v>
      </c>
      <c r="X166">
        <v>41.68</v>
      </c>
      <c r="Y166">
        <v>9.57</v>
      </c>
      <c r="Z166">
        <v>21.24</v>
      </c>
      <c r="AA166">
        <v>-1.71</v>
      </c>
      <c r="AB166">
        <v>11.23</v>
      </c>
      <c r="AC166">
        <v>-114.26</v>
      </c>
      <c r="AD166">
        <v>160</v>
      </c>
      <c r="AE166">
        <v>1460</v>
      </c>
      <c r="AF166">
        <v>13.4</v>
      </c>
      <c r="AG166">
        <v>0.15</v>
      </c>
      <c r="AH166">
        <v>5.55</v>
      </c>
      <c r="AI166">
        <v>151.4</v>
      </c>
      <c r="AJ166">
        <v>60</v>
      </c>
      <c r="AK166">
        <v>9</v>
      </c>
      <c r="AL166">
        <v>9</v>
      </c>
      <c r="AM166">
        <v>0.05</v>
      </c>
      <c r="AN166">
        <v>96</v>
      </c>
      <c r="AO166">
        <v>96.44</v>
      </c>
      <c r="AP166">
        <v>211101.06</v>
      </c>
      <c r="AQ166">
        <v>172101.2</v>
      </c>
      <c r="AR166" t="s">
        <v>1073</v>
      </c>
      <c r="AT166" s="6">
        <f t="shared" si="11"/>
        <v>2.2260194063926932</v>
      </c>
    </row>
    <row r="167" spans="1:46" x14ac:dyDescent="0.55000000000000004">
      <c r="A167">
        <v>0</v>
      </c>
      <c r="B167">
        <v>6</v>
      </c>
      <c r="C167">
        <v>152.55000000000001</v>
      </c>
      <c r="D167">
        <v>7.8</v>
      </c>
      <c r="E167" t="s">
        <v>2199</v>
      </c>
      <c r="F167" t="s">
        <v>2255</v>
      </c>
      <c r="G167" t="s">
        <v>2199</v>
      </c>
      <c r="H167" t="s">
        <v>2381</v>
      </c>
      <c r="I167">
        <v>0</v>
      </c>
      <c r="J167">
        <v>35</v>
      </c>
      <c r="K167">
        <f t="shared" si="8"/>
        <v>15.01</v>
      </c>
      <c r="L167">
        <f t="shared" si="9"/>
        <v>15.01</v>
      </c>
      <c r="M167">
        <f t="shared" si="10"/>
        <v>0</v>
      </c>
      <c r="N167">
        <v>6.3</v>
      </c>
      <c r="O167">
        <v>0</v>
      </c>
      <c r="P167">
        <v>42</v>
      </c>
      <c r="Q167">
        <v>21.2</v>
      </c>
      <c r="R167">
        <v>6</v>
      </c>
      <c r="S167">
        <v>13.59</v>
      </c>
      <c r="T167">
        <v>-13.59</v>
      </c>
      <c r="U167">
        <v>4.3600000000000003</v>
      </c>
      <c r="V167">
        <v>97.63</v>
      </c>
      <c r="W167">
        <v>22.23</v>
      </c>
      <c r="X167">
        <v>53.17</v>
      </c>
      <c r="Y167">
        <v>12.2</v>
      </c>
      <c r="Z167">
        <v>10.26</v>
      </c>
      <c r="AA167">
        <v>-1.51</v>
      </c>
      <c r="AB167">
        <v>10.83</v>
      </c>
      <c r="AC167">
        <v>-79.05</v>
      </c>
      <c r="AD167">
        <v>160</v>
      </c>
      <c r="AE167">
        <v>1460</v>
      </c>
      <c r="AF167">
        <v>13.4</v>
      </c>
      <c r="AG167">
        <v>0.15</v>
      </c>
      <c r="AH167">
        <v>3.99</v>
      </c>
      <c r="AI167">
        <v>75.790000000000006</v>
      </c>
      <c r="AJ167">
        <v>60</v>
      </c>
      <c r="AK167">
        <v>9</v>
      </c>
      <c r="AL167">
        <v>9</v>
      </c>
      <c r="AM167">
        <v>0.1</v>
      </c>
      <c r="AN167">
        <v>96</v>
      </c>
      <c r="AO167">
        <v>96.88</v>
      </c>
      <c r="AP167">
        <v>198968.84</v>
      </c>
      <c r="AQ167">
        <v>198968.84</v>
      </c>
      <c r="AR167" t="s">
        <v>1074</v>
      </c>
      <c r="AT167" s="6">
        <f t="shared" si="11"/>
        <v>0</v>
      </c>
    </row>
    <row r="168" spans="1:46" x14ac:dyDescent="0.55000000000000004">
      <c r="A168">
        <v>0</v>
      </c>
      <c r="B168">
        <v>6</v>
      </c>
      <c r="C168">
        <v>527.08000000000004</v>
      </c>
      <c r="D168">
        <v>7.8</v>
      </c>
      <c r="E168" t="s">
        <v>2198</v>
      </c>
      <c r="F168" t="s">
        <v>2207</v>
      </c>
      <c r="G168" t="s">
        <v>2199</v>
      </c>
      <c r="H168" t="s">
        <v>2333</v>
      </c>
      <c r="I168">
        <v>0</v>
      </c>
      <c r="J168">
        <v>35</v>
      </c>
      <c r="K168">
        <f t="shared" si="8"/>
        <v>13.91</v>
      </c>
      <c r="L168">
        <f t="shared" si="9"/>
        <v>14.28</v>
      </c>
      <c r="M168">
        <f t="shared" si="10"/>
        <v>-0.36999999999999922</v>
      </c>
      <c r="N168">
        <v>6.3</v>
      </c>
      <c r="O168">
        <v>0</v>
      </c>
      <c r="P168">
        <v>51</v>
      </c>
      <c r="Q168">
        <v>18.2</v>
      </c>
      <c r="R168">
        <v>6</v>
      </c>
      <c r="S168">
        <v>12.28</v>
      </c>
      <c r="T168">
        <v>-12.28</v>
      </c>
      <c r="U168">
        <v>15.06</v>
      </c>
      <c r="V168">
        <v>337.33</v>
      </c>
      <c r="W168">
        <v>76.8</v>
      </c>
      <c r="X168">
        <v>183.73</v>
      </c>
      <c r="Y168">
        <v>42.17</v>
      </c>
      <c r="Z168">
        <v>19</v>
      </c>
      <c r="AA168">
        <v>-0.49</v>
      </c>
      <c r="AB168">
        <v>8.7799999999999994</v>
      </c>
      <c r="AC168">
        <v>-95.58</v>
      </c>
      <c r="AD168">
        <v>160</v>
      </c>
      <c r="AE168">
        <v>1460</v>
      </c>
      <c r="AF168">
        <v>13.4</v>
      </c>
      <c r="AG168">
        <v>0.15</v>
      </c>
      <c r="AH168">
        <v>0.95</v>
      </c>
      <c r="AI168">
        <v>151.4</v>
      </c>
      <c r="AJ168">
        <v>60</v>
      </c>
      <c r="AK168">
        <v>9</v>
      </c>
      <c r="AL168">
        <v>9</v>
      </c>
      <c r="AM168">
        <v>0.05</v>
      </c>
      <c r="AN168">
        <v>96</v>
      </c>
      <c r="AO168">
        <v>96.44</v>
      </c>
      <c r="AP168">
        <v>174310.88</v>
      </c>
      <c r="AQ168">
        <v>172101.2</v>
      </c>
      <c r="AR168" t="s">
        <v>1075</v>
      </c>
      <c r="AT168" s="6">
        <f t="shared" si="11"/>
        <v>0.12612328767123249</v>
      </c>
    </row>
    <row r="169" spans="1:46" x14ac:dyDescent="0.55000000000000004">
      <c r="A169">
        <v>0</v>
      </c>
      <c r="B169">
        <v>6</v>
      </c>
      <c r="C169">
        <v>135.21</v>
      </c>
      <c r="D169">
        <v>7.8</v>
      </c>
      <c r="E169" t="s">
        <v>2198</v>
      </c>
      <c r="F169" t="s">
        <v>2256</v>
      </c>
      <c r="G169" t="s">
        <v>2199</v>
      </c>
      <c r="H169" t="s">
        <v>2382</v>
      </c>
      <c r="I169">
        <v>0</v>
      </c>
      <c r="J169">
        <v>35</v>
      </c>
      <c r="K169">
        <f t="shared" si="8"/>
        <v>15.25</v>
      </c>
      <c r="L169">
        <f t="shared" si="9"/>
        <v>14.28</v>
      </c>
      <c r="M169">
        <f t="shared" si="10"/>
        <v>0.97000000000000064</v>
      </c>
      <c r="N169">
        <v>6.3</v>
      </c>
      <c r="O169">
        <v>0</v>
      </c>
      <c r="P169">
        <v>52</v>
      </c>
      <c r="Q169">
        <v>16.7</v>
      </c>
      <c r="R169">
        <v>6</v>
      </c>
      <c r="S169">
        <v>11.1</v>
      </c>
      <c r="T169">
        <v>-11.1</v>
      </c>
      <c r="U169">
        <v>3.86</v>
      </c>
      <c r="V169">
        <v>86.53</v>
      </c>
      <c r="W169">
        <v>19.7</v>
      </c>
      <c r="X169">
        <v>47.13</v>
      </c>
      <c r="Y169">
        <v>10.82</v>
      </c>
      <c r="Z169">
        <v>20.83</v>
      </c>
      <c r="AA169">
        <v>-1.61</v>
      </c>
      <c r="AB169">
        <v>11.03</v>
      </c>
      <c r="AC169">
        <v>-117.62</v>
      </c>
      <c r="AD169">
        <v>160</v>
      </c>
      <c r="AE169">
        <v>1460</v>
      </c>
      <c r="AF169">
        <v>13.4</v>
      </c>
      <c r="AG169">
        <v>0.15</v>
      </c>
      <c r="AH169">
        <v>4.68</v>
      </c>
      <c r="AI169">
        <v>151.4</v>
      </c>
      <c r="AJ169">
        <v>60</v>
      </c>
      <c r="AK169">
        <v>9</v>
      </c>
      <c r="AL169">
        <v>9</v>
      </c>
      <c r="AM169">
        <v>0.05</v>
      </c>
      <c r="AN169">
        <v>96</v>
      </c>
      <c r="AO169">
        <v>96.44</v>
      </c>
      <c r="AP169">
        <v>204382.46</v>
      </c>
      <c r="AQ169">
        <v>172101.2</v>
      </c>
      <c r="AR169" t="s">
        <v>1076</v>
      </c>
      <c r="AT169" s="6">
        <f t="shared" si="11"/>
        <v>1.8425376712328756</v>
      </c>
    </row>
    <row r="170" spans="1:46" x14ac:dyDescent="0.55000000000000004">
      <c r="A170">
        <v>0</v>
      </c>
      <c r="B170">
        <v>6</v>
      </c>
      <c r="C170">
        <v>114.93</v>
      </c>
      <c r="D170">
        <v>7.8</v>
      </c>
      <c r="E170" t="s">
        <v>2198</v>
      </c>
      <c r="F170" t="s">
        <v>2257</v>
      </c>
      <c r="G170" t="s">
        <v>2199</v>
      </c>
      <c r="H170" t="s">
        <v>2383</v>
      </c>
      <c r="I170">
        <v>0</v>
      </c>
      <c r="J170">
        <v>35</v>
      </c>
      <c r="K170">
        <f t="shared" si="8"/>
        <v>15.66</v>
      </c>
      <c r="L170">
        <f t="shared" si="9"/>
        <v>14.28</v>
      </c>
      <c r="M170">
        <f t="shared" si="10"/>
        <v>1.3800000000000008</v>
      </c>
      <c r="N170">
        <v>6.3</v>
      </c>
      <c r="O170">
        <v>0</v>
      </c>
      <c r="P170">
        <v>54</v>
      </c>
      <c r="Q170">
        <v>16.7</v>
      </c>
      <c r="R170">
        <v>6</v>
      </c>
      <c r="S170">
        <v>11.34</v>
      </c>
      <c r="T170">
        <v>-11.34</v>
      </c>
      <c r="U170">
        <v>3.28</v>
      </c>
      <c r="V170">
        <v>73.55</v>
      </c>
      <c r="W170">
        <v>16.75</v>
      </c>
      <c r="X170">
        <v>40.06</v>
      </c>
      <c r="Y170">
        <v>9.19</v>
      </c>
      <c r="Z170">
        <v>21.39</v>
      </c>
      <c r="AA170">
        <v>-1.75</v>
      </c>
      <c r="AB170">
        <v>11.3</v>
      </c>
      <c r="AC170">
        <v>-112.39</v>
      </c>
      <c r="AD170">
        <v>160</v>
      </c>
      <c r="AE170">
        <v>1460</v>
      </c>
      <c r="AF170">
        <v>13.4</v>
      </c>
      <c r="AG170">
        <v>0.15</v>
      </c>
      <c r="AH170">
        <v>5.87</v>
      </c>
      <c r="AI170">
        <v>151.4</v>
      </c>
      <c r="AJ170">
        <v>60</v>
      </c>
      <c r="AK170">
        <v>9</v>
      </c>
      <c r="AL170">
        <v>9</v>
      </c>
      <c r="AM170">
        <v>0.05</v>
      </c>
      <c r="AN170">
        <v>96</v>
      </c>
      <c r="AO170">
        <v>96.44</v>
      </c>
      <c r="AP170">
        <v>213592.25</v>
      </c>
      <c r="AQ170">
        <v>172101.2</v>
      </c>
      <c r="AR170" t="s">
        <v>1077</v>
      </c>
      <c r="AT170" s="6">
        <f t="shared" si="11"/>
        <v>2.3682106164383554</v>
      </c>
    </row>
    <row r="171" spans="1:46" x14ac:dyDescent="0.55000000000000004">
      <c r="A171">
        <v>0</v>
      </c>
      <c r="B171">
        <v>6</v>
      </c>
      <c r="C171">
        <v>167.02</v>
      </c>
      <c r="D171">
        <v>7.8</v>
      </c>
      <c r="E171" t="s">
        <v>2198</v>
      </c>
      <c r="F171" t="s">
        <v>2258</v>
      </c>
      <c r="G171" t="s">
        <v>2199</v>
      </c>
      <c r="H171" t="s">
        <v>2384</v>
      </c>
      <c r="I171">
        <v>0</v>
      </c>
      <c r="J171">
        <v>35</v>
      </c>
      <c r="K171">
        <f t="shared" si="8"/>
        <v>14.86</v>
      </c>
      <c r="L171">
        <f t="shared" si="9"/>
        <v>14.28</v>
      </c>
      <c r="M171">
        <f t="shared" si="10"/>
        <v>0.58000000000000007</v>
      </c>
      <c r="N171">
        <v>6.3</v>
      </c>
      <c r="O171">
        <v>0</v>
      </c>
      <c r="P171">
        <v>44</v>
      </c>
      <c r="Q171">
        <v>20.100000000000001</v>
      </c>
      <c r="R171">
        <v>6</v>
      </c>
      <c r="S171">
        <v>12.97</v>
      </c>
      <c r="T171">
        <v>-12.97</v>
      </c>
      <c r="U171">
        <v>4.7699999999999996</v>
      </c>
      <c r="V171">
        <v>106.89</v>
      </c>
      <c r="W171">
        <v>24.34</v>
      </c>
      <c r="X171">
        <v>58.22</v>
      </c>
      <c r="Y171">
        <v>13.36</v>
      </c>
      <c r="Z171">
        <v>20.29</v>
      </c>
      <c r="AA171">
        <v>-1.44</v>
      </c>
      <c r="AB171">
        <v>10.68</v>
      </c>
      <c r="AC171">
        <v>-86.14</v>
      </c>
      <c r="AD171">
        <v>160</v>
      </c>
      <c r="AE171">
        <v>1460</v>
      </c>
      <c r="AF171">
        <v>13.4</v>
      </c>
      <c r="AG171">
        <v>0.15</v>
      </c>
      <c r="AH171">
        <v>3.55</v>
      </c>
      <c r="AI171">
        <v>151.4</v>
      </c>
      <c r="AJ171">
        <v>60</v>
      </c>
      <c r="AK171">
        <v>9</v>
      </c>
      <c r="AL171">
        <v>9</v>
      </c>
      <c r="AM171">
        <v>0.05</v>
      </c>
      <c r="AN171">
        <v>96</v>
      </c>
      <c r="AO171">
        <v>96.44</v>
      </c>
      <c r="AP171">
        <v>195509.67</v>
      </c>
      <c r="AQ171">
        <v>172101.2</v>
      </c>
      <c r="AR171" t="s">
        <v>1078</v>
      </c>
      <c r="AT171" s="6">
        <f t="shared" si="11"/>
        <v>1.336099885844749</v>
      </c>
    </row>
    <row r="172" spans="1:46" x14ac:dyDescent="0.55000000000000004">
      <c r="A172">
        <v>0</v>
      </c>
      <c r="B172">
        <v>6</v>
      </c>
      <c r="C172">
        <v>200.3</v>
      </c>
      <c r="D172">
        <v>7.8</v>
      </c>
      <c r="E172" t="s">
        <v>2198</v>
      </c>
      <c r="F172" t="s">
        <v>2259</v>
      </c>
      <c r="G172" t="s">
        <v>2199</v>
      </c>
      <c r="H172" t="s">
        <v>2385</v>
      </c>
      <c r="I172">
        <v>0</v>
      </c>
      <c r="J172">
        <v>35</v>
      </c>
      <c r="K172">
        <f t="shared" si="8"/>
        <v>14.6</v>
      </c>
      <c r="L172">
        <f t="shared" si="9"/>
        <v>14.28</v>
      </c>
      <c r="M172">
        <f t="shared" si="10"/>
        <v>0.32000000000000028</v>
      </c>
      <c r="N172">
        <v>6.3</v>
      </c>
      <c r="O172">
        <v>0</v>
      </c>
      <c r="P172">
        <v>49</v>
      </c>
      <c r="Q172">
        <v>18.399999999999999</v>
      </c>
      <c r="R172">
        <v>6</v>
      </c>
      <c r="S172">
        <v>12.2</v>
      </c>
      <c r="T172">
        <v>-12.2</v>
      </c>
      <c r="U172">
        <v>5.72</v>
      </c>
      <c r="V172">
        <v>128.19</v>
      </c>
      <c r="W172">
        <v>29.19</v>
      </c>
      <c r="X172">
        <v>69.819999999999993</v>
      </c>
      <c r="Y172">
        <v>16.02</v>
      </c>
      <c r="Z172">
        <v>19.940000000000001</v>
      </c>
      <c r="AA172">
        <v>-1.29</v>
      </c>
      <c r="AB172">
        <v>10.38</v>
      </c>
      <c r="AC172">
        <v>-96.83</v>
      </c>
      <c r="AD172">
        <v>160</v>
      </c>
      <c r="AE172">
        <v>1460</v>
      </c>
      <c r="AF172">
        <v>13.4</v>
      </c>
      <c r="AG172">
        <v>0.15</v>
      </c>
      <c r="AH172">
        <v>2.84</v>
      </c>
      <c r="AI172">
        <v>151.4</v>
      </c>
      <c r="AJ172">
        <v>60</v>
      </c>
      <c r="AK172">
        <v>9</v>
      </c>
      <c r="AL172">
        <v>9</v>
      </c>
      <c r="AM172">
        <v>0.05</v>
      </c>
      <c r="AN172">
        <v>96</v>
      </c>
      <c r="AO172">
        <v>96.44</v>
      </c>
      <c r="AP172">
        <v>189798.56</v>
      </c>
      <c r="AQ172">
        <v>172101.2</v>
      </c>
      <c r="AR172" t="s">
        <v>1079</v>
      </c>
      <c r="AT172" s="6">
        <f t="shared" si="11"/>
        <v>1.0101232876712321</v>
      </c>
    </row>
    <row r="173" spans="1:46" x14ac:dyDescent="0.55000000000000004">
      <c r="A173">
        <v>0</v>
      </c>
      <c r="B173">
        <v>6</v>
      </c>
      <c r="C173">
        <v>182.43</v>
      </c>
      <c r="D173">
        <v>7.8</v>
      </c>
      <c r="E173" t="s">
        <v>2198</v>
      </c>
      <c r="F173" t="s">
        <v>2260</v>
      </c>
      <c r="G173" t="s">
        <v>2199</v>
      </c>
      <c r="H173" t="s">
        <v>2386</v>
      </c>
      <c r="I173">
        <v>0</v>
      </c>
      <c r="J173">
        <v>35</v>
      </c>
      <c r="K173">
        <f t="shared" si="8"/>
        <v>14.73</v>
      </c>
      <c r="L173">
        <f t="shared" si="9"/>
        <v>14.28</v>
      </c>
      <c r="M173">
        <f t="shared" si="10"/>
        <v>0.45000000000000107</v>
      </c>
      <c r="N173">
        <v>6.3</v>
      </c>
      <c r="O173">
        <v>0</v>
      </c>
      <c r="P173">
        <v>50</v>
      </c>
      <c r="Q173">
        <v>18.100000000000001</v>
      </c>
      <c r="R173">
        <v>6</v>
      </c>
      <c r="S173">
        <v>12.07</v>
      </c>
      <c r="T173">
        <v>-12.07</v>
      </c>
      <c r="U173">
        <v>5.21</v>
      </c>
      <c r="V173">
        <v>116.75</v>
      </c>
      <c r="W173">
        <v>26.58</v>
      </c>
      <c r="X173">
        <v>63.59</v>
      </c>
      <c r="Y173">
        <v>14.59</v>
      </c>
      <c r="Z173">
        <v>20.11</v>
      </c>
      <c r="AA173">
        <v>-1.37</v>
      </c>
      <c r="AB173">
        <v>10.53</v>
      </c>
      <c r="AC173">
        <v>-98.92</v>
      </c>
      <c r="AD173">
        <v>160</v>
      </c>
      <c r="AE173">
        <v>1460</v>
      </c>
      <c r="AF173">
        <v>13.4</v>
      </c>
      <c r="AG173">
        <v>0.15</v>
      </c>
      <c r="AH173">
        <v>3.18</v>
      </c>
      <c r="AI173">
        <v>151.4</v>
      </c>
      <c r="AJ173">
        <v>60</v>
      </c>
      <c r="AK173">
        <v>9</v>
      </c>
      <c r="AL173">
        <v>9</v>
      </c>
      <c r="AM173">
        <v>0.05</v>
      </c>
      <c r="AN173">
        <v>96</v>
      </c>
      <c r="AO173">
        <v>96.44</v>
      </c>
      <c r="AP173">
        <v>192554.75</v>
      </c>
      <c r="AQ173">
        <v>172101.2</v>
      </c>
      <c r="AR173" t="s">
        <v>1080</v>
      </c>
      <c r="AT173" s="6">
        <f t="shared" si="11"/>
        <v>1.1674400684931501</v>
      </c>
    </row>
    <row r="174" spans="1:46" x14ac:dyDescent="0.55000000000000004">
      <c r="A174">
        <v>0</v>
      </c>
      <c r="B174">
        <v>6</v>
      </c>
      <c r="C174">
        <v>131.38999999999999</v>
      </c>
      <c r="D174">
        <v>7.8</v>
      </c>
      <c r="E174" t="s">
        <v>2198</v>
      </c>
      <c r="F174" t="s">
        <v>2261</v>
      </c>
      <c r="G174" t="s">
        <v>2199</v>
      </c>
      <c r="H174" t="s">
        <v>2387</v>
      </c>
      <c r="I174">
        <v>0</v>
      </c>
      <c r="J174">
        <v>35</v>
      </c>
      <c r="K174">
        <f t="shared" si="8"/>
        <v>15.32</v>
      </c>
      <c r="L174">
        <f t="shared" si="9"/>
        <v>14.28</v>
      </c>
      <c r="M174">
        <f t="shared" si="10"/>
        <v>1.0400000000000009</v>
      </c>
      <c r="N174">
        <v>6.3</v>
      </c>
      <c r="O174">
        <v>0</v>
      </c>
      <c r="P174">
        <v>54</v>
      </c>
      <c r="Q174">
        <v>16.399999999999999</v>
      </c>
      <c r="R174">
        <v>6</v>
      </c>
      <c r="S174">
        <v>11.08</v>
      </c>
      <c r="T174">
        <v>-11.08</v>
      </c>
      <c r="U174">
        <v>3.75</v>
      </c>
      <c r="V174">
        <v>84.09</v>
      </c>
      <c r="W174">
        <v>19.14</v>
      </c>
      <c r="X174">
        <v>45.8</v>
      </c>
      <c r="Y174">
        <v>10.51</v>
      </c>
      <c r="Z174">
        <v>20.92</v>
      </c>
      <c r="AA174">
        <v>-1.64</v>
      </c>
      <c r="AB174">
        <v>11.07</v>
      </c>
      <c r="AC174">
        <v>-118.21</v>
      </c>
      <c r="AD174">
        <v>160</v>
      </c>
      <c r="AE174">
        <v>1460</v>
      </c>
      <c r="AF174">
        <v>13.4</v>
      </c>
      <c r="AG174">
        <v>0.15</v>
      </c>
      <c r="AH174">
        <v>4.87</v>
      </c>
      <c r="AI174">
        <v>151.4</v>
      </c>
      <c r="AJ174">
        <v>60</v>
      </c>
      <c r="AK174">
        <v>9</v>
      </c>
      <c r="AL174">
        <v>9</v>
      </c>
      <c r="AM174">
        <v>0.05</v>
      </c>
      <c r="AN174">
        <v>96</v>
      </c>
      <c r="AO174">
        <v>96.44</v>
      </c>
      <c r="AP174">
        <v>205828.31</v>
      </c>
      <c r="AQ174">
        <v>172101.2</v>
      </c>
      <c r="AR174" t="s">
        <v>1081</v>
      </c>
      <c r="AT174" s="6">
        <f t="shared" si="11"/>
        <v>1.9250633561643828</v>
      </c>
    </row>
    <row r="175" spans="1:46" x14ac:dyDescent="0.55000000000000004">
      <c r="A175">
        <v>0</v>
      </c>
      <c r="B175">
        <v>6</v>
      </c>
      <c r="C175">
        <v>133.97999999999999</v>
      </c>
      <c r="D175">
        <v>7.8</v>
      </c>
      <c r="E175" t="s">
        <v>2198</v>
      </c>
      <c r="F175" t="s">
        <v>2262</v>
      </c>
      <c r="G175" t="s">
        <v>2199</v>
      </c>
      <c r="H175" t="s">
        <v>2388</v>
      </c>
      <c r="I175">
        <v>0</v>
      </c>
      <c r="J175">
        <v>35</v>
      </c>
      <c r="K175">
        <f t="shared" si="8"/>
        <v>15.27</v>
      </c>
      <c r="L175">
        <f t="shared" si="9"/>
        <v>14.28</v>
      </c>
      <c r="M175">
        <f t="shared" si="10"/>
        <v>0.99000000000000021</v>
      </c>
      <c r="N175">
        <v>6.3</v>
      </c>
      <c r="O175">
        <v>0</v>
      </c>
      <c r="P175">
        <v>52</v>
      </c>
      <c r="Q175">
        <v>17.5</v>
      </c>
      <c r="R175">
        <v>6</v>
      </c>
      <c r="S175">
        <v>11.8</v>
      </c>
      <c r="T175">
        <v>-11.8</v>
      </c>
      <c r="U175">
        <v>3.83</v>
      </c>
      <c r="V175">
        <v>85.75</v>
      </c>
      <c r="W175">
        <v>19.52</v>
      </c>
      <c r="X175">
        <v>46.7</v>
      </c>
      <c r="Y175">
        <v>10.72</v>
      </c>
      <c r="Z175">
        <v>20.85</v>
      </c>
      <c r="AA175">
        <v>-1.62</v>
      </c>
      <c r="AB175">
        <v>11.04</v>
      </c>
      <c r="AC175">
        <v>-103.53</v>
      </c>
      <c r="AD175">
        <v>160</v>
      </c>
      <c r="AE175">
        <v>1460</v>
      </c>
      <c r="AF175">
        <v>13.4</v>
      </c>
      <c r="AG175">
        <v>0.15</v>
      </c>
      <c r="AH175">
        <v>4.74</v>
      </c>
      <c r="AI175">
        <v>151.4</v>
      </c>
      <c r="AJ175">
        <v>60</v>
      </c>
      <c r="AK175">
        <v>9</v>
      </c>
      <c r="AL175">
        <v>9</v>
      </c>
      <c r="AM175">
        <v>0.05</v>
      </c>
      <c r="AN175">
        <v>96</v>
      </c>
      <c r="AO175">
        <v>96.44</v>
      </c>
      <c r="AP175">
        <v>204833.25</v>
      </c>
      <c r="AQ175">
        <v>172101.2</v>
      </c>
      <c r="AR175" t="s">
        <v>1082</v>
      </c>
      <c r="AT175" s="6">
        <f t="shared" si="11"/>
        <v>1.8682676940639262</v>
      </c>
    </row>
    <row r="176" spans="1:46" x14ac:dyDescent="0.55000000000000004">
      <c r="A176">
        <v>0</v>
      </c>
      <c r="B176">
        <v>6</v>
      </c>
      <c r="C176">
        <v>153.69</v>
      </c>
      <c r="D176">
        <v>7.8</v>
      </c>
      <c r="E176" t="s">
        <v>2198</v>
      </c>
      <c r="F176" t="s">
        <v>2263</v>
      </c>
      <c r="G176" t="s">
        <v>2199</v>
      </c>
      <c r="H176" t="s">
        <v>2389</v>
      </c>
      <c r="I176">
        <v>0</v>
      </c>
      <c r="J176">
        <v>35</v>
      </c>
      <c r="K176">
        <f t="shared" si="8"/>
        <v>15</v>
      </c>
      <c r="L176">
        <f t="shared" si="9"/>
        <v>14.28</v>
      </c>
      <c r="M176">
        <f t="shared" si="10"/>
        <v>0.72000000000000064</v>
      </c>
      <c r="N176">
        <v>6.3</v>
      </c>
      <c r="O176">
        <v>0</v>
      </c>
      <c r="P176">
        <v>47</v>
      </c>
      <c r="Q176">
        <v>19.100000000000001</v>
      </c>
      <c r="R176">
        <v>6</v>
      </c>
      <c r="S176">
        <v>12.53</v>
      </c>
      <c r="T176">
        <v>-12.53</v>
      </c>
      <c r="U176">
        <v>4.3899999999999997</v>
      </c>
      <c r="V176">
        <v>98.36</v>
      </c>
      <c r="W176">
        <v>22.39</v>
      </c>
      <c r="X176">
        <v>53.57</v>
      </c>
      <c r="Y176">
        <v>12.29</v>
      </c>
      <c r="Z176">
        <v>20.48</v>
      </c>
      <c r="AA176">
        <v>-1.51</v>
      </c>
      <c r="AB176">
        <v>10.82</v>
      </c>
      <c r="AC176">
        <v>-91.85</v>
      </c>
      <c r="AD176">
        <v>160</v>
      </c>
      <c r="AE176">
        <v>1460</v>
      </c>
      <c r="AF176">
        <v>13.4</v>
      </c>
      <c r="AG176">
        <v>0.15</v>
      </c>
      <c r="AH176">
        <v>3.95</v>
      </c>
      <c r="AI176">
        <v>151.4</v>
      </c>
      <c r="AJ176">
        <v>60</v>
      </c>
      <c r="AK176">
        <v>9</v>
      </c>
      <c r="AL176">
        <v>9</v>
      </c>
      <c r="AM176">
        <v>0.05</v>
      </c>
      <c r="AN176">
        <v>96</v>
      </c>
      <c r="AO176">
        <v>96.44</v>
      </c>
      <c r="AP176">
        <v>198666.78</v>
      </c>
      <c r="AQ176">
        <v>172101.2</v>
      </c>
      <c r="AR176" t="s">
        <v>1083</v>
      </c>
      <c r="AT176" s="6">
        <f t="shared" si="11"/>
        <v>1.5163002283105016</v>
      </c>
    </row>
    <row r="177" spans="1:46" x14ac:dyDescent="0.55000000000000004">
      <c r="A177">
        <v>0</v>
      </c>
      <c r="B177">
        <v>6</v>
      </c>
      <c r="C177">
        <v>147.71</v>
      </c>
      <c r="D177">
        <v>7.8</v>
      </c>
      <c r="E177" t="s">
        <v>2198</v>
      </c>
      <c r="F177" t="s">
        <v>2264</v>
      </c>
      <c r="G177" t="s">
        <v>2199</v>
      </c>
      <c r="H177" t="s">
        <v>2390</v>
      </c>
      <c r="I177">
        <v>0</v>
      </c>
      <c r="J177">
        <v>35</v>
      </c>
      <c r="K177">
        <f t="shared" si="8"/>
        <v>15.07</v>
      </c>
      <c r="L177">
        <f t="shared" si="9"/>
        <v>14.28</v>
      </c>
      <c r="M177">
        <f t="shared" si="10"/>
        <v>0.79000000000000092</v>
      </c>
      <c r="N177">
        <v>6.3</v>
      </c>
      <c r="O177">
        <v>0</v>
      </c>
      <c r="P177">
        <v>54</v>
      </c>
      <c r="Q177">
        <v>16.8</v>
      </c>
      <c r="R177">
        <v>6</v>
      </c>
      <c r="S177">
        <v>11.43</v>
      </c>
      <c r="T177">
        <v>-11.43</v>
      </c>
      <c r="U177">
        <v>4.22</v>
      </c>
      <c r="V177">
        <v>94.54</v>
      </c>
      <c r="W177">
        <v>21.52</v>
      </c>
      <c r="X177">
        <v>51.49</v>
      </c>
      <c r="Y177">
        <v>11.82</v>
      </c>
      <c r="Z177">
        <v>20.58</v>
      </c>
      <c r="AA177">
        <v>-1.54</v>
      </c>
      <c r="AB177">
        <v>10.88</v>
      </c>
      <c r="AC177">
        <v>-110.57</v>
      </c>
      <c r="AD177">
        <v>160</v>
      </c>
      <c r="AE177">
        <v>1460</v>
      </c>
      <c r="AF177">
        <v>13.4</v>
      </c>
      <c r="AG177">
        <v>0.15</v>
      </c>
      <c r="AH177">
        <v>4.16</v>
      </c>
      <c r="AI177">
        <v>151.4</v>
      </c>
      <c r="AJ177">
        <v>60</v>
      </c>
      <c r="AK177">
        <v>9</v>
      </c>
      <c r="AL177">
        <v>9</v>
      </c>
      <c r="AM177">
        <v>0.05</v>
      </c>
      <c r="AN177">
        <v>96</v>
      </c>
      <c r="AO177">
        <v>96.44</v>
      </c>
      <c r="AP177">
        <v>200315.22</v>
      </c>
      <c r="AQ177">
        <v>172101.2</v>
      </c>
      <c r="AR177" t="s">
        <v>1084</v>
      </c>
      <c r="AT177" s="6">
        <f t="shared" si="11"/>
        <v>1.6103892694063922</v>
      </c>
    </row>
    <row r="178" spans="1:46" x14ac:dyDescent="0.55000000000000004">
      <c r="A178">
        <v>0</v>
      </c>
      <c r="B178">
        <v>6</v>
      </c>
      <c r="C178">
        <v>313.75</v>
      </c>
      <c r="D178">
        <v>7.8</v>
      </c>
      <c r="E178" t="s">
        <v>2198</v>
      </c>
      <c r="F178" t="s">
        <v>2265</v>
      </c>
      <c r="G178" t="s">
        <v>2199</v>
      </c>
      <c r="H178" t="s">
        <v>2391</v>
      </c>
      <c r="I178">
        <v>0</v>
      </c>
      <c r="J178">
        <v>35</v>
      </c>
      <c r="K178">
        <f t="shared" si="8"/>
        <v>14.18</v>
      </c>
      <c r="L178">
        <f t="shared" si="9"/>
        <v>14.28</v>
      </c>
      <c r="M178">
        <f t="shared" si="10"/>
        <v>-9.9999999999999645E-2</v>
      </c>
      <c r="N178">
        <v>6.3</v>
      </c>
      <c r="O178">
        <v>0</v>
      </c>
      <c r="P178">
        <v>55</v>
      </c>
      <c r="Q178">
        <v>17.5</v>
      </c>
      <c r="R178">
        <v>6</v>
      </c>
      <c r="S178">
        <v>12.16</v>
      </c>
      <c r="T178">
        <v>-12.16</v>
      </c>
      <c r="U178">
        <v>8.9600000000000009</v>
      </c>
      <c r="V178">
        <v>200.8</v>
      </c>
      <c r="W178">
        <v>45.72</v>
      </c>
      <c r="X178">
        <v>109.36</v>
      </c>
      <c r="Y178">
        <v>25.1</v>
      </c>
      <c r="Z178">
        <v>19.37</v>
      </c>
      <c r="AA178">
        <v>-0.92</v>
      </c>
      <c r="AB178">
        <v>9.64</v>
      </c>
      <c r="AC178">
        <v>-97.39</v>
      </c>
      <c r="AD178">
        <v>160</v>
      </c>
      <c r="AE178">
        <v>1460</v>
      </c>
      <c r="AF178">
        <v>13.4</v>
      </c>
      <c r="AG178">
        <v>0.15</v>
      </c>
      <c r="AH178">
        <v>1.68</v>
      </c>
      <c r="AI178">
        <v>151.4</v>
      </c>
      <c r="AJ178">
        <v>60</v>
      </c>
      <c r="AK178">
        <v>9</v>
      </c>
      <c r="AL178">
        <v>9</v>
      </c>
      <c r="AM178">
        <v>0.05</v>
      </c>
      <c r="AN178">
        <v>96</v>
      </c>
      <c r="AO178">
        <v>96.44</v>
      </c>
      <c r="AP178">
        <v>180393.07</v>
      </c>
      <c r="AQ178">
        <v>172101.2</v>
      </c>
      <c r="AR178" t="s">
        <v>1085</v>
      </c>
      <c r="AT178" s="6">
        <f t="shared" si="11"/>
        <v>0.47328025114155226</v>
      </c>
    </row>
    <row r="179" spans="1:46" x14ac:dyDescent="0.55000000000000004">
      <c r="A179">
        <v>0</v>
      </c>
      <c r="B179">
        <v>6</v>
      </c>
      <c r="C179">
        <v>124.51</v>
      </c>
      <c r="D179">
        <v>7.8</v>
      </c>
      <c r="E179" t="s">
        <v>2198</v>
      </c>
      <c r="F179" t="s">
        <v>2266</v>
      </c>
      <c r="G179" t="s">
        <v>2199</v>
      </c>
      <c r="H179" t="s">
        <v>2392</v>
      </c>
      <c r="I179">
        <v>0</v>
      </c>
      <c r="J179">
        <v>35</v>
      </c>
      <c r="K179">
        <f t="shared" si="8"/>
        <v>15.45</v>
      </c>
      <c r="L179">
        <f t="shared" si="9"/>
        <v>14.28</v>
      </c>
      <c r="M179">
        <f t="shared" si="10"/>
        <v>1.17</v>
      </c>
      <c r="N179">
        <v>6.3</v>
      </c>
      <c r="O179">
        <v>0</v>
      </c>
      <c r="P179">
        <v>52</v>
      </c>
      <c r="Q179">
        <v>16.7</v>
      </c>
      <c r="R179">
        <v>6</v>
      </c>
      <c r="S179">
        <v>11.1</v>
      </c>
      <c r="T179">
        <v>-11.1</v>
      </c>
      <c r="U179">
        <v>3.56</v>
      </c>
      <c r="V179">
        <v>79.680000000000007</v>
      </c>
      <c r="W179">
        <v>18.14</v>
      </c>
      <c r="X179">
        <v>43.4</v>
      </c>
      <c r="Y179">
        <v>9.9600000000000009</v>
      </c>
      <c r="Z179">
        <v>21.09</v>
      </c>
      <c r="AA179">
        <v>-1.68</v>
      </c>
      <c r="AB179">
        <v>11.16</v>
      </c>
      <c r="AC179">
        <v>-117.62</v>
      </c>
      <c r="AD179">
        <v>160</v>
      </c>
      <c r="AE179">
        <v>1460</v>
      </c>
      <c r="AF179">
        <v>13.4</v>
      </c>
      <c r="AG179">
        <v>0.15</v>
      </c>
      <c r="AH179">
        <v>5.24</v>
      </c>
      <c r="AI179">
        <v>151.4</v>
      </c>
      <c r="AJ179">
        <v>60</v>
      </c>
      <c r="AK179">
        <v>9</v>
      </c>
      <c r="AL179">
        <v>9</v>
      </c>
      <c r="AM179">
        <v>0.05</v>
      </c>
      <c r="AN179">
        <v>96</v>
      </c>
      <c r="AO179">
        <v>96.44</v>
      </c>
      <c r="AP179">
        <v>208734.83</v>
      </c>
      <c r="AQ179">
        <v>172101.2</v>
      </c>
      <c r="AR179" t="s">
        <v>1086</v>
      </c>
      <c r="AT179" s="6">
        <f t="shared" si="11"/>
        <v>2.090960616438355</v>
      </c>
    </row>
    <row r="180" spans="1:46" x14ac:dyDescent="0.55000000000000004">
      <c r="A180">
        <v>0</v>
      </c>
      <c r="B180">
        <v>6</v>
      </c>
      <c r="C180">
        <v>104.49</v>
      </c>
      <c r="D180">
        <v>7.8</v>
      </c>
      <c r="E180" t="s">
        <v>2198</v>
      </c>
      <c r="F180" t="s">
        <v>2267</v>
      </c>
      <c r="G180" t="s">
        <v>2199</v>
      </c>
      <c r="H180" t="s">
        <v>2393</v>
      </c>
      <c r="I180">
        <v>0</v>
      </c>
      <c r="J180">
        <v>35</v>
      </c>
      <c r="K180">
        <f t="shared" si="8"/>
        <v>15.97</v>
      </c>
      <c r="L180">
        <f t="shared" si="9"/>
        <v>14.28</v>
      </c>
      <c r="M180">
        <f t="shared" si="10"/>
        <v>1.6900000000000013</v>
      </c>
      <c r="N180">
        <v>6.3</v>
      </c>
      <c r="O180">
        <v>0</v>
      </c>
      <c r="P180">
        <v>54</v>
      </c>
      <c r="Q180">
        <v>16.5</v>
      </c>
      <c r="R180">
        <v>6</v>
      </c>
      <c r="S180">
        <v>11.16</v>
      </c>
      <c r="T180">
        <v>-11.16</v>
      </c>
      <c r="U180">
        <v>2.99</v>
      </c>
      <c r="V180">
        <v>66.87</v>
      </c>
      <c r="W180">
        <v>15.23</v>
      </c>
      <c r="X180">
        <v>36.42</v>
      </c>
      <c r="Y180">
        <v>8.36</v>
      </c>
      <c r="Z180">
        <v>21.8</v>
      </c>
      <c r="AA180">
        <v>-1.83</v>
      </c>
      <c r="AB180">
        <v>11.45</v>
      </c>
      <c r="AC180">
        <v>-116.2</v>
      </c>
      <c r="AD180">
        <v>160</v>
      </c>
      <c r="AE180">
        <v>1460</v>
      </c>
      <c r="AF180">
        <v>13.4</v>
      </c>
      <c r="AG180">
        <v>0.15</v>
      </c>
      <c r="AH180">
        <v>6.75</v>
      </c>
      <c r="AI180">
        <v>151.4</v>
      </c>
      <c r="AJ180">
        <v>60</v>
      </c>
      <c r="AK180">
        <v>9</v>
      </c>
      <c r="AL180">
        <v>9</v>
      </c>
      <c r="AM180">
        <v>0.05</v>
      </c>
      <c r="AN180">
        <v>96</v>
      </c>
      <c r="AO180">
        <v>96.44</v>
      </c>
      <c r="AP180">
        <v>220375.02</v>
      </c>
      <c r="AQ180">
        <v>172101.2</v>
      </c>
      <c r="AR180" t="s">
        <v>1087</v>
      </c>
      <c r="AT180" s="6">
        <f t="shared" si="11"/>
        <v>2.7553550228310488</v>
      </c>
    </row>
    <row r="181" spans="1:46" x14ac:dyDescent="0.55000000000000004">
      <c r="A181">
        <v>0</v>
      </c>
      <c r="B181">
        <v>6</v>
      </c>
      <c r="C181">
        <v>128</v>
      </c>
      <c r="D181">
        <v>7.8</v>
      </c>
      <c r="E181" t="s">
        <v>2198</v>
      </c>
      <c r="F181" t="s">
        <v>2268</v>
      </c>
      <c r="G181" t="s">
        <v>2199</v>
      </c>
      <c r="H181" t="s">
        <v>2394</v>
      </c>
      <c r="I181">
        <v>0</v>
      </c>
      <c r="J181">
        <v>35</v>
      </c>
      <c r="K181">
        <f t="shared" si="8"/>
        <v>15.38</v>
      </c>
      <c r="L181">
        <f t="shared" si="9"/>
        <v>14.28</v>
      </c>
      <c r="M181">
        <f t="shared" si="10"/>
        <v>1.1000000000000014</v>
      </c>
      <c r="N181">
        <v>6.3</v>
      </c>
      <c r="O181">
        <v>0</v>
      </c>
      <c r="P181">
        <v>51</v>
      </c>
      <c r="Q181">
        <v>17.3</v>
      </c>
      <c r="R181">
        <v>6</v>
      </c>
      <c r="S181">
        <v>11.5</v>
      </c>
      <c r="T181">
        <v>-11.5</v>
      </c>
      <c r="U181">
        <v>3.66</v>
      </c>
      <c r="V181">
        <v>81.92</v>
      </c>
      <c r="W181">
        <v>18.649999999999999</v>
      </c>
      <c r="X181">
        <v>44.62</v>
      </c>
      <c r="Y181">
        <v>10.24</v>
      </c>
      <c r="Z181">
        <v>21</v>
      </c>
      <c r="AA181">
        <v>-1.66</v>
      </c>
      <c r="AB181">
        <v>11.12</v>
      </c>
      <c r="AC181">
        <v>-109.09</v>
      </c>
      <c r="AD181">
        <v>160</v>
      </c>
      <c r="AE181">
        <v>1460</v>
      </c>
      <c r="AF181">
        <v>13.4</v>
      </c>
      <c r="AG181">
        <v>0.15</v>
      </c>
      <c r="AH181">
        <v>5.04</v>
      </c>
      <c r="AI181">
        <v>151.4</v>
      </c>
      <c r="AJ181">
        <v>60</v>
      </c>
      <c r="AK181">
        <v>9</v>
      </c>
      <c r="AL181">
        <v>9</v>
      </c>
      <c r="AM181">
        <v>0.05</v>
      </c>
      <c r="AN181">
        <v>96</v>
      </c>
      <c r="AO181">
        <v>96.44</v>
      </c>
      <c r="AP181">
        <v>207208.5</v>
      </c>
      <c r="AQ181">
        <v>172101.2</v>
      </c>
      <c r="AR181" t="s">
        <v>1088</v>
      </c>
      <c r="AT181" s="6">
        <f t="shared" si="11"/>
        <v>2.0038413242009128</v>
      </c>
    </row>
    <row r="182" spans="1:46" x14ac:dyDescent="0.55000000000000004">
      <c r="A182">
        <v>0</v>
      </c>
      <c r="B182">
        <v>6</v>
      </c>
      <c r="C182">
        <v>69.08</v>
      </c>
      <c r="D182">
        <v>7.8</v>
      </c>
      <c r="E182" t="s">
        <v>2199</v>
      </c>
      <c r="F182" t="s">
        <v>2269</v>
      </c>
      <c r="G182" t="s">
        <v>2199</v>
      </c>
      <c r="H182" t="s">
        <v>2395</v>
      </c>
      <c r="I182">
        <v>0</v>
      </c>
      <c r="J182">
        <v>35</v>
      </c>
      <c r="K182">
        <f t="shared" si="8"/>
        <v>18.420000000000002</v>
      </c>
      <c r="L182">
        <f t="shared" si="9"/>
        <v>18.420000000000002</v>
      </c>
      <c r="M182">
        <f t="shared" si="10"/>
        <v>0</v>
      </c>
      <c r="N182">
        <v>6.3</v>
      </c>
      <c r="O182">
        <v>0</v>
      </c>
      <c r="P182">
        <v>38</v>
      </c>
      <c r="Q182">
        <v>25</v>
      </c>
      <c r="R182">
        <v>6</v>
      </c>
      <c r="S182">
        <v>16.04</v>
      </c>
      <c r="T182">
        <v>-16.04</v>
      </c>
      <c r="U182">
        <v>1.97</v>
      </c>
      <c r="V182">
        <v>44.21</v>
      </c>
      <c r="W182">
        <v>10.07</v>
      </c>
      <c r="X182">
        <v>24.08</v>
      </c>
      <c r="Y182">
        <v>5.53</v>
      </c>
      <c r="Z182">
        <v>3.78</v>
      </c>
      <c r="AA182">
        <v>-2.17</v>
      </c>
      <c r="AB182">
        <v>12.14</v>
      </c>
      <c r="AC182">
        <v>-59.74</v>
      </c>
      <c r="AD182">
        <v>160</v>
      </c>
      <c r="AE182">
        <v>1460</v>
      </c>
      <c r="AF182">
        <v>13.4</v>
      </c>
      <c r="AG182">
        <v>0.15</v>
      </c>
      <c r="AH182">
        <v>13.76</v>
      </c>
      <c r="AI182">
        <v>22.75</v>
      </c>
      <c r="AJ182">
        <v>60</v>
      </c>
      <c r="AK182">
        <v>9</v>
      </c>
      <c r="AL182">
        <v>9</v>
      </c>
      <c r="AM182">
        <v>0.32</v>
      </c>
      <c r="AN182">
        <v>96</v>
      </c>
      <c r="AO182">
        <v>98.92</v>
      </c>
      <c r="AP182">
        <v>275475.38</v>
      </c>
      <c r="AQ182">
        <v>275475.38</v>
      </c>
      <c r="AR182" t="s">
        <v>1089</v>
      </c>
      <c r="AT182" s="6">
        <f t="shared" si="11"/>
        <v>0</v>
      </c>
    </row>
    <row r="183" spans="1:46" x14ac:dyDescent="0.55000000000000004">
      <c r="A183">
        <v>0</v>
      </c>
      <c r="B183">
        <v>6</v>
      </c>
      <c r="C183">
        <v>62.4</v>
      </c>
      <c r="D183">
        <v>7.8</v>
      </c>
      <c r="E183" t="s">
        <v>2198</v>
      </c>
      <c r="F183" t="s">
        <v>2270</v>
      </c>
      <c r="G183" t="s">
        <v>2199</v>
      </c>
      <c r="H183" t="s">
        <v>2396</v>
      </c>
      <c r="I183">
        <v>0</v>
      </c>
      <c r="J183">
        <v>35</v>
      </c>
      <c r="K183">
        <f t="shared" si="8"/>
        <v>19.760000000000002</v>
      </c>
      <c r="L183">
        <f t="shared" si="9"/>
        <v>14.28</v>
      </c>
      <c r="M183">
        <f t="shared" si="10"/>
        <v>5.4800000000000022</v>
      </c>
      <c r="N183">
        <v>6.3</v>
      </c>
      <c r="O183">
        <v>0</v>
      </c>
      <c r="P183">
        <v>56</v>
      </c>
      <c r="Q183">
        <v>20.399999999999999</v>
      </c>
      <c r="R183">
        <v>6</v>
      </c>
      <c r="S183">
        <v>14.85</v>
      </c>
      <c r="T183">
        <v>-14.85</v>
      </c>
      <c r="U183">
        <v>1.78</v>
      </c>
      <c r="V183">
        <v>39.94</v>
      </c>
      <c r="W183">
        <v>9.09</v>
      </c>
      <c r="X183">
        <v>21.75</v>
      </c>
      <c r="Y183">
        <v>4.99</v>
      </c>
      <c r="Z183">
        <v>26.98</v>
      </c>
      <c r="AA183">
        <v>-2.25</v>
      </c>
      <c r="AB183">
        <v>12.3</v>
      </c>
      <c r="AC183">
        <v>-67.83</v>
      </c>
      <c r="AD183">
        <v>160</v>
      </c>
      <c r="AE183">
        <v>1460</v>
      </c>
      <c r="AF183">
        <v>13.4</v>
      </c>
      <c r="AG183">
        <v>0.15</v>
      </c>
      <c r="AH183">
        <v>17.12</v>
      </c>
      <c r="AI183">
        <v>151.4</v>
      </c>
      <c r="AJ183">
        <v>60</v>
      </c>
      <c r="AK183">
        <v>9</v>
      </c>
      <c r="AL183">
        <v>9</v>
      </c>
      <c r="AM183">
        <v>0.05</v>
      </c>
      <c r="AN183">
        <v>96</v>
      </c>
      <c r="AO183">
        <v>96.44</v>
      </c>
      <c r="AP183">
        <v>305437.06</v>
      </c>
      <c r="AQ183">
        <v>172101.2</v>
      </c>
      <c r="AR183" t="s">
        <v>1090</v>
      </c>
      <c r="AT183" s="6">
        <f t="shared" si="11"/>
        <v>7.6104942922374423</v>
      </c>
    </row>
    <row r="184" spans="1:46" x14ac:dyDescent="0.55000000000000004">
      <c r="A184">
        <v>0</v>
      </c>
      <c r="B184">
        <v>6</v>
      </c>
      <c r="C184">
        <v>61.12</v>
      </c>
      <c r="D184">
        <v>7.8</v>
      </c>
      <c r="E184" t="s">
        <v>2198</v>
      </c>
      <c r="F184" t="s">
        <v>2271</v>
      </c>
      <c r="G184" t="s">
        <v>2199</v>
      </c>
      <c r="H184" t="s">
        <v>2397</v>
      </c>
      <c r="I184">
        <v>0</v>
      </c>
      <c r="J184">
        <v>35</v>
      </c>
      <c r="K184">
        <f t="shared" si="8"/>
        <v>20.13</v>
      </c>
      <c r="L184">
        <f t="shared" si="9"/>
        <v>14.28</v>
      </c>
      <c r="M184">
        <f t="shared" si="10"/>
        <v>5.85</v>
      </c>
      <c r="N184">
        <v>6.3</v>
      </c>
      <c r="O184">
        <v>0</v>
      </c>
      <c r="P184">
        <v>49</v>
      </c>
      <c r="Q184">
        <v>22.5</v>
      </c>
      <c r="R184">
        <v>6</v>
      </c>
      <c r="S184">
        <v>15.7</v>
      </c>
      <c r="T184">
        <v>-15.7</v>
      </c>
      <c r="U184">
        <v>1.75</v>
      </c>
      <c r="V184">
        <v>39.119999999999997</v>
      </c>
      <c r="W184">
        <v>8.91</v>
      </c>
      <c r="X184">
        <v>21.31</v>
      </c>
      <c r="Y184">
        <v>4.8899999999999997</v>
      </c>
      <c r="Z184">
        <v>27.49</v>
      </c>
      <c r="AA184">
        <v>-2.27</v>
      </c>
      <c r="AB184">
        <v>12.34</v>
      </c>
      <c r="AC184">
        <v>-61.83</v>
      </c>
      <c r="AD184">
        <v>160</v>
      </c>
      <c r="AE184">
        <v>1460</v>
      </c>
      <c r="AF184">
        <v>13.4</v>
      </c>
      <c r="AG184">
        <v>0.15</v>
      </c>
      <c r="AH184">
        <v>17.96</v>
      </c>
      <c r="AI184">
        <v>151.4</v>
      </c>
      <c r="AJ184">
        <v>60</v>
      </c>
      <c r="AK184">
        <v>9</v>
      </c>
      <c r="AL184">
        <v>9</v>
      </c>
      <c r="AM184">
        <v>0.05</v>
      </c>
      <c r="AN184">
        <v>96</v>
      </c>
      <c r="AO184">
        <v>96.44</v>
      </c>
      <c r="AP184">
        <v>313759.35999999999</v>
      </c>
      <c r="AQ184">
        <v>172101.2</v>
      </c>
      <c r="AR184" t="s">
        <v>1091</v>
      </c>
      <c r="AT184" s="6">
        <f t="shared" si="11"/>
        <v>8.0855114155251133</v>
      </c>
    </row>
    <row r="185" spans="1:46" x14ac:dyDescent="0.55000000000000004">
      <c r="A185">
        <v>0</v>
      </c>
      <c r="B185">
        <v>6</v>
      </c>
      <c r="C185">
        <v>61.76</v>
      </c>
      <c r="D185">
        <v>7.8</v>
      </c>
      <c r="E185" t="s">
        <v>2198</v>
      </c>
      <c r="F185" t="s">
        <v>2272</v>
      </c>
      <c r="G185" t="s">
        <v>2199</v>
      </c>
      <c r="H185" t="s">
        <v>2398</v>
      </c>
      <c r="I185">
        <v>0</v>
      </c>
      <c r="J185">
        <v>35</v>
      </c>
      <c r="K185">
        <f t="shared" si="8"/>
        <v>19.940000000000001</v>
      </c>
      <c r="L185">
        <f t="shared" si="9"/>
        <v>14.28</v>
      </c>
      <c r="M185">
        <f t="shared" si="10"/>
        <v>5.6600000000000019</v>
      </c>
      <c r="N185">
        <v>6.3</v>
      </c>
      <c r="O185">
        <v>0</v>
      </c>
      <c r="P185">
        <v>52</v>
      </c>
      <c r="Q185">
        <v>21.5</v>
      </c>
      <c r="R185">
        <v>6</v>
      </c>
      <c r="S185">
        <v>15.27</v>
      </c>
      <c r="T185">
        <v>-15.27</v>
      </c>
      <c r="U185">
        <v>1.76</v>
      </c>
      <c r="V185">
        <v>39.53</v>
      </c>
      <c r="W185">
        <v>9</v>
      </c>
      <c r="X185">
        <v>21.53</v>
      </c>
      <c r="Y185">
        <v>4.9400000000000004</v>
      </c>
      <c r="Z185">
        <v>27.22</v>
      </c>
      <c r="AA185">
        <v>-2.2599999999999998</v>
      </c>
      <c r="AB185">
        <v>12.32</v>
      </c>
      <c r="AC185">
        <v>-64.739999999999995</v>
      </c>
      <c r="AD185">
        <v>160</v>
      </c>
      <c r="AE185">
        <v>1460</v>
      </c>
      <c r="AF185">
        <v>13.4</v>
      </c>
      <c r="AG185">
        <v>0.15</v>
      </c>
      <c r="AH185">
        <v>17.53</v>
      </c>
      <c r="AI185">
        <v>151.4</v>
      </c>
      <c r="AJ185">
        <v>60</v>
      </c>
      <c r="AK185">
        <v>9</v>
      </c>
      <c r="AL185">
        <v>9</v>
      </c>
      <c r="AM185">
        <v>0.05</v>
      </c>
      <c r="AN185">
        <v>96</v>
      </c>
      <c r="AO185">
        <v>96.44</v>
      </c>
      <c r="AP185">
        <v>309433.94</v>
      </c>
      <c r="AQ185">
        <v>172101.2</v>
      </c>
      <c r="AR185" t="s">
        <v>1092</v>
      </c>
      <c r="AT185" s="6">
        <f t="shared" si="11"/>
        <v>7.8386267123287663</v>
      </c>
    </row>
    <row r="186" spans="1:46" x14ac:dyDescent="0.55000000000000004">
      <c r="A186">
        <v>0</v>
      </c>
      <c r="B186">
        <v>6</v>
      </c>
      <c r="C186">
        <v>63.34</v>
      </c>
      <c r="D186">
        <v>7.8</v>
      </c>
      <c r="E186" t="s">
        <v>2198</v>
      </c>
      <c r="F186" t="s">
        <v>2273</v>
      </c>
      <c r="G186" t="s">
        <v>2199</v>
      </c>
      <c r="H186" t="s">
        <v>2399</v>
      </c>
      <c r="I186">
        <v>0</v>
      </c>
      <c r="J186">
        <v>35</v>
      </c>
      <c r="K186">
        <f t="shared" si="8"/>
        <v>19.52</v>
      </c>
      <c r="L186">
        <f t="shared" si="9"/>
        <v>14.28</v>
      </c>
      <c r="M186">
        <f t="shared" si="10"/>
        <v>5.24</v>
      </c>
      <c r="N186">
        <v>6.3</v>
      </c>
      <c r="O186">
        <v>0</v>
      </c>
      <c r="P186">
        <v>45</v>
      </c>
      <c r="Q186">
        <v>23.5</v>
      </c>
      <c r="R186">
        <v>6</v>
      </c>
      <c r="S186">
        <v>15.95</v>
      </c>
      <c r="T186">
        <v>-15.95</v>
      </c>
      <c r="U186">
        <v>1.81</v>
      </c>
      <c r="V186">
        <v>40.53</v>
      </c>
      <c r="W186">
        <v>9.23</v>
      </c>
      <c r="X186">
        <v>22.08</v>
      </c>
      <c r="Y186">
        <v>5.07</v>
      </c>
      <c r="Z186">
        <v>26.65</v>
      </c>
      <c r="AA186">
        <v>-2.2400000000000002</v>
      </c>
      <c r="AB186">
        <v>12.28</v>
      </c>
      <c r="AC186">
        <v>-60.29</v>
      </c>
      <c r="AD186">
        <v>160</v>
      </c>
      <c r="AE186">
        <v>1460</v>
      </c>
      <c r="AF186">
        <v>13.4</v>
      </c>
      <c r="AG186">
        <v>0.15</v>
      </c>
      <c r="AH186">
        <v>16.559999999999999</v>
      </c>
      <c r="AI186">
        <v>151.4</v>
      </c>
      <c r="AJ186">
        <v>60</v>
      </c>
      <c r="AK186">
        <v>9</v>
      </c>
      <c r="AL186">
        <v>9</v>
      </c>
      <c r="AM186">
        <v>0.05</v>
      </c>
      <c r="AN186">
        <v>96</v>
      </c>
      <c r="AO186">
        <v>96.44</v>
      </c>
      <c r="AP186">
        <v>300061.68</v>
      </c>
      <c r="AQ186">
        <v>172101.2</v>
      </c>
      <c r="AR186" t="s">
        <v>1093</v>
      </c>
      <c r="AT186" s="6">
        <f t="shared" si="11"/>
        <v>7.3036803652968025</v>
      </c>
    </row>
    <row r="187" spans="1:46" x14ac:dyDescent="0.55000000000000004">
      <c r="A187">
        <v>0</v>
      </c>
      <c r="B187">
        <v>6</v>
      </c>
      <c r="C187">
        <v>208.74</v>
      </c>
      <c r="D187">
        <v>7.8</v>
      </c>
      <c r="E187" t="s">
        <v>2199</v>
      </c>
      <c r="F187" t="s">
        <v>2274</v>
      </c>
      <c r="G187" t="s">
        <v>2199</v>
      </c>
      <c r="H187" t="s">
        <v>2400</v>
      </c>
      <c r="I187">
        <v>0</v>
      </c>
      <c r="J187">
        <v>35</v>
      </c>
      <c r="K187">
        <f t="shared" si="8"/>
        <v>14.55</v>
      </c>
      <c r="L187">
        <f t="shared" si="9"/>
        <v>14.55</v>
      </c>
      <c r="M187">
        <f t="shared" si="10"/>
        <v>0</v>
      </c>
      <c r="N187">
        <v>6.3</v>
      </c>
      <c r="O187">
        <v>0</v>
      </c>
      <c r="P187">
        <v>42</v>
      </c>
      <c r="Q187">
        <v>21.6</v>
      </c>
      <c r="R187">
        <v>6</v>
      </c>
      <c r="S187">
        <v>13.92</v>
      </c>
      <c r="T187">
        <v>-13.92</v>
      </c>
      <c r="U187">
        <v>5.96</v>
      </c>
      <c r="V187">
        <v>133.59</v>
      </c>
      <c r="W187">
        <v>30.42</v>
      </c>
      <c r="X187">
        <v>72.760000000000005</v>
      </c>
      <c r="Y187">
        <v>16.7</v>
      </c>
      <c r="Z187">
        <v>14.49</v>
      </c>
      <c r="AA187">
        <v>-1.26</v>
      </c>
      <c r="AB187">
        <v>10.31</v>
      </c>
      <c r="AC187">
        <v>-75.760000000000005</v>
      </c>
      <c r="AD187">
        <v>160</v>
      </c>
      <c r="AE187">
        <v>1460</v>
      </c>
      <c r="AF187">
        <v>13.4</v>
      </c>
      <c r="AG187">
        <v>0.15</v>
      </c>
      <c r="AH187">
        <v>2.7</v>
      </c>
      <c r="AI187">
        <v>110.38</v>
      </c>
      <c r="AJ187">
        <v>60</v>
      </c>
      <c r="AK187">
        <v>9</v>
      </c>
      <c r="AL187">
        <v>9</v>
      </c>
      <c r="AM187">
        <v>7.0000000000000007E-2</v>
      </c>
      <c r="AN187">
        <v>96</v>
      </c>
      <c r="AO187">
        <v>96.6</v>
      </c>
      <c r="AP187">
        <v>188688.76</v>
      </c>
      <c r="AQ187">
        <v>188688.76</v>
      </c>
      <c r="AR187" t="s">
        <v>1094</v>
      </c>
      <c r="AT187" s="6">
        <f t="shared" si="11"/>
        <v>0</v>
      </c>
    </row>
    <row r="188" spans="1:46" x14ac:dyDescent="0.55000000000000004">
      <c r="A188">
        <v>0</v>
      </c>
      <c r="B188">
        <v>6</v>
      </c>
      <c r="C188">
        <v>115.75</v>
      </c>
      <c r="D188">
        <v>7.8</v>
      </c>
      <c r="E188" t="s">
        <v>2199</v>
      </c>
      <c r="F188" t="s">
        <v>2275</v>
      </c>
      <c r="G188" t="s">
        <v>2199</v>
      </c>
      <c r="H188" t="s">
        <v>2401</v>
      </c>
      <c r="I188">
        <v>0</v>
      </c>
      <c r="J188">
        <v>35</v>
      </c>
      <c r="K188">
        <f t="shared" si="8"/>
        <v>15.64</v>
      </c>
      <c r="L188">
        <f t="shared" si="9"/>
        <v>15.64</v>
      </c>
      <c r="M188">
        <f t="shared" si="10"/>
        <v>0</v>
      </c>
      <c r="N188">
        <v>6.3</v>
      </c>
      <c r="O188">
        <v>0</v>
      </c>
      <c r="P188">
        <v>40</v>
      </c>
      <c r="Q188">
        <v>23.1</v>
      </c>
      <c r="R188">
        <v>6</v>
      </c>
      <c r="S188">
        <v>14.84</v>
      </c>
      <c r="T188">
        <v>-14.84</v>
      </c>
      <c r="U188">
        <v>3.31</v>
      </c>
      <c r="V188">
        <v>74.08</v>
      </c>
      <c r="W188">
        <v>16.87</v>
      </c>
      <c r="X188">
        <v>40.35</v>
      </c>
      <c r="Y188">
        <v>9.26</v>
      </c>
      <c r="Z188">
        <v>7.47</v>
      </c>
      <c r="AA188">
        <v>-1.74</v>
      </c>
      <c r="AB188">
        <v>11.28</v>
      </c>
      <c r="AC188">
        <v>-67.88</v>
      </c>
      <c r="AD188">
        <v>160</v>
      </c>
      <c r="AE188">
        <v>1460</v>
      </c>
      <c r="AF188">
        <v>13.4</v>
      </c>
      <c r="AG188">
        <v>0.15</v>
      </c>
      <c r="AH188">
        <v>5.81</v>
      </c>
      <c r="AI188">
        <v>52.94</v>
      </c>
      <c r="AJ188">
        <v>60</v>
      </c>
      <c r="AK188">
        <v>9</v>
      </c>
      <c r="AL188">
        <v>9</v>
      </c>
      <c r="AM188">
        <v>0.14000000000000001</v>
      </c>
      <c r="AN188">
        <v>96</v>
      </c>
      <c r="AO188">
        <v>97.26</v>
      </c>
      <c r="AP188">
        <v>213130.66</v>
      </c>
      <c r="AQ188">
        <v>213130.66</v>
      </c>
      <c r="AR188" t="s">
        <v>1095</v>
      </c>
      <c r="AT188" s="6">
        <f t="shared" si="11"/>
        <v>0</v>
      </c>
    </row>
    <row r="189" spans="1:46" x14ac:dyDescent="0.55000000000000004">
      <c r="A189">
        <v>0</v>
      </c>
      <c r="B189">
        <v>6</v>
      </c>
      <c r="C189">
        <v>92.7</v>
      </c>
      <c r="D189">
        <v>7.8</v>
      </c>
      <c r="E189" t="s">
        <v>2198</v>
      </c>
      <c r="F189" t="s">
        <v>2276</v>
      </c>
      <c r="G189" t="s">
        <v>2199</v>
      </c>
      <c r="H189" t="s">
        <v>2402</v>
      </c>
      <c r="I189">
        <v>0</v>
      </c>
      <c r="J189">
        <v>35</v>
      </c>
      <c r="K189">
        <f t="shared" si="8"/>
        <v>16.440000000000001</v>
      </c>
      <c r="L189">
        <f t="shared" si="9"/>
        <v>14.28</v>
      </c>
      <c r="M189">
        <f t="shared" si="10"/>
        <v>2.1600000000000019</v>
      </c>
      <c r="N189">
        <v>6.3</v>
      </c>
      <c r="O189">
        <v>0</v>
      </c>
      <c r="P189">
        <v>40</v>
      </c>
      <c r="Q189">
        <v>23.8</v>
      </c>
      <c r="R189">
        <v>6</v>
      </c>
      <c r="S189">
        <v>15.41</v>
      </c>
      <c r="T189">
        <v>-15.41</v>
      </c>
      <c r="U189">
        <v>2.65</v>
      </c>
      <c r="V189">
        <v>59.33</v>
      </c>
      <c r="W189">
        <v>13.51</v>
      </c>
      <c r="X189">
        <v>32.31</v>
      </c>
      <c r="Y189">
        <v>7.42</v>
      </c>
      <c r="Z189">
        <v>22.44</v>
      </c>
      <c r="AA189">
        <v>-1.92</v>
      </c>
      <c r="AB189">
        <v>11.65</v>
      </c>
      <c r="AC189">
        <v>-63.77</v>
      </c>
      <c r="AD189">
        <v>160</v>
      </c>
      <c r="AE189">
        <v>1460</v>
      </c>
      <c r="AF189">
        <v>13.4</v>
      </c>
      <c r="AG189">
        <v>0.15</v>
      </c>
      <c r="AH189">
        <v>8.1300000000000008</v>
      </c>
      <c r="AI189">
        <v>151.4</v>
      </c>
      <c r="AJ189">
        <v>60</v>
      </c>
      <c r="AK189">
        <v>9</v>
      </c>
      <c r="AL189">
        <v>9</v>
      </c>
      <c r="AM189">
        <v>0.05</v>
      </c>
      <c r="AN189">
        <v>96</v>
      </c>
      <c r="AO189">
        <v>96.44</v>
      </c>
      <c r="AP189">
        <v>230945.5</v>
      </c>
      <c r="AQ189">
        <v>172101.2</v>
      </c>
      <c r="AR189" t="s">
        <v>1096</v>
      </c>
      <c r="AT189" s="6">
        <f t="shared" si="11"/>
        <v>3.3586929223744284</v>
      </c>
    </row>
    <row r="190" spans="1:46" x14ac:dyDescent="0.55000000000000004">
      <c r="A190">
        <v>0</v>
      </c>
      <c r="B190">
        <v>6</v>
      </c>
      <c r="C190">
        <v>64.260000000000005</v>
      </c>
      <c r="D190">
        <v>7.8</v>
      </c>
      <c r="E190" t="s">
        <v>2198</v>
      </c>
      <c r="F190" t="s">
        <v>2277</v>
      </c>
      <c r="G190" t="s">
        <v>2199</v>
      </c>
      <c r="H190" t="s">
        <v>2403</v>
      </c>
      <c r="I190">
        <v>0</v>
      </c>
      <c r="J190">
        <v>35</v>
      </c>
      <c r="K190">
        <f t="shared" si="8"/>
        <v>19.3</v>
      </c>
      <c r="L190">
        <f t="shared" si="9"/>
        <v>14.28</v>
      </c>
      <c r="M190">
        <f t="shared" si="10"/>
        <v>5.0200000000000014</v>
      </c>
      <c r="N190">
        <v>6.3</v>
      </c>
      <c r="O190">
        <v>0</v>
      </c>
      <c r="P190">
        <v>56</v>
      </c>
      <c r="Q190">
        <v>20.100000000000001</v>
      </c>
      <c r="R190">
        <v>6</v>
      </c>
      <c r="S190">
        <v>14.58</v>
      </c>
      <c r="T190">
        <v>-14.58</v>
      </c>
      <c r="U190">
        <v>1.84</v>
      </c>
      <c r="V190">
        <v>41.13</v>
      </c>
      <c r="W190">
        <v>9.36</v>
      </c>
      <c r="X190">
        <v>22.4</v>
      </c>
      <c r="Y190">
        <v>5.14</v>
      </c>
      <c r="Z190">
        <v>26.36</v>
      </c>
      <c r="AA190">
        <v>-2.23</v>
      </c>
      <c r="AB190">
        <v>12.25</v>
      </c>
      <c r="AC190">
        <v>-69.930000000000007</v>
      </c>
      <c r="AD190">
        <v>160</v>
      </c>
      <c r="AE190">
        <v>1460</v>
      </c>
      <c r="AF190">
        <v>13.4</v>
      </c>
      <c r="AG190">
        <v>0.15</v>
      </c>
      <c r="AH190">
        <v>16.03</v>
      </c>
      <c r="AI190">
        <v>151.4</v>
      </c>
      <c r="AJ190">
        <v>60</v>
      </c>
      <c r="AK190">
        <v>9</v>
      </c>
      <c r="AL190">
        <v>9</v>
      </c>
      <c r="AM190">
        <v>0.05</v>
      </c>
      <c r="AN190">
        <v>96</v>
      </c>
      <c r="AO190">
        <v>96.44</v>
      </c>
      <c r="AP190">
        <v>295198.81</v>
      </c>
      <c r="AQ190">
        <v>172101.2</v>
      </c>
      <c r="AR190" t="s">
        <v>1097</v>
      </c>
      <c r="AT190" s="6">
        <f t="shared" si="11"/>
        <v>7.0261192922374418</v>
      </c>
    </row>
    <row r="191" spans="1:46" x14ac:dyDescent="0.55000000000000004">
      <c r="A191">
        <v>0</v>
      </c>
      <c r="B191">
        <v>6</v>
      </c>
      <c r="C191">
        <v>134.72</v>
      </c>
      <c r="D191">
        <v>7.8</v>
      </c>
      <c r="E191" t="s">
        <v>2198</v>
      </c>
      <c r="F191" t="s">
        <v>2278</v>
      </c>
      <c r="G191" t="s">
        <v>2199</v>
      </c>
      <c r="H191" t="s">
        <v>2404</v>
      </c>
      <c r="I191">
        <v>0</v>
      </c>
      <c r="J191">
        <v>35</v>
      </c>
      <c r="K191">
        <f t="shared" si="8"/>
        <v>15.26</v>
      </c>
      <c r="L191">
        <f t="shared" si="9"/>
        <v>14.28</v>
      </c>
      <c r="M191">
        <f t="shared" si="10"/>
        <v>0.98000000000000043</v>
      </c>
      <c r="N191">
        <v>6.3</v>
      </c>
      <c r="O191">
        <v>0</v>
      </c>
      <c r="P191">
        <v>41</v>
      </c>
      <c r="Q191">
        <v>22.1</v>
      </c>
      <c r="R191">
        <v>6</v>
      </c>
      <c r="S191">
        <v>14.18</v>
      </c>
      <c r="T191">
        <v>-14.18</v>
      </c>
      <c r="U191">
        <v>3.85</v>
      </c>
      <c r="V191">
        <v>86.22</v>
      </c>
      <c r="W191">
        <v>19.63</v>
      </c>
      <c r="X191">
        <v>46.96</v>
      </c>
      <c r="Y191">
        <v>10.78</v>
      </c>
      <c r="Z191">
        <v>20.84</v>
      </c>
      <c r="AA191">
        <v>-1.62</v>
      </c>
      <c r="AB191">
        <v>11.03</v>
      </c>
      <c r="AC191">
        <v>-73.349999999999994</v>
      </c>
      <c r="AD191">
        <v>160</v>
      </c>
      <c r="AE191">
        <v>1460</v>
      </c>
      <c r="AF191">
        <v>13.4</v>
      </c>
      <c r="AG191">
        <v>0.15</v>
      </c>
      <c r="AH191">
        <v>4.7</v>
      </c>
      <c r="AI191">
        <v>151.4</v>
      </c>
      <c r="AJ191">
        <v>60</v>
      </c>
      <c r="AK191">
        <v>9</v>
      </c>
      <c r="AL191">
        <v>9</v>
      </c>
      <c r="AM191">
        <v>0.05</v>
      </c>
      <c r="AN191">
        <v>96</v>
      </c>
      <c r="AO191">
        <v>96.44</v>
      </c>
      <c r="AP191">
        <v>204561.06</v>
      </c>
      <c r="AQ191">
        <v>172101.2</v>
      </c>
      <c r="AR191" t="s">
        <v>1098</v>
      </c>
      <c r="AT191" s="6">
        <f t="shared" si="11"/>
        <v>1.8527317351598165</v>
      </c>
    </row>
    <row r="192" spans="1:46" x14ac:dyDescent="0.55000000000000004">
      <c r="A192">
        <v>0</v>
      </c>
      <c r="B192">
        <v>6</v>
      </c>
      <c r="C192">
        <v>80.59</v>
      </c>
      <c r="D192">
        <v>7.8</v>
      </c>
      <c r="E192" t="s">
        <v>2198</v>
      </c>
      <c r="F192" t="s">
        <v>2279</v>
      </c>
      <c r="G192" t="s">
        <v>2199</v>
      </c>
      <c r="H192" t="s">
        <v>2405</v>
      </c>
      <c r="I192">
        <v>0</v>
      </c>
      <c r="J192">
        <v>35</v>
      </c>
      <c r="K192">
        <f t="shared" si="8"/>
        <v>17.18</v>
      </c>
      <c r="L192">
        <f t="shared" si="9"/>
        <v>14.28</v>
      </c>
      <c r="M192">
        <f t="shared" si="10"/>
        <v>2.9000000000000004</v>
      </c>
      <c r="N192">
        <v>6.3</v>
      </c>
      <c r="O192">
        <v>0</v>
      </c>
      <c r="P192">
        <v>38</v>
      </c>
      <c r="Q192">
        <v>24.8</v>
      </c>
      <c r="R192">
        <v>6</v>
      </c>
      <c r="S192">
        <v>15.88</v>
      </c>
      <c r="T192">
        <v>-15.88</v>
      </c>
      <c r="U192">
        <v>2.2999999999999998</v>
      </c>
      <c r="V192">
        <v>51.58</v>
      </c>
      <c r="W192">
        <v>11.74</v>
      </c>
      <c r="X192">
        <v>28.09</v>
      </c>
      <c r="Y192">
        <v>6.45</v>
      </c>
      <c r="Z192">
        <v>23.46</v>
      </c>
      <c r="AA192">
        <v>-2.04</v>
      </c>
      <c r="AB192">
        <v>11.88</v>
      </c>
      <c r="AC192">
        <v>-60.71</v>
      </c>
      <c r="AD192">
        <v>160</v>
      </c>
      <c r="AE192">
        <v>1460</v>
      </c>
      <c r="AF192">
        <v>13.4</v>
      </c>
      <c r="AG192">
        <v>0.15</v>
      </c>
      <c r="AH192">
        <v>10.29</v>
      </c>
      <c r="AI192">
        <v>151.4</v>
      </c>
      <c r="AJ192">
        <v>60</v>
      </c>
      <c r="AK192">
        <v>9</v>
      </c>
      <c r="AL192">
        <v>9</v>
      </c>
      <c r="AM192">
        <v>0.05</v>
      </c>
      <c r="AN192">
        <v>96</v>
      </c>
      <c r="AO192">
        <v>96.44</v>
      </c>
      <c r="AP192">
        <v>247598.52</v>
      </c>
      <c r="AQ192">
        <v>172101.2</v>
      </c>
      <c r="AR192" t="s">
        <v>1099</v>
      </c>
      <c r="AT192" s="6">
        <f t="shared" si="11"/>
        <v>4.3092077625570759</v>
      </c>
    </row>
    <row r="193" spans="1:46" x14ac:dyDescent="0.55000000000000004">
      <c r="A193">
        <v>0</v>
      </c>
      <c r="B193">
        <v>6</v>
      </c>
      <c r="C193">
        <v>66.89</v>
      </c>
      <c r="D193">
        <v>7.8</v>
      </c>
      <c r="E193" t="s">
        <v>2199</v>
      </c>
      <c r="F193" t="s">
        <v>2280</v>
      </c>
      <c r="G193" t="s">
        <v>2199</v>
      </c>
      <c r="H193" t="s">
        <v>2406</v>
      </c>
      <c r="I193">
        <v>0</v>
      </c>
      <c r="J193">
        <v>35</v>
      </c>
      <c r="K193">
        <f t="shared" si="8"/>
        <v>18.78</v>
      </c>
      <c r="L193">
        <f t="shared" si="9"/>
        <v>18.78</v>
      </c>
      <c r="M193">
        <f t="shared" si="10"/>
        <v>0</v>
      </c>
      <c r="N193">
        <v>6.3</v>
      </c>
      <c r="O193">
        <v>0</v>
      </c>
      <c r="P193">
        <v>56</v>
      </c>
      <c r="Q193">
        <v>19.7</v>
      </c>
      <c r="R193">
        <v>6</v>
      </c>
      <c r="S193">
        <v>14.23</v>
      </c>
      <c r="T193">
        <v>-14.23</v>
      </c>
      <c r="U193">
        <v>1.91</v>
      </c>
      <c r="V193">
        <v>42.81</v>
      </c>
      <c r="W193">
        <v>9.75</v>
      </c>
      <c r="X193">
        <v>23.32</v>
      </c>
      <c r="Y193">
        <v>5.35</v>
      </c>
      <c r="Z193">
        <v>3.59</v>
      </c>
      <c r="AA193">
        <v>-2.19</v>
      </c>
      <c r="AB193">
        <v>12.19</v>
      </c>
      <c r="AC193">
        <v>-72.930000000000007</v>
      </c>
      <c r="AD193">
        <v>160</v>
      </c>
      <c r="AE193">
        <v>1460</v>
      </c>
      <c r="AF193">
        <v>13.4</v>
      </c>
      <c r="AG193">
        <v>0.15</v>
      </c>
      <c r="AH193">
        <v>14.71</v>
      </c>
      <c r="AI193">
        <v>21.2</v>
      </c>
      <c r="AJ193">
        <v>60</v>
      </c>
      <c r="AK193">
        <v>9</v>
      </c>
      <c r="AL193">
        <v>9</v>
      </c>
      <c r="AM193">
        <v>0.35</v>
      </c>
      <c r="AN193">
        <v>96</v>
      </c>
      <c r="AO193">
        <v>99.14</v>
      </c>
      <c r="AP193">
        <v>283480.26</v>
      </c>
      <c r="AQ193">
        <v>283480.26</v>
      </c>
      <c r="AR193" t="s">
        <v>1100</v>
      </c>
      <c r="AT193" s="6">
        <f t="shared" si="11"/>
        <v>0</v>
      </c>
    </row>
    <row r="194" spans="1:46" x14ac:dyDescent="0.55000000000000004">
      <c r="A194">
        <v>0</v>
      </c>
      <c r="B194">
        <v>6</v>
      </c>
      <c r="C194">
        <v>64.900000000000006</v>
      </c>
      <c r="D194">
        <v>7.8</v>
      </c>
      <c r="E194" t="s">
        <v>2199</v>
      </c>
      <c r="F194" t="s">
        <v>2281</v>
      </c>
      <c r="G194" t="s">
        <v>2199</v>
      </c>
      <c r="H194" t="s">
        <v>2407</v>
      </c>
      <c r="I194">
        <v>0</v>
      </c>
      <c r="J194">
        <v>35</v>
      </c>
      <c r="K194">
        <f t="shared" si="8"/>
        <v>19.170000000000002</v>
      </c>
      <c r="L194">
        <f t="shared" si="9"/>
        <v>19.170000000000002</v>
      </c>
      <c r="M194">
        <f t="shared" si="10"/>
        <v>0</v>
      </c>
      <c r="N194">
        <v>6.3</v>
      </c>
      <c r="O194">
        <v>0</v>
      </c>
      <c r="P194">
        <v>40</v>
      </c>
      <c r="Q194">
        <v>25</v>
      </c>
      <c r="R194">
        <v>6</v>
      </c>
      <c r="S194">
        <v>16.38</v>
      </c>
      <c r="T194">
        <v>-16.38</v>
      </c>
      <c r="U194">
        <v>1.85</v>
      </c>
      <c r="V194">
        <v>41.54</v>
      </c>
      <c r="W194">
        <v>9.4600000000000009</v>
      </c>
      <c r="X194">
        <v>22.62</v>
      </c>
      <c r="Y194">
        <v>5.19</v>
      </c>
      <c r="Z194">
        <v>3.41</v>
      </c>
      <c r="AA194">
        <v>-2.2200000000000002</v>
      </c>
      <c r="AB194">
        <v>12.24</v>
      </c>
      <c r="AC194">
        <v>-57.78</v>
      </c>
      <c r="AD194">
        <v>160</v>
      </c>
      <c r="AE194">
        <v>1460</v>
      </c>
      <c r="AF194">
        <v>13.4</v>
      </c>
      <c r="AG194">
        <v>0.15</v>
      </c>
      <c r="AH194">
        <v>15.69</v>
      </c>
      <c r="AI194">
        <v>19.739999999999998</v>
      </c>
      <c r="AJ194">
        <v>60</v>
      </c>
      <c r="AK194">
        <v>9</v>
      </c>
      <c r="AL194">
        <v>9</v>
      </c>
      <c r="AM194">
        <v>0.37</v>
      </c>
      <c r="AN194">
        <v>96</v>
      </c>
      <c r="AO194">
        <v>99.37</v>
      </c>
      <c r="AP194">
        <v>292122.67</v>
      </c>
      <c r="AQ194">
        <v>292122.67</v>
      </c>
      <c r="AR194" t="s">
        <v>1101</v>
      </c>
      <c r="AT194" s="6">
        <f t="shared" si="11"/>
        <v>0</v>
      </c>
    </row>
    <row r="195" spans="1:46" x14ac:dyDescent="0.55000000000000004">
      <c r="A195">
        <v>0</v>
      </c>
      <c r="B195">
        <v>6</v>
      </c>
      <c r="C195">
        <v>61.51</v>
      </c>
      <c r="D195">
        <v>7.8</v>
      </c>
      <c r="E195" t="s">
        <v>2198</v>
      </c>
      <c r="F195" t="s">
        <v>2282</v>
      </c>
      <c r="G195" t="s">
        <v>2199</v>
      </c>
      <c r="H195" t="s">
        <v>2408</v>
      </c>
      <c r="I195">
        <v>0</v>
      </c>
      <c r="J195">
        <v>35</v>
      </c>
      <c r="K195">
        <f t="shared" ref="K195:K251" si="12">IF(E195=0,0,
VALUE(MID(E195,2,FIND(",",E195)-2))+
VALUE(MID(F195,2,FIND(",",F195)-2))+
VALUE(MID(G195,2,FIND(",",G195)-2))
)</f>
        <v>20.010000000000002</v>
      </c>
      <c r="L195">
        <f t="shared" ref="L195:L251" si="13">IF(E195=0,0,
VALUE(MID(E195,FIND(",",E195)+1,FIND("]",E195)-FIND(",",E195)-1))+
VALUE(MID(F195,FIND(",",F195)+1,FIND("]",F195)-FIND(",",F195)-1))+
VALUE(MID(G195,FIND(",",G195)+1,FIND("]",G195)-FIND(",",G195)-1))
)</f>
        <v>14.28</v>
      </c>
      <c r="M195">
        <f t="shared" ref="M195:M251" si="14">(K195-L195)</f>
        <v>5.7300000000000022</v>
      </c>
      <c r="N195">
        <v>6.3</v>
      </c>
      <c r="O195">
        <v>0</v>
      </c>
      <c r="P195">
        <v>43</v>
      </c>
      <c r="Q195">
        <v>24.3</v>
      </c>
      <c r="R195">
        <v>6</v>
      </c>
      <c r="S195">
        <v>16.3</v>
      </c>
      <c r="T195">
        <v>-16.3</v>
      </c>
      <c r="U195">
        <v>1.76</v>
      </c>
      <c r="V195">
        <v>39.369999999999997</v>
      </c>
      <c r="W195">
        <v>8.9600000000000009</v>
      </c>
      <c r="X195">
        <v>21.44</v>
      </c>
      <c r="Y195">
        <v>4.92</v>
      </c>
      <c r="Z195">
        <v>27.32</v>
      </c>
      <c r="AA195">
        <v>-2.2599999999999998</v>
      </c>
      <c r="AB195">
        <v>12.33</v>
      </c>
      <c r="AC195">
        <v>-58.23</v>
      </c>
      <c r="AD195">
        <v>160</v>
      </c>
      <c r="AE195">
        <v>1460</v>
      </c>
      <c r="AF195">
        <v>13.4</v>
      </c>
      <c r="AG195">
        <v>0.15</v>
      </c>
      <c r="AH195">
        <v>17.690000000000001</v>
      </c>
      <c r="AI195">
        <v>151.4</v>
      </c>
      <c r="AJ195">
        <v>60</v>
      </c>
      <c r="AK195">
        <v>9</v>
      </c>
      <c r="AL195">
        <v>9</v>
      </c>
      <c r="AM195">
        <v>0.05</v>
      </c>
      <c r="AN195">
        <v>96</v>
      </c>
      <c r="AO195">
        <v>96.44</v>
      </c>
      <c r="AP195">
        <v>311098.77</v>
      </c>
      <c r="AQ195">
        <v>172101.2</v>
      </c>
      <c r="AR195" t="s">
        <v>1102</v>
      </c>
      <c r="AT195" s="6">
        <f t="shared" ref="AT195:AT251" si="15">(AP195-AQ195)/(365*24*2)</f>
        <v>7.9336512557077628</v>
      </c>
    </row>
    <row r="196" spans="1:46" x14ac:dyDescent="0.55000000000000004">
      <c r="A196">
        <v>0</v>
      </c>
      <c r="B196">
        <v>6</v>
      </c>
      <c r="C196">
        <v>91.18</v>
      </c>
      <c r="D196">
        <v>7.8</v>
      </c>
      <c r="E196" t="s">
        <v>2198</v>
      </c>
      <c r="F196" t="s">
        <v>2283</v>
      </c>
      <c r="G196" t="s">
        <v>2199</v>
      </c>
      <c r="H196" t="s">
        <v>2409</v>
      </c>
      <c r="I196">
        <v>0</v>
      </c>
      <c r="J196">
        <v>35</v>
      </c>
      <c r="K196">
        <f t="shared" si="12"/>
        <v>16.510000000000002</v>
      </c>
      <c r="L196">
        <f t="shared" si="13"/>
        <v>14.28</v>
      </c>
      <c r="M196">
        <f t="shared" si="14"/>
        <v>2.2300000000000022</v>
      </c>
      <c r="N196">
        <v>6.3</v>
      </c>
      <c r="O196">
        <v>0</v>
      </c>
      <c r="P196">
        <v>39</v>
      </c>
      <c r="Q196">
        <v>24.2</v>
      </c>
      <c r="R196">
        <v>6</v>
      </c>
      <c r="S196">
        <v>15.57</v>
      </c>
      <c r="T196">
        <v>-15.57</v>
      </c>
      <c r="U196">
        <v>2.61</v>
      </c>
      <c r="V196">
        <v>58.35</v>
      </c>
      <c r="W196">
        <v>13.29</v>
      </c>
      <c r="X196">
        <v>31.78</v>
      </c>
      <c r="Y196">
        <v>7.29</v>
      </c>
      <c r="Z196">
        <v>22.55</v>
      </c>
      <c r="AA196">
        <v>-1.94</v>
      </c>
      <c r="AB196">
        <v>11.68</v>
      </c>
      <c r="AC196">
        <v>-62.71</v>
      </c>
      <c r="AD196">
        <v>160</v>
      </c>
      <c r="AE196">
        <v>1460</v>
      </c>
      <c r="AF196">
        <v>13.4</v>
      </c>
      <c r="AG196">
        <v>0.15</v>
      </c>
      <c r="AH196">
        <v>8.35</v>
      </c>
      <c r="AI196">
        <v>151.4</v>
      </c>
      <c r="AJ196">
        <v>60</v>
      </c>
      <c r="AK196">
        <v>9</v>
      </c>
      <c r="AL196">
        <v>9</v>
      </c>
      <c r="AM196">
        <v>0.05</v>
      </c>
      <c r="AN196">
        <v>96</v>
      </c>
      <c r="AO196">
        <v>96.44</v>
      </c>
      <c r="AP196">
        <v>232634.88</v>
      </c>
      <c r="AQ196">
        <v>172101.2</v>
      </c>
      <c r="AR196" t="s">
        <v>1103</v>
      </c>
      <c r="AT196" s="6">
        <f t="shared" si="15"/>
        <v>3.4551187214611869</v>
      </c>
    </row>
    <row r="197" spans="1:46" x14ac:dyDescent="0.55000000000000004">
      <c r="A197">
        <v>0</v>
      </c>
      <c r="B197">
        <v>6</v>
      </c>
      <c r="C197">
        <v>73.900000000000006</v>
      </c>
      <c r="D197">
        <v>7.8</v>
      </c>
      <c r="E197" t="s">
        <v>2199</v>
      </c>
      <c r="F197" t="s">
        <v>2284</v>
      </c>
      <c r="G197" t="s">
        <v>2199</v>
      </c>
      <c r="H197" t="s">
        <v>2410</v>
      </c>
      <c r="I197">
        <v>0</v>
      </c>
      <c r="J197">
        <v>35</v>
      </c>
      <c r="K197">
        <f t="shared" si="12"/>
        <v>17.8</v>
      </c>
      <c r="L197">
        <f t="shared" si="13"/>
        <v>17.8</v>
      </c>
      <c r="M197">
        <f t="shared" si="14"/>
        <v>0</v>
      </c>
      <c r="N197">
        <v>6.3</v>
      </c>
      <c r="O197">
        <v>0</v>
      </c>
      <c r="P197">
        <v>38</v>
      </c>
      <c r="Q197">
        <v>24.9</v>
      </c>
      <c r="R197">
        <v>6</v>
      </c>
      <c r="S197">
        <v>15.96</v>
      </c>
      <c r="T197">
        <v>-15.96</v>
      </c>
      <c r="U197">
        <v>2.11</v>
      </c>
      <c r="V197">
        <v>47.3</v>
      </c>
      <c r="W197">
        <v>10.77</v>
      </c>
      <c r="X197">
        <v>25.76</v>
      </c>
      <c r="Y197">
        <v>5.91</v>
      </c>
      <c r="Z197">
        <v>4.1900000000000004</v>
      </c>
      <c r="AA197">
        <v>-2.11</v>
      </c>
      <c r="AB197">
        <v>12.02</v>
      </c>
      <c r="AC197">
        <v>-60.22</v>
      </c>
      <c r="AD197">
        <v>160</v>
      </c>
      <c r="AE197">
        <v>1460</v>
      </c>
      <c r="AF197">
        <v>13.4</v>
      </c>
      <c r="AG197">
        <v>0.15</v>
      </c>
      <c r="AH197">
        <v>12.06</v>
      </c>
      <c r="AI197">
        <v>26.07</v>
      </c>
      <c r="AJ197">
        <v>60</v>
      </c>
      <c r="AK197">
        <v>9</v>
      </c>
      <c r="AL197">
        <v>9</v>
      </c>
      <c r="AM197">
        <v>0.28000000000000003</v>
      </c>
      <c r="AN197">
        <v>96</v>
      </c>
      <c r="AO197">
        <v>98.55</v>
      </c>
      <c r="AP197">
        <v>261543.13</v>
      </c>
      <c r="AQ197">
        <v>261543.13</v>
      </c>
      <c r="AR197" t="s">
        <v>1104</v>
      </c>
      <c r="AT197" s="6">
        <f t="shared" si="15"/>
        <v>0</v>
      </c>
    </row>
    <row r="198" spans="1:46" x14ac:dyDescent="0.55000000000000004">
      <c r="A198">
        <v>0</v>
      </c>
      <c r="B198">
        <v>6</v>
      </c>
      <c r="C198">
        <v>65.98</v>
      </c>
      <c r="D198">
        <v>7.8</v>
      </c>
      <c r="E198" t="s">
        <v>2199</v>
      </c>
      <c r="F198" t="s">
        <v>2285</v>
      </c>
      <c r="G198" t="s">
        <v>2199</v>
      </c>
      <c r="H198" t="s">
        <v>2411</v>
      </c>
      <c r="I198">
        <v>0</v>
      </c>
      <c r="J198">
        <v>35</v>
      </c>
      <c r="K198">
        <f t="shared" si="12"/>
        <v>18.95</v>
      </c>
      <c r="L198">
        <f t="shared" si="13"/>
        <v>18.95</v>
      </c>
      <c r="M198">
        <f t="shared" si="14"/>
        <v>0</v>
      </c>
      <c r="N198">
        <v>6.3</v>
      </c>
      <c r="O198">
        <v>0</v>
      </c>
      <c r="P198">
        <v>41</v>
      </c>
      <c r="Q198">
        <v>24.8</v>
      </c>
      <c r="R198">
        <v>6</v>
      </c>
      <c r="S198">
        <v>16.39</v>
      </c>
      <c r="T198">
        <v>-16.39</v>
      </c>
      <c r="U198">
        <v>1.89</v>
      </c>
      <c r="V198">
        <v>42.23</v>
      </c>
      <c r="W198">
        <v>9.61</v>
      </c>
      <c r="X198">
        <v>23</v>
      </c>
      <c r="Y198">
        <v>5.28</v>
      </c>
      <c r="Z198">
        <v>3.51</v>
      </c>
      <c r="AA198">
        <v>-2.21</v>
      </c>
      <c r="AB198">
        <v>12.21</v>
      </c>
      <c r="AC198">
        <v>-57.76</v>
      </c>
      <c r="AD198">
        <v>160</v>
      </c>
      <c r="AE198">
        <v>1460</v>
      </c>
      <c r="AF198">
        <v>13.4</v>
      </c>
      <c r="AG198">
        <v>0.15</v>
      </c>
      <c r="AH198">
        <v>15.14</v>
      </c>
      <c r="AI198">
        <v>20.53</v>
      </c>
      <c r="AJ198">
        <v>60</v>
      </c>
      <c r="AK198">
        <v>9</v>
      </c>
      <c r="AL198">
        <v>9</v>
      </c>
      <c r="AM198">
        <v>0.36</v>
      </c>
      <c r="AN198">
        <v>96</v>
      </c>
      <c r="AO198">
        <v>99.24</v>
      </c>
      <c r="AP198">
        <v>287265.58</v>
      </c>
      <c r="AQ198">
        <v>287265.58</v>
      </c>
      <c r="AR198" t="s">
        <v>1105</v>
      </c>
      <c r="AT198" s="6">
        <f t="shared" si="15"/>
        <v>0</v>
      </c>
    </row>
    <row r="199" spans="1:46" x14ac:dyDescent="0.55000000000000004">
      <c r="A199">
        <v>0</v>
      </c>
      <c r="B199">
        <v>6</v>
      </c>
      <c r="C199">
        <v>70.430000000000007</v>
      </c>
      <c r="D199">
        <v>7.8</v>
      </c>
      <c r="E199" t="s">
        <v>2199</v>
      </c>
      <c r="F199" t="s">
        <v>2286</v>
      </c>
      <c r="G199" t="s">
        <v>2199</v>
      </c>
      <c r="H199" t="s">
        <v>2412</v>
      </c>
      <c r="I199">
        <v>0</v>
      </c>
      <c r="J199">
        <v>35</v>
      </c>
      <c r="K199">
        <f t="shared" si="12"/>
        <v>18.23</v>
      </c>
      <c r="L199">
        <f t="shared" si="13"/>
        <v>18.23</v>
      </c>
      <c r="M199">
        <f t="shared" si="14"/>
        <v>0</v>
      </c>
      <c r="N199">
        <v>6.3</v>
      </c>
      <c r="O199">
        <v>0</v>
      </c>
      <c r="P199">
        <v>56</v>
      </c>
      <c r="Q199">
        <v>19.5</v>
      </c>
      <c r="R199">
        <v>6</v>
      </c>
      <c r="S199">
        <v>14.05</v>
      </c>
      <c r="T199">
        <v>-14.05</v>
      </c>
      <c r="U199">
        <v>2.0099999999999998</v>
      </c>
      <c r="V199">
        <v>45.08</v>
      </c>
      <c r="W199">
        <v>10.26</v>
      </c>
      <c r="X199">
        <v>24.55</v>
      </c>
      <c r="Y199">
        <v>5.63</v>
      </c>
      <c r="Z199">
        <v>3.9</v>
      </c>
      <c r="AA199">
        <v>-2.15</v>
      </c>
      <c r="AB199">
        <v>12.1</v>
      </c>
      <c r="AC199">
        <v>-74.540000000000006</v>
      </c>
      <c r="AD199">
        <v>160</v>
      </c>
      <c r="AE199">
        <v>1460</v>
      </c>
      <c r="AF199">
        <v>13.4</v>
      </c>
      <c r="AG199">
        <v>0.15</v>
      </c>
      <c r="AH199">
        <v>13.24</v>
      </c>
      <c r="AI199">
        <v>23.69</v>
      </c>
      <c r="AJ199">
        <v>60</v>
      </c>
      <c r="AK199">
        <v>9</v>
      </c>
      <c r="AL199">
        <v>9</v>
      </c>
      <c r="AM199">
        <v>0.31</v>
      </c>
      <c r="AN199">
        <v>96</v>
      </c>
      <c r="AO199">
        <v>98.81</v>
      </c>
      <c r="AP199">
        <v>271110.57</v>
      </c>
      <c r="AQ199">
        <v>271110.57</v>
      </c>
      <c r="AR199" t="s">
        <v>1106</v>
      </c>
      <c r="AT199" s="6">
        <f t="shared" si="15"/>
        <v>0</v>
      </c>
    </row>
    <row r="200" spans="1:46" x14ac:dyDescent="0.55000000000000004">
      <c r="A200">
        <v>0</v>
      </c>
      <c r="B200">
        <v>6</v>
      </c>
      <c r="C200">
        <v>106.52</v>
      </c>
      <c r="D200">
        <v>7.8</v>
      </c>
      <c r="E200" t="s">
        <v>2199</v>
      </c>
      <c r="F200" t="s">
        <v>2287</v>
      </c>
      <c r="G200" t="s">
        <v>2199</v>
      </c>
      <c r="H200" t="s">
        <v>2413</v>
      </c>
      <c r="I200">
        <v>0</v>
      </c>
      <c r="J200">
        <v>35</v>
      </c>
      <c r="K200">
        <f t="shared" si="12"/>
        <v>15.9</v>
      </c>
      <c r="L200">
        <f t="shared" si="13"/>
        <v>15.9</v>
      </c>
      <c r="M200">
        <f t="shared" si="14"/>
        <v>0</v>
      </c>
      <c r="N200">
        <v>6.3</v>
      </c>
      <c r="O200">
        <v>0</v>
      </c>
      <c r="P200">
        <v>41</v>
      </c>
      <c r="Q200">
        <v>22.8</v>
      </c>
      <c r="R200">
        <v>6</v>
      </c>
      <c r="S200">
        <v>14.75</v>
      </c>
      <c r="T200">
        <v>-14.75</v>
      </c>
      <c r="U200">
        <v>3.04</v>
      </c>
      <c r="V200">
        <v>68.17</v>
      </c>
      <c r="W200">
        <v>15.52</v>
      </c>
      <c r="X200">
        <v>37.130000000000003</v>
      </c>
      <c r="Y200">
        <v>8.52</v>
      </c>
      <c r="Z200">
        <v>6.76</v>
      </c>
      <c r="AA200">
        <v>-1.81</v>
      </c>
      <c r="AB200">
        <v>11.42</v>
      </c>
      <c r="AC200">
        <v>-68.55</v>
      </c>
      <c r="AD200">
        <v>160</v>
      </c>
      <c r="AE200">
        <v>1460</v>
      </c>
      <c r="AF200">
        <v>13.4</v>
      </c>
      <c r="AG200">
        <v>0.15</v>
      </c>
      <c r="AH200">
        <v>6.56</v>
      </c>
      <c r="AI200">
        <v>47.15</v>
      </c>
      <c r="AJ200">
        <v>60</v>
      </c>
      <c r="AK200">
        <v>9</v>
      </c>
      <c r="AL200">
        <v>9</v>
      </c>
      <c r="AM200">
        <v>0.16</v>
      </c>
      <c r="AN200">
        <v>96</v>
      </c>
      <c r="AO200">
        <v>97.41</v>
      </c>
      <c r="AP200">
        <v>218901.27</v>
      </c>
      <c r="AQ200">
        <v>218901.27</v>
      </c>
      <c r="AR200" t="s">
        <v>1107</v>
      </c>
      <c r="AT200" s="6">
        <f t="shared" si="15"/>
        <v>0</v>
      </c>
    </row>
    <row r="201" spans="1:46" x14ac:dyDescent="0.55000000000000004">
      <c r="A201">
        <v>0</v>
      </c>
      <c r="B201">
        <v>6</v>
      </c>
      <c r="C201">
        <v>61.8</v>
      </c>
      <c r="D201">
        <v>7.8</v>
      </c>
      <c r="E201" t="s">
        <v>2198</v>
      </c>
      <c r="F201" t="s">
        <v>2288</v>
      </c>
      <c r="G201" t="s">
        <v>2199</v>
      </c>
      <c r="H201" t="s">
        <v>2414</v>
      </c>
      <c r="I201">
        <v>0</v>
      </c>
      <c r="J201">
        <v>35</v>
      </c>
      <c r="K201">
        <f t="shared" si="12"/>
        <v>19.93</v>
      </c>
      <c r="L201">
        <f t="shared" si="13"/>
        <v>14.28</v>
      </c>
      <c r="M201">
        <f t="shared" si="14"/>
        <v>5.65</v>
      </c>
      <c r="N201">
        <v>6.3</v>
      </c>
      <c r="O201">
        <v>0</v>
      </c>
      <c r="P201">
        <v>54</v>
      </c>
      <c r="Q201">
        <v>21</v>
      </c>
      <c r="R201">
        <v>6</v>
      </c>
      <c r="S201">
        <v>15.11</v>
      </c>
      <c r="T201">
        <v>-15.11</v>
      </c>
      <c r="U201">
        <v>1.77</v>
      </c>
      <c r="V201">
        <v>39.549999999999997</v>
      </c>
      <c r="W201">
        <v>9</v>
      </c>
      <c r="X201">
        <v>21.54</v>
      </c>
      <c r="Y201">
        <v>4.9400000000000004</v>
      </c>
      <c r="Z201">
        <v>27.21</v>
      </c>
      <c r="AA201">
        <v>-2.2599999999999998</v>
      </c>
      <c r="AB201">
        <v>12.32</v>
      </c>
      <c r="AC201">
        <v>-65.89</v>
      </c>
      <c r="AD201">
        <v>160</v>
      </c>
      <c r="AE201">
        <v>1460</v>
      </c>
      <c r="AF201">
        <v>13.4</v>
      </c>
      <c r="AG201">
        <v>0.15</v>
      </c>
      <c r="AH201">
        <v>17.510000000000002</v>
      </c>
      <c r="AI201">
        <v>151.4</v>
      </c>
      <c r="AJ201">
        <v>60</v>
      </c>
      <c r="AK201">
        <v>9</v>
      </c>
      <c r="AL201">
        <v>9</v>
      </c>
      <c r="AM201">
        <v>0.05</v>
      </c>
      <c r="AN201">
        <v>96</v>
      </c>
      <c r="AO201">
        <v>96.44</v>
      </c>
      <c r="AP201">
        <v>309217.12</v>
      </c>
      <c r="AQ201">
        <v>172101.2</v>
      </c>
      <c r="AR201" t="s">
        <v>1108</v>
      </c>
      <c r="AT201" s="6">
        <f t="shared" si="15"/>
        <v>7.8262511415525102</v>
      </c>
    </row>
    <row r="202" spans="1:46" x14ac:dyDescent="0.5500000000000000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f t="shared" si="12"/>
        <v>0</v>
      </c>
      <c r="L202">
        <f t="shared" si="13"/>
        <v>0</v>
      </c>
      <c r="M202">
        <f t="shared" si="14"/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T202" s="6">
        <f t="shared" si="15"/>
        <v>0</v>
      </c>
    </row>
    <row r="203" spans="1:46" x14ac:dyDescent="0.5500000000000000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f t="shared" si="12"/>
        <v>0</v>
      </c>
      <c r="L203">
        <f t="shared" si="13"/>
        <v>0</v>
      </c>
      <c r="M203">
        <f t="shared" si="14"/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T203" s="6">
        <f t="shared" si="15"/>
        <v>0</v>
      </c>
    </row>
    <row r="204" spans="1:46" x14ac:dyDescent="0.55000000000000004">
      <c r="A204">
        <v>0</v>
      </c>
      <c r="B204">
        <v>6</v>
      </c>
      <c r="C204">
        <v>231.12</v>
      </c>
      <c r="D204">
        <v>7.8</v>
      </c>
      <c r="E204" t="s">
        <v>2198</v>
      </c>
      <c r="F204" t="s">
        <v>2289</v>
      </c>
      <c r="G204" t="s">
        <v>2199</v>
      </c>
      <c r="H204" t="s">
        <v>2415</v>
      </c>
      <c r="I204">
        <v>0</v>
      </c>
      <c r="J204">
        <v>35</v>
      </c>
      <c r="K204">
        <f t="shared" si="12"/>
        <v>14.44</v>
      </c>
      <c r="L204">
        <f t="shared" si="13"/>
        <v>14.28</v>
      </c>
      <c r="M204">
        <f t="shared" si="14"/>
        <v>0.16000000000000014</v>
      </c>
      <c r="N204">
        <v>6.3</v>
      </c>
      <c r="O204">
        <v>0</v>
      </c>
      <c r="P204">
        <v>51</v>
      </c>
      <c r="Q204">
        <v>19.2</v>
      </c>
      <c r="R204">
        <v>6</v>
      </c>
      <c r="S204">
        <v>13.14</v>
      </c>
      <c r="T204">
        <v>-13.14</v>
      </c>
      <c r="U204">
        <v>6.6</v>
      </c>
      <c r="V204">
        <v>147.91</v>
      </c>
      <c r="W204">
        <v>33.68</v>
      </c>
      <c r="X204">
        <v>80.56</v>
      </c>
      <c r="Y204">
        <v>18.489999999999998</v>
      </c>
      <c r="Z204">
        <v>19.72</v>
      </c>
      <c r="AA204">
        <v>-1.17</v>
      </c>
      <c r="AB204">
        <v>10.14</v>
      </c>
      <c r="AC204">
        <v>-84.01</v>
      </c>
      <c r="AD204">
        <v>160</v>
      </c>
      <c r="AE204">
        <v>1460</v>
      </c>
      <c r="AF204">
        <v>13.4</v>
      </c>
      <c r="AG204">
        <v>0.15</v>
      </c>
      <c r="AH204">
        <v>2.39</v>
      </c>
      <c r="AI204">
        <v>151.4</v>
      </c>
      <c r="AJ204">
        <v>60</v>
      </c>
      <c r="AK204">
        <v>9</v>
      </c>
      <c r="AL204">
        <v>9</v>
      </c>
      <c r="AM204">
        <v>0.05</v>
      </c>
      <c r="AN204">
        <v>96</v>
      </c>
      <c r="AO204">
        <v>96.44</v>
      </c>
      <c r="AP204">
        <v>186196.37</v>
      </c>
      <c r="AQ204">
        <v>172101.2</v>
      </c>
      <c r="AR204" t="s">
        <v>1111</v>
      </c>
      <c r="AT204" s="6">
        <f t="shared" si="15"/>
        <v>0.80451883561643744</v>
      </c>
    </row>
    <row r="205" spans="1:46" x14ac:dyDescent="0.55000000000000004">
      <c r="A205">
        <v>0</v>
      </c>
      <c r="B205">
        <v>6</v>
      </c>
      <c r="C205">
        <v>254.56</v>
      </c>
      <c r="D205">
        <v>7.8</v>
      </c>
      <c r="E205" t="s">
        <v>2198</v>
      </c>
      <c r="F205" t="s">
        <v>2290</v>
      </c>
      <c r="G205" t="s">
        <v>2199</v>
      </c>
      <c r="H205" t="s">
        <v>2416</v>
      </c>
      <c r="I205">
        <v>0</v>
      </c>
      <c r="J205">
        <v>35</v>
      </c>
      <c r="K205">
        <f t="shared" si="12"/>
        <v>14.35</v>
      </c>
      <c r="L205">
        <f t="shared" si="13"/>
        <v>14.28</v>
      </c>
      <c r="M205">
        <f t="shared" si="14"/>
        <v>7.0000000000000284E-2</v>
      </c>
      <c r="N205">
        <v>6.3</v>
      </c>
      <c r="O205">
        <v>0</v>
      </c>
      <c r="P205">
        <v>45</v>
      </c>
      <c r="Q205">
        <v>18.399999999999999</v>
      </c>
      <c r="R205">
        <v>6</v>
      </c>
      <c r="S205">
        <v>11.68</v>
      </c>
      <c r="T205">
        <v>-11.68</v>
      </c>
      <c r="U205">
        <v>7.27</v>
      </c>
      <c r="V205">
        <v>162.91999999999999</v>
      </c>
      <c r="W205">
        <v>37.090000000000003</v>
      </c>
      <c r="X205">
        <v>88.73</v>
      </c>
      <c r="Y205">
        <v>20.36</v>
      </c>
      <c r="Z205">
        <v>19.59</v>
      </c>
      <c r="AA205">
        <v>-1.0900000000000001</v>
      </c>
      <c r="AB205">
        <v>9.98</v>
      </c>
      <c r="AC205">
        <v>-105.63</v>
      </c>
      <c r="AD205">
        <v>160</v>
      </c>
      <c r="AE205">
        <v>1460</v>
      </c>
      <c r="AF205">
        <v>13.4</v>
      </c>
      <c r="AG205">
        <v>0.15</v>
      </c>
      <c r="AH205">
        <v>2.14</v>
      </c>
      <c r="AI205">
        <v>151.4</v>
      </c>
      <c r="AJ205">
        <v>60</v>
      </c>
      <c r="AK205">
        <v>9</v>
      </c>
      <c r="AL205">
        <v>9</v>
      </c>
      <c r="AM205">
        <v>0.05</v>
      </c>
      <c r="AN205">
        <v>96</v>
      </c>
      <c r="AO205">
        <v>96.44</v>
      </c>
      <c r="AP205">
        <v>184117.54</v>
      </c>
      <c r="AQ205">
        <v>172101.2</v>
      </c>
      <c r="AR205" t="s">
        <v>1112</v>
      </c>
      <c r="AT205" s="6">
        <f t="shared" si="15"/>
        <v>0.68586415525114131</v>
      </c>
    </row>
    <row r="206" spans="1:46" x14ac:dyDescent="0.55000000000000004">
      <c r="A206">
        <v>0</v>
      </c>
      <c r="B206">
        <v>6</v>
      </c>
      <c r="C206">
        <v>511.83</v>
      </c>
      <c r="D206">
        <v>7.8</v>
      </c>
      <c r="E206" t="s">
        <v>2198</v>
      </c>
      <c r="F206" t="s">
        <v>2291</v>
      </c>
      <c r="G206" t="s">
        <v>2199</v>
      </c>
      <c r="H206" t="s">
        <v>2417</v>
      </c>
      <c r="I206">
        <v>0</v>
      </c>
      <c r="J206">
        <v>35</v>
      </c>
      <c r="K206">
        <f t="shared" si="12"/>
        <v>13.92</v>
      </c>
      <c r="L206">
        <f t="shared" si="13"/>
        <v>14.28</v>
      </c>
      <c r="M206">
        <f t="shared" si="14"/>
        <v>-0.35999999999999943</v>
      </c>
      <c r="N206">
        <v>6.3</v>
      </c>
      <c r="O206">
        <v>0</v>
      </c>
      <c r="P206">
        <v>46</v>
      </c>
      <c r="Q206">
        <v>18.399999999999999</v>
      </c>
      <c r="R206">
        <v>6</v>
      </c>
      <c r="S206">
        <v>11.81</v>
      </c>
      <c r="T206">
        <v>-11.81</v>
      </c>
      <c r="U206">
        <v>14.62</v>
      </c>
      <c r="V206">
        <v>327.57</v>
      </c>
      <c r="W206">
        <v>74.58</v>
      </c>
      <c r="X206">
        <v>178.41</v>
      </c>
      <c r="Y206">
        <v>40.950000000000003</v>
      </c>
      <c r="Z206">
        <v>19.010000000000002</v>
      </c>
      <c r="AA206">
        <v>-0.52</v>
      </c>
      <c r="AB206">
        <v>8.83</v>
      </c>
      <c r="AC206">
        <v>-103.27</v>
      </c>
      <c r="AD206">
        <v>160</v>
      </c>
      <c r="AE206">
        <v>1460</v>
      </c>
      <c r="AF206">
        <v>13.4</v>
      </c>
      <c r="AG206">
        <v>0.15</v>
      </c>
      <c r="AH206">
        <v>0.98</v>
      </c>
      <c r="AI206">
        <v>151.4</v>
      </c>
      <c r="AJ206">
        <v>60</v>
      </c>
      <c r="AK206">
        <v>9</v>
      </c>
      <c r="AL206">
        <v>9</v>
      </c>
      <c r="AM206">
        <v>0.05</v>
      </c>
      <c r="AN206">
        <v>96</v>
      </c>
      <c r="AO206">
        <v>96.44</v>
      </c>
      <c r="AP206">
        <v>174567.52</v>
      </c>
      <c r="AQ206">
        <v>172101.2</v>
      </c>
      <c r="AR206" t="s">
        <v>1113</v>
      </c>
      <c r="AT206" s="6">
        <f t="shared" si="15"/>
        <v>0.14077168949771562</v>
      </c>
    </row>
    <row r="207" spans="1:46" x14ac:dyDescent="0.55000000000000004">
      <c r="A207">
        <v>0</v>
      </c>
      <c r="B207">
        <v>6</v>
      </c>
      <c r="C207">
        <v>210.12</v>
      </c>
      <c r="D207">
        <v>7.8</v>
      </c>
      <c r="E207" t="s">
        <v>2199</v>
      </c>
      <c r="F207" t="s">
        <v>2274</v>
      </c>
      <c r="G207" t="s">
        <v>2199</v>
      </c>
      <c r="H207" t="s">
        <v>2400</v>
      </c>
      <c r="I207">
        <v>0</v>
      </c>
      <c r="J207">
        <v>35</v>
      </c>
      <c r="K207">
        <f t="shared" si="12"/>
        <v>14.55</v>
      </c>
      <c r="L207">
        <f t="shared" si="13"/>
        <v>14.55</v>
      </c>
      <c r="M207">
        <f t="shared" si="14"/>
        <v>0</v>
      </c>
      <c r="N207">
        <v>6.3</v>
      </c>
      <c r="O207">
        <v>0</v>
      </c>
      <c r="P207">
        <v>50</v>
      </c>
      <c r="Q207">
        <v>19.100000000000001</v>
      </c>
      <c r="R207">
        <v>6</v>
      </c>
      <c r="S207">
        <v>12.93</v>
      </c>
      <c r="T207">
        <v>-12.93</v>
      </c>
      <c r="U207">
        <v>6</v>
      </c>
      <c r="V207">
        <v>134.47</v>
      </c>
      <c r="W207">
        <v>30.62</v>
      </c>
      <c r="X207">
        <v>73.239999999999995</v>
      </c>
      <c r="Y207">
        <v>16.809999999999999</v>
      </c>
      <c r="Z207">
        <v>14.59</v>
      </c>
      <c r="AA207">
        <v>-1.25</v>
      </c>
      <c r="AB207">
        <v>10.3</v>
      </c>
      <c r="AC207">
        <v>-86.64</v>
      </c>
      <c r="AD207">
        <v>160</v>
      </c>
      <c r="AE207">
        <v>1460</v>
      </c>
      <c r="AF207">
        <v>13.4</v>
      </c>
      <c r="AG207">
        <v>0.15</v>
      </c>
      <c r="AH207">
        <v>2.68</v>
      </c>
      <c r="AI207">
        <v>111.23</v>
      </c>
      <c r="AJ207">
        <v>60</v>
      </c>
      <c r="AK207">
        <v>9</v>
      </c>
      <c r="AL207">
        <v>9</v>
      </c>
      <c r="AM207">
        <v>7.0000000000000007E-2</v>
      </c>
      <c r="AN207">
        <v>96</v>
      </c>
      <c r="AO207">
        <v>96.6</v>
      </c>
      <c r="AP207">
        <v>188517.13</v>
      </c>
      <c r="AQ207">
        <v>188517.13</v>
      </c>
      <c r="AR207" t="s">
        <v>1114</v>
      </c>
      <c r="AT207" s="6">
        <f t="shared" si="15"/>
        <v>0</v>
      </c>
    </row>
    <row r="208" spans="1:46" x14ac:dyDescent="0.55000000000000004">
      <c r="A208">
        <v>0</v>
      </c>
      <c r="B208">
        <v>6</v>
      </c>
      <c r="C208">
        <v>77.319999999999993</v>
      </c>
      <c r="D208">
        <v>7.8</v>
      </c>
      <c r="E208" t="s">
        <v>2198</v>
      </c>
      <c r="F208" t="s">
        <v>2292</v>
      </c>
      <c r="G208" t="s">
        <v>2199</v>
      </c>
      <c r="H208" t="s">
        <v>2418</v>
      </c>
      <c r="I208">
        <v>0</v>
      </c>
      <c r="J208">
        <v>35</v>
      </c>
      <c r="K208">
        <f t="shared" si="12"/>
        <v>17.46</v>
      </c>
      <c r="L208">
        <f t="shared" si="13"/>
        <v>14.28</v>
      </c>
      <c r="M208">
        <f t="shared" si="14"/>
        <v>3.1800000000000015</v>
      </c>
      <c r="N208">
        <v>6.3</v>
      </c>
      <c r="O208">
        <v>0</v>
      </c>
      <c r="P208">
        <v>55</v>
      </c>
      <c r="Q208">
        <v>19.5</v>
      </c>
      <c r="R208">
        <v>6</v>
      </c>
      <c r="S208">
        <v>13.92</v>
      </c>
      <c r="T208">
        <v>-13.92</v>
      </c>
      <c r="U208">
        <v>2.21</v>
      </c>
      <c r="V208">
        <v>49.48</v>
      </c>
      <c r="W208">
        <v>11.27</v>
      </c>
      <c r="X208">
        <v>26.95</v>
      </c>
      <c r="Y208">
        <v>6.19</v>
      </c>
      <c r="Z208">
        <v>23.84</v>
      </c>
      <c r="AA208">
        <v>-2.0699999999999998</v>
      </c>
      <c r="AB208">
        <v>11.95</v>
      </c>
      <c r="AC208">
        <v>-75.75</v>
      </c>
      <c r="AD208">
        <v>160</v>
      </c>
      <c r="AE208">
        <v>1460</v>
      </c>
      <c r="AF208">
        <v>13.4</v>
      </c>
      <c r="AG208">
        <v>0.15</v>
      </c>
      <c r="AH208">
        <v>11.09</v>
      </c>
      <c r="AI208">
        <v>151.4</v>
      </c>
      <c r="AJ208">
        <v>60</v>
      </c>
      <c r="AK208">
        <v>9</v>
      </c>
      <c r="AL208">
        <v>9</v>
      </c>
      <c r="AM208">
        <v>0.05</v>
      </c>
      <c r="AN208">
        <v>96</v>
      </c>
      <c r="AO208">
        <v>96.44</v>
      </c>
      <c r="AP208">
        <v>253819.02</v>
      </c>
      <c r="AQ208">
        <v>172101.2</v>
      </c>
      <c r="AR208" t="s">
        <v>1115</v>
      </c>
      <c r="AT208" s="6">
        <f t="shared" si="15"/>
        <v>4.6642591324200904</v>
      </c>
    </row>
    <row r="209" spans="1:46" x14ac:dyDescent="0.55000000000000004">
      <c r="A209">
        <v>0</v>
      </c>
      <c r="B209">
        <v>6</v>
      </c>
      <c r="C209">
        <v>842.99</v>
      </c>
      <c r="D209">
        <v>7.8</v>
      </c>
      <c r="E209" t="s">
        <v>2199</v>
      </c>
      <c r="F209" t="s">
        <v>2293</v>
      </c>
      <c r="G209" t="s">
        <v>2199</v>
      </c>
      <c r="H209" t="s">
        <v>2419</v>
      </c>
      <c r="I209">
        <v>0</v>
      </c>
      <c r="J209">
        <v>35</v>
      </c>
      <c r="K209">
        <f t="shared" si="12"/>
        <v>13.77</v>
      </c>
      <c r="L209">
        <f t="shared" si="13"/>
        <v>13.77</v>
      </c>
      <c r="M209">
        <f t="shared" si="14"/>
        <v>0</v>
      </c>
      <c r="N209">
        <v>6.3</v>
      </c>
      <c r="O209">
        <v>0</v>
      </c>
      <c r="P209">
        <v>44</v>
      </c>
      <c r="Q209">
        <v>19.100000000000001</v>
      </c>
      <c r="R209">
        <v>6</v>
      </c>
      <c r="S209">
        <v>12.13</v>
      </c>
      <c r="T209">
        <v>-12.13</v>
      </c>
      <c r="U209">
        <v>24.09</v>
      </c>
      <c r="V209">
        <v>539.51</v>
      </c>
      <c r="W209">
        <v>122.84</v>
      </c>
      <c r="X209">
        <v>293.83999999999997</v>
      </c>
      <c r="Y209">
        <v>67.44</v>
      </c>
      <c r="Z209">
        <v>61.87</v>
      </c>
      <c r="AA209">
        <v>-0.1</v>
      </c>
      <c r="AB209">
        <v>8.01</v>
      </c>
      <c r="AC209">
        <v>-97.84</v>
      </c>
      <c r="AD209">
        <v>160</v>
      </c>
      <c r="AE209">
        <v>1460</v>
      </c>
      <c r="AF209">
        <v>13.4</v>
      </c>
      <c r="AG209">
        <v>0.15</v>
      </c>
      <c r="AH209">
        <v>0.57999999999999996</v>
      </c>
      <c r="AI209">
        <v>498.14</v>
      </c>
      <c r="AJ209">
        <v>60</v>
      </c>
      <c r="AK209">
        <v>9</v>
      </c>
      <c r="AL209">
        <v>9</v>
      </c>
      <c r="AM209">
        <v>0.01</v>
      </c>
      <c r="AN209">
        <v>96</v>
      </c>
      <c r="AO209">
        <v>96.13</v>
      </c>
      <c r="AP209">
        <v>171154.2</v>
      </c>
      <c r="AQ209">
        <v>171154.2</v>
      </c>
      <c r="AR209" t="s">
        <v>1116</v>
      </c>
      <c r="AT209" s="6">
        <f t="shared" si="15"/>
        <v>0</v>
      </c>
    </row>
    <row r="210" spans="1:46" x14ac:dyDescent="0.55000000000000004">
      <c r="A210">
        <v>0</v>
      </c>
      <c r="B210">
        <v>6</v>
      </c>
      <c r="C210">
        <v>125.06</v>
      </c>
      <c r="D210">
        <v>7.8</v>
      </c>
      <c r="E210" t="s">
        <v>2198</v>
      </c>
      <c r="F210" t="s">
        <v>2294</v>
      </c>
      <c r="G210" t="s">
        <v>2199</v>
      </c>
      <c r="H210" t="s">
        <v>2420</v>
      </c>
      <c r="I210">
        <v>0</v>
      </c>
      <c r="J210">
        <v>35</v>
      </c>
      <c r="K210">
        <f t="shared" si="12"/>
        <v>15.44</v>
      </c>
      <c r="L210">
        <f t="shared" si="13"/>
        <v>14.28</v>
      </c>
      <c r="M210">
        <f t="shared" si="14"/>
        <v>1.1600000000000001</v>
      </c>
      <c r="N210">
        <v>6.3</v>
      </c>
      <c r="O210">
        <v>0</v>
      </c>
      <c r="P210">
        <v>55</v>
      </c>
      <c r="Q210">
        <v>19</v>
      </c>
      <c r="R210">
        <v>6</v>
      </c>
      <c r="S210">
        <v>13.48</v>
      </c>
      <c r="T210">
        <v>-13.48</v>
      </c>
      <c r="U210">
        <v>3.57</v>
      </c>
      <c r="V210">
        <v>80.040000000000006</v>
      </c>
      <c r="W210">
        <v>18.22</v>
      </c>
      <c r="X210">
        <v>43.59</v>
      </c>
      <c r="Y210">
        <v>10</v>
      </c>
      <c r="Z210">
        <v>21.08</v>
      </c>
      <c r="AA210">
        <v>-1.68</v>
      </c>
      <c r="AB210">
        <v>11.16</v>
      </c>
      <c r="AC210">
        <v>-80.2</v>
      </c>
      <c r="AD210">
        <v>160</v>
      </c>
      <c r="AE210">
        <v>1460</v>
      </c>
      <c r="AF210">
        <v>13.4</v>
      </c>
      <c r="AG210">
        <v>0.15</v>
      </c>
      <c r="AH210">
        <v>5.21</v>
      </c>
      <c r="AI210">
        <v>151.4</v>
      </c>
      <c r="AJ210">
        <v>60</v>
      </c>
      <c r="AK210">
        <v>9</v>
      </c>
      <c r="AL210">
        <v>9</v>
      </c>
      <c r="AM210">
        <v>0.05</v>
      </c>
      <c r="AN210">
        <v>96</v>
      </c>
      <c r="AO210">
        <v>96.44</v>
      </c>
      <c r="AP210">
        <v>208486.1</v>
      </c>
      <c r="AQ210">
        <v>172101.2</v>
      </c>
      <c r="AR210" t="s">
        <v>1117</v>
      </c>
      <c r="AT210" s="6">
        <f t="shared" si="15"/>
        <v>2.0767636986301365</v>
      </c>
    </row>
    <row r="211" spans="1:46" x14ac:dyDescent="0.55000000000000004">
      <c r="A211">
        <v>0</v>
      </c>
      <c r="B211">
        <v>6</v>
      </c>
      <c r="C211">
        <v>1300.22</v>
      </c>
      <c r="D211">
        <v>7.8</v>
      </c>
      <c r="E211" t="s">
        <v>2199</v>
      </c>
      <c r="F211" t="s">
        <v>2295</v>
      </c>
      <c r="G211" t="s">
        <v>2199</v>
      </c>
      <c r="H211" t="s">
        <v>2421</v>
      </c>
      <c r="I211">
        <v>0</v>
      </c>
      <c r="J211">
        <v>35</v>
      </c>
      <c r="K211">
        <f t="shared" si="12"/>
        <v>13.69</v>
      </c>
      <c r="L211">
        <f t="shared" si="13"/>
        <v>13.69</v>
      </c>
      <c r="M211">
        <f t="shared" si="14"/>
        <v>0</v>
      </c>
      <c r="N211">
        <v>6.3</v>
      </c>
      <c r="O211">
        <v>0</v>
      </c>
      <c r="P211">
        <v>45</v>
      </c>
      <c r="Q211">
        <v>19.399999999999999</v>
      </c>
      <c r="R211">
        <v>6</v>
      </c>
      <c r="S211">
        <v>12.52</v>
      </c>
      <c r="T211">
        <v>-12.52</v>
      </c>
      <c r="U211">
        <v>37.15</v>
      </c>
      <c r="V211">
        <v>832.14</v>
      </c>
      <c r="W211">
        <v>189.46</v>
      </c>
      <c r="X211">
        <v>453.22</v>
      </c>
      <c r="Y211">
        <v>104.02</v>
      </c>
      <c r="Z211">
        <v>95.99</v>
      </c>
      <c r="AA211">
        <v>0.25</v>
      </c>
      <c r="AB211">
        <v>7.29</v>
      </c>
      <c r="AC211">
        <v>-92.06</v>
      </c>
      <c r="AD211">
        <v>160</v>
      </c>
      <c r="AE211">
        <v>1460</v>
      </c>
      <c r="AF211">
        <v>13.4</v>
      </c>
      <c r="AG211">
        <v>0.15</v>
      </c>
      <c r="AH211">
        <v>0.37</v>
      </c>
      <c r="AI211">
        <v>777.37</v>
      </c>
      <c r="AJ211">
        <v>60</v>
      </c>
      <c r="AK211">
        <v>9</v>
      </c>
      <c r="AL211">
        <v>9</v>
      </c>
      <c r="AM211">
        <v>0.01</v>
      </c>
      <c r="AN211">
        <v>96</v>
      </c>
      <c r="AO211">
        <v>96.09</v>
      </c>
      <c r="AP211">
        <v>169361.16</v>
      </c>
      <c r="AQ211">
        <v>169361.16</v>
      </c>
      <c r="AR211" t="s">
        <v>1118</v>
      </c>
      <c r="AT211" s="6">
        <f t="shared" si="15"/>
        <v>0</v>
      </c>
    </row>
    <row r="212" spans="1:46" x14ac:dyDescent="0.55000000000000004">
      <c r="A212">
        <v>0</v>
      </c>
      <c r="B212">
        <v>6</v>
      </c>
      <c r="C212">
        <v>95.2</v>
      </c>
      <c r="D212">
        <v>7.8</v>
      </c>
      <c r="E212" t="s">
        <v>2198</v>
      </c>
      <c r="F212" t="s">
        <v>2296</v>
      </c>
      <c r="G212" t="s">
        <v>2199</v>
      </c>
      <c r="H212" t="s">
        <v>2422</v>
      </c>
      <c r="I212">
        <v>0</v>
      </c>
      <c r="J212">
        <v>35</v>
      </c>
      <c r="K212">
        <f t="shared" si="12"/>
        <v>16.32</v>
      </c>
      <c r="L212">
        <f t="shared" si="13"/>
        <v>14.28</v>
      </c>
      <c r="M212">
        <f t="shared" si="14"/>
        <v>2.0400000000000009</v>
      </c>
      <c r="N212">
        <v>6.3</v>
      </c>
      <c r="O212">
        <v>0</v>
      </c>
      <c r="P212">
        <v>55</v>
      </c>
      <c r="Q212">
        <v>19.2</v>
      </c>
      <c r="R212">
        <v>6</v>
      </c>
      <c r="S212">
        <v>13.66</v>
      </c>
      <c r="T212">
        <v>-13.66</v>
      </c>
      <c r="U212">
        <v>2.72</v>
      </c>
      <c r="V212">
        <v>60.93</v>
      </c>
      <c r="W212">
        <v>13.87</v>
      </c>
      <c r="X212">
        <v>33.18</v>
      </c>
      <c r="Y212">
        <v>7.62</v>
      </c>
      <c r="Z212">
        <v>22.29</v>
      </c>
      <c r="AA212">
        <v>-1.9</v>
      </c>
      <c r="AB212">
        <v>11.61</v>
      </c>
      <c r="AC212">
        <v>-78.36</v>
      </c>
      <c r="AD212">
        <v>160</v>
      </c>
      <c r="AE212">
        <v>1460</v>
      </c>
      <c r="AF212">
        <v>13.4</v>
      </c>
      <c r="AG212">
        <v>0.15</v>
      </c>
      <c r="AH212">
        <v>7.79</v>
      </c>
      <c r="AI212">
        <v>151.4</v>
      </c>
      <c r="AJ212">
        <v>60</v>
      </c>
      <c r="AK212">
        <v>9</v>
      </c>
      <c r="AL212">
        <v>9</v>
      </c>
      <c r="AM212">
        <v>0.05</v>
      </c>
      <c r="AN212">
        <v>96</v>
      </c>
      <c r="AO212">
        <v>96.44</v>
      </c>
      <c r="AP212">
        <v>228362.36</v>
      </c>
      <c r="AQ212">
        <v>172101.2</v>
      </c>
      <c r="AR212" t="s">
        <v>1119</v>
      </c>
      <c r="AT212" s="6">
        <f t="shared" si="15"/>
        <v>3.2112534246575328</v>
      </c>
    </row>
    <row r="213" spans="1:46" x14ac:dyDescent="0.55000000000000004">
      <c r="A213">
        <v>0</v>
      </c>
      <c r="B213">
        <v>6</v>
      </c>
      <c r="C213">
        <v>225.2</v>
      </c>
      <c r="D213">
        <v>7.8</v>
      </c>
      <c r="E213" t="s">
        <v>2198</v>
      </c>
      <c r="F213" t="s">
        <v>2297</v>
      </c>
      <c r="G213" t="s">
        <v>2199</v>
      </c>
      <c r="H213" t="s">
        <v>2423</v>
      </c>
      <c r="I213">
        <v>0</v>
      </c>
      <c r="J213">
        <v>35</v>
      </c>
      <c r="K213">
        <f t="shared" si="12"/>
        <v>14.47</v>
      </c>
      <c r="L213">
        <f t="shared" si="13"/>
        <v>14.28</v>
      </c>
      <c r="M213">
        <f t="shared" si="14"/>
        <v>0.19000000000000128</v>
      </c>
      <c r="N213">
        <v>6.3</v>
      </c>
      <c r="O213">
        <v>0</v>
      </c>
      <c r="P213">
        <v>46</v>
      </c>
      <c r="Q213">
        <v>18</v>
      </c>
      <c r="R213">
        <v>6</v>
      </c>
      <c r="S213">
        <v>11.47</v>
      </c>
      <c r="T213">
        <v>-11.47</v>
      </c>
      <c r="U213">
        <v>6.43</v>
      </c>
      <c r="V213">
        <v>144.13</v>
      </c>
      <c r="W213">
        <v>32.82</v>
      </c>
      <c r="X213">
        <v>78.5</v>
      </c>
      <c r="Y213">
        <v>18.02</v>
      </c>
      <c r="Z213">
        <v>19.760000000000002</v>
      </c>
      <c r="AA213">
        <v>-1.19</v>
      </c>
      <c r="AB213">
        <v>10.18</v>
      </c>
      <c r="AC213">
        <v>-109.62</v>
      </c>
      <c r="AD213">
        <v>160</v>
      </c>
      <c r="AE213">
        <v>1460</v>
      </c>
      <c r="AF213">
        <v>13.4</v>
      </c>
      <c r="AG213">
        <v>0.15</v>
      </c>
      <c r="AH213">
        <v>2.4700000000000002</v>
      </c>
      <c r="AI213">
        <v>151.4</v>
      </c>
      <c r="AJ213">
        <v>60</v>
      </c>
      <c r="AK213">
        <v>9</v>
      </c>
      <c r="AL213">
        <v>9</v>
      </c>
      <c r="AM213">
        <v>0.05</v>
      </c>
      <c r="AN213">
        <v>96</v>
      </c>
      <c r="AO213">
        <v>96.44</v>
      </c>
      <c r="AP213">
        <v>186799.54</v>
      </c>
      <c r="AQ213">
        <v>172101.2</v>
      </c>
      <c r="AR213" t="s">
        <v>1120</v>
      </c>
      <c r="AT213" s="6">
        <f t="shared" si="15"/>
        <v>0.83894634703196325</v>
      </c>
    </row>
    <row r="214" spans="1:46" x14ac:dyDescent="0.5500000000000000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f t="shared" si="12"/>
        <v>0</v>
      </c>
      <c r="L214">
        <f t="shared" si="13"/>
        <v>0</v>
      </c>
      <c r="M214">
        <f t="shared" si="14"/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T214" s="6">
        <f t="shared" si="15"/>
        <v>0</v>
      </c>
    </row>
    <row r="215" spans="1:46" x14ac:dyDescent="0.55000000000000004">
      <c r="A215">
        <v>0</v>
      </c>
      <c r="B215">
        <v>6</v>
      </c>
      <c r="C215">
        <v>73.38</v>
      </c>
      <c r="D215">
        <v>7.8</v>
      </c>
      <c r="E215" t="s">
        <v>2198</v>
      </c>
      <c r="F215" t="s">
        <v>2298</v>
      </c>
      <c r="G215" t="s">
        <v>2199</v>
      </c>
      <c r="H215" t="s">
        <v>2424</v>
      </c>
      <c r="I215">
        <v>0</v>
      </c>
      <c r="J215">
        <v>35</v>
      </c>
      <c r="K215">
        <f t="shared" si="12"/>
        <v>17.86</v>
      </c>
      <c r="L215">
        <f t="shared" si="13"/>
        <v>14.28</v>
      </c>
      <c r="M215">
        <f t="shared" si="14"/>
        <v>3.58</v>
      </c>
      <c r="N215">
        <v>6.3</v>
      </c>
      <c r="O215">
        <v>0</v>
      </c>
      <c r="P215">
        <v>55</v>
      </c>
      <c r="Q215">
        <v>19.600000000000001</v>
      </c>
      <c r="R215">
        <v>6</v>
      </c>
      <c r="S215">
        <v>14.01</v>
      </c>
      <c r="T215">
        <v>-14.01</v>
      </c>
      <c r="U215">
        <v>2.1</v>
      </c>
      <c r="V215">
        <v>46.96</v>
      </c>
      <c r="W215">
        <v>10.69</v>
      </c>
      <c r="X215">
        <v>25.58</v>
      </c>
      <c r="Y215">
        <v>5.87</v>
      </c>
      <c r="Z215">
        <v>24.39</v>
      </c>
      <c r="AA215">
        <v>-2.12</v>
      </c>
      <c r="AB215">
        <v>12.04</v>
      </c>
      <c r="AC215">
        <v>-74.91</v>
      </c>
      <c r="AD215">
        <v>160</v>
      </c>
      <c r="AE215">
        <v>1460</v>
      </c>
      <c r="AF215">
        <v>13.4</v>
      </c>
      <c r="AG215">
        <v>0.15</v>
      </c>
      <c r="AH215">
        <v>12.22</v>
      </c>
      <c r="AI215">
        <v>151.4</v>
      </c>
      <c r="AJ215">
        <v>60</v>
      </c>
      <c r="AK215">
        <v>9</v>
      </c>
      <c r="AL215">
        <v>9</v>
      </c>
      <c r="AM215">
        <v>0.05</v>
      </c>
      <c r="AN215">
        <v>96</v>
      </c>
      <c r="AO215">
        <v>96.44</v>
      </c>
      <c r="AP215">
        <v>262849.99</v>
      </c>
      <c r="AQ215">
        <v>172101.2</v>
      </c>
      <c r="AR215" t="s">
        <v>1122</v>
      </c>
      <c r="AT215" s="6">
        <f t="shared" si="15"/>
        <v>5.1797254566210036</v>
      </c>
    </row>
    <row r="216" spans="1:46" x14ac:dyDescent="0.55000000000000004">
      <c r="A216">
        <v>0</v>
      </c>
      <c r="B216">
        <v>6</v>
      </c>
      <c r="C216">
        <v>1568.59</v>
      </c>
      <c r="D216">
        <v>7.8</v>
      </c>
      <c r="E216" t="s">
        <v>2199</v>
      </c>
      <c r="F216" t="s">
        <v>2299</v>
      </c>
      <c r="G216" t="s">
        <v>2199</v>
      </c>
      <c r="H216" t="s">
        <v>2425</v>
      </c>
      <c r="I216">
        <v>0</v>
      </c>
      <c r="J216">
        <v>35</v>
      </c>
      <c r="K216">
        <f t="shared" si="12"/>
        <v>13.67</v>
      </c>
      <c r="L216">
        <f t="shared" si="13"/>
        <v>13.67</v>
      </c>
      <c r="M216">
        <f t="shared" si="14"/>
        <v>0</v>
      </c>
      <c r="N216">
        <v>6.3</v>
      </c>
      <c r="O216">
        <v>0</v>
      </c>
      <c r="P216">
        <v>43</v>
      </c>
      <c r="Q216">
        <v>19.5</v>
      </c>
      <c r="R216">
        <v>6</v>
      </c>
      <c r="S216">
        <v>12.33</v>
      </c>
      <c r="T216">
        <v>-12.33</v>
      </c>
      <c r="U216">
        <v>44.82</v>
      </c>
      <c r="V216">
        <v>1003.9</v>
      </c>
      <c r="W216">
        <v>228.57</v>
      </c>
      <c r="X216">
        <v>546.77</v>
      </c>
      <c r="Y216">
        <v>125.49</v>
      </c>
      <c r="Z216">
        <v>116.02</v>
      </c>
      <c r="AA216">
        <v>0.41</v>
      </c>
      <c r="AB216">
        <v>6.98</v>
      </c>
      <c r="AC216">
        <v>-94.8</v>
      </c>
      <c r="AD216">
        <v>160</v>
      </c>
      <c r="AE216">
        <v>1460</v>
      </c>
      <c r="AF216">
        <v>13.4</v>
      </c>
      <c r="AG216">
        <v>0.15</v>
      </c>
      <c r="AH216">
        <v>0.31</v>
      </c>
      <c r="AI216">
        <v>941.25</v>
      </c>
      <c r="AJ216">
        <v>60</v>
      </c>
      <c r="AK216">
        <v>9</v>
      </c>
      <c r="AL216">
        <v>9</v>
      </c>
      <c r="AM216">
        <v>0.01</v>
      </c>
      <c r="AN216">
        <v>96</v>
      </c>
      <c r="AO216">
        <v>96.07</v>
      </c>
      <c r="AP216">
        <v>168804.22</v>
      </c>
      <c r="AQ216">
        <v>168804.22</v>
      </c>
      <c r="AR216" t="s">
        <v>1123</v>
      </c>
      <c r="AT216" s="6">
        <f t="shared" si="15"/>
        <v>0</v>
      </c>
    </row>
    <row r="217" spans="1:46" x14ac:dyDescent="0.55000000000000004">
      <c r="A217">
        <v>0</v>
      </c>
      <c r="B217">
        <v>6</v>
      </c>
      <c r="C217">
        <v>121.03</v>
      </c>
      <c r="D217">
        <v>7.8</v>
      </c>
      <c r="E217" t="s">
        <v>2198</v>
      </c>
      <c r="F217" t="s">
        <v>2300</v>
      </c>
      <c r="G217" t="s">
        <v>2199</v>
      </c>
      <c r="H217" t="s">
        <v>2426</v>
      </c>
      <c r="I217">
        <v>0</v>
      </c>
      <c r="J217">
        <v>35</v>
      </c>
      <c r="K217">
        <f t="shared" si="12"/>
        <v>15.52</v>
      </c>
      <c r="L217">
        <f t="shared" si="13"/>
        <v>14.28</v>
      </c>
      <c r="M217">
        <f t="shared" si="14"/>
        <v>1.2400000000000002</v>
      </c>
      <c r="N217">
        <v>6.3</v>
      </c>
      <c r="O217">
        <v>0</v>
      </c>
      <c r="P217">
        <v>53</v>
      </c>
      <c r="Q217">
        <v>19.100000000000001</v>
      </c>
      <c r="R217">
        <v>6</v>
      </c>
      <c r="S217">
        <v>13.31</v>
      </c>
      <c r="T217">
        <v>-13.31</v>
      </c>
      <c r="U217">
        <v>3.46</v>
      </c>
      <c r="V217">
        <v>77.459999999999994</v>
      </c>
      <c r="W217">
        <v>17.64</v>
      </c>
      <c r="X217">
        <v>42.19</v>
      </c>
      <c r="Y217">
        <v>9.68</v>
      </c>
      <c r="Z217">
        <v>21.19</v>
      </c>
      <c r="AA217">
        <v>-1.7</v>
      </c>
      <c r="AB217">
        <v>11.21</v>
      </c>
      <c r="AC217">
        <v>-82.04</v>
      </c>
      <c r="AD217">
        <v>160</v>
      </c>
      <c r="AE217">
        <v>1460</v>
      </c>
      <c r="AF217">
        <v>13.4</v>
      </c>
      <c r="AG217">
        <v>0.15</v>
      </c>
      <c r="AH217">
        <v>5.45</v>
      </c>
      <c r="AI217">
        <v>151.4</v>
      </c>
      <c r="AJ217">
        <v>60</v>
      </c>
      <c r="AK217">
        <v>9</v>
      </c>
      <c r="AL217">
        <v>9</v>
      </c>
      <c r="AM217">
        <v>0.05</v>
      </c>
      <c r="AN217">
        <v>96</v>
      </c>
      <c r="AO217">
        <v>96.44</v>
      </c>
      <c r="AP217">
        <v>210373.65</v>
      </c>
      <c r="AQ217">
        <v>172101.2</v>
      </c>
      <c r="AR217" t="s">
        <v>1124</v>
      </c>
      <c r="AT217" s="6">
        <f t="shared" si="15"/>
        <v>2.1845005707762546</v>
      </c>
    </row>
    <row r="218" spans="1:46" x14ac:dyDescent="0.55000000000000004">
      <c r="A218">
        <v>0</v>
      </c>
      <c r="B218">
        <v>6</v>
      </c>
      <c r="C218">
        <v>248.78</v>
      </c>
      <c r="D218">
        <v>7.8</v>
      </c>
      <c r="E218" t="s">
        <v>2198</v>
      </c>
      <c r="F218" t="s">
        <v>2301</v>
      </c>
      <c r="G218" t="s">
        <v>2199</v>
      </c>
      <c r="H218" t="s">
        <v>2427</v>
      </c>
      <c r="I218">
        <v>0</v>
      </c>
      <c r="J218">
        <v>35</v>
      </c>
      <c r="K218">
        <f t="shared" si="12"/>
        <v>14.37</v>
      </c>
      <c r="L218">
        <f t="shared" si="13"/>
        <v>14.28</v>
      </c>
      <c r="M218">
        <f t="shared" si="14"/>
        <v>8.9999999999999858E-2</v>
      </c>
      <c r="N218">
        <v>6.3</v>
      </c>
      <c r="O218">
        <v>0</v>
      </c>
      <c r="P218">
        <v>46</v>
      </c>
      <c r="Q218">
        <v>18.2</v>
      </c>
      <c r="R218">
        <v>6</v>
      </c>
      <c r="S218">
        <v>11.64</v>
      </c>
      <c r="T218">
        <v>-11.64</v>
      </c>
      <c r="U218">
        <v>7.11</v>
      </c>
      <c r="V218">
        <v>159.22</v>
      </c>
      <c r="W218">
        <v>36.25</v>
      </c>
      <c r="X218">
        <v>86.72</v>
      </c>
      <c r="Y218">
        <v>19.899999999999999</v>
      </c>
      <c r="Z218">
        <v>19.62</v>
      </c>
      <c r="AA218">
        <v>-1.1100000000000001</v>
      </c>
      <c r="AB218">
        <v>10.02</v>
      </c>
      <c r="AC218">
        <v>-106.35</v>
      </c>
      <c r="AD218">
        <v>160</v>
      </c>
      <c r="AE218">
        <v>1460</v>
      </c>
      <c r="AF218">
        <v>13.4</v>
      </c>
      <c r="AG218">
        <v>0.15</v>
      </c>
      <c r="AH218">
        <v>2.19</v>
      </c>
      <c r="AI218">
        <v>151.4</v>
      </c>
      <c r="AJ218">
        <v>60</v>
      </c>
      <c r="AK218">
        <v>9</v>
      </c>
      <c r="AL218">
        <v>9</v>
      </c>
      <c r="AM218">
        <v>0.05</v>
      </c>
      <c r="AN218">
        <v>96</v>
      </c>
      <c r="AO218">
        <v>96.44</v>
      </c>
      <c r="AP218">
        <v>184588.37</v>
      </c>
      <c r="AQ218">
        <v>172101.2</v>
      </c>
      <c r="AR218" t="s">
        <v>1125</v>
      </c>
      <c r="AT218" s="6">
        <f t="shared" si="15"/>
        <v>0.71273801369862921</v>
      </c>
    </row>
    <row r="219" spans="1:46" x14ac:dyDescent="0.5500000000000000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f t="shared" si="12"/>
        <v>0</v>
      </c>
      <c r="L219">
        <f t="shared" si="13"/>
        <v>0</v>
      </c>
      <c r="M219">
        <f t="shared" si="14"/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T219" s="6">
        <f t="shared" si="15"/>
        <v>0</v>
      </c>
    </row>
    <row r="220" spans="1:46" x14ac:dyDescent="0.55000000000000004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f t="shared" si="12"/>
        <v>0</v>
      </c>
      <c r="L220">
        <f t="shared" si="13"/>
        <v>0</v>
      </c>
      <c r="M220">
        <f t="shared" si="14"/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T220" s="6">
        <f t="shared" si="15"/>
        <v>0</v>
      </c>
    </row>
    <row r="221" spans="1:46" x14ac:dyDescent="0.55000000000000004">
      <c r="A221">
        <v>0</v>
      </c>
      <c r="B221">
        <v>6</v>
      </c>
      <c r="C221">
        <v>387.07</v>
      </c>
      <c r="D221">
        <v>7.8</v>
      </c>
      <c r="E221" t="s">
        <v>2199</v>
      </c>
      <c r="F221" t="s">
        <v>2302</v>
      </c>
      <c r="G221" t="s">
        <v>2199</v>
      </c>
      <c r="H221" t="s">
        <v>2428</v>
      </c>
      <c r="I221">
        <v>0</v>
      </c>
      <c r="J221">
        <v>35</v>
      </c>
      <c r="K221">
        <f t="shared" si="12"/>
        <v>14.05</v>
      </c>
      <c r="L221">
        <f t="shared" si="13"/>
        <v>14.05</v>
      </c>
      <c r="M221">
        <f t="shared" si="14"/>
        <v>0</v>
      </c>
      <c r="N221">
        <v>6.3</v>
      </c>
      <c r="O221">
        <v>0</v>
      </c>
      <c r="P221">
        <v>49</v>
      </c>
      <c r="Q221">
        <v>19.2</v>
      </c>
      <c r="R221">
        <v>6</v>
      </c>
      <c r="S221">
        <v>12.88</v>
      </c>
      <c r="T221">
        <v>-12.88</v>
      </c>
      <c r="U221">
        <v>11.06</v>
      </c>
      <c r="V221">
        <v>247.72</v>
      </c>
      <c r="W221">
        <v>56.4</v>
      </c>
      <c r="X221">
        <v>134.91999999999999</v>
      </c>
      <c r="Y221">
        <v>30.97</v>
      </c>
      <c r="Z221">
        <v>27.83</v>
      </c>
      <c r="AA221">
        <v>-0.75</v>
      </c>
      <c r="AB221">
        <v>9.2899999999999991</v>
      </c>
      <c r="AC221">
        <v>-87.2</v>
      </c>
      <c r="AD221">
        <v>160</v>
      </c>
      <c r="AE221">
        <v>1460</v>
      </c>
      <c r="AF221">
        <v>13.4</v>
      </c>
      <c r="AG221">
        <v>0.15</v>
      </c>
      <c r="AH221">
        <v>1.33</v>
      </c>
      <c r="AI221">
        <v>219.58</v>
      </c>
      <c r="AJ221">
        <v>60</v>
      </c>
      <c r="AK221">
        <v>9</v>
      </c>
      <c r="AL221">
        <v>9</v>
      </c>
      <c r="AM221">
        <v>0.03</v>
      </c>
      <c r="AN221">
        <v>96</v>
      </c>
      <c r="AO221">
        <v>96.3</v>
      </c>
      <c r="AP221">
        <v>177486.65</v>
      </c>
      <c r="AQ221">
        <v>177486.65</v>
      </c>
      <c r="AR221" t="s">
        <v>1128</v>
      </c>
      <c r="AT221" s="6">
        <f t="shared" si="15"/>
        <v>0</v>
      </c>
    </row>
    <row r="222" spans="1:46" x14ac:dyDescent="0.55000000000000004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f t="shared" si="12"/>
        <v>0</v>
      </c>
      <c r="L222">
        <f t="shared" si="13"/>
        <v>0</v>
      </c>
      <c r="M222">
        <f t="shared" si="14"/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T222" s="6">
        <f t="shared" si="15"/>
        <v>0</v>
      </c>
    </row>
    <row r="223" spans="1:46" x14ac:dyDescent="0.55000000000000004">
      <c r="A223">
        <v>0</v>
      </c>
      <c r="B223">
        <v>6</v>
      </c>
      <c r="C223">
        <v>160.97</v>
      </c>
      <c r="D223">
        <v>7.8</v>
      </c>
      <c r="E223" t="s">
        <v>2199</v>
      </c>
      <c r="F223" t="s">
        <v>2303</v>
      </c>
      <c r="G223" t="s">
        <v>2199</v>
      </c>
      <c r="H223" t="s">
        <v>2429</v>
      </c>
      <c r="I223">
        <v>0</v>
      </c>
      <c r="J223">
        <v>35</v>
      </c>
      <c r="K223">
        <f t="shared" si="12"/>
        <v>14.92</v>
      </c>
      <c r="L223">
        <f t="shared" si="13"/>
        <v>14.92</v>
      </c>
      <c r="M223">
        <f t="shared" si="14"/>
        <v>0</v>
      </c>
      <c r="N223">
        <v>6.3</v>
      </c>
      <c r="O223">
        <v>0</v>
      </c>
      <c r="P223">
        <v>34</v>
      </c>
      <c r="Q223">
        <v>25</v>
      </c>
      <c r="R223">
        <v>6</v>
      </c>
      <c r="S223">
        <v>15.34</v>
      </c>
      <c r="T223">
        <v>-15.34</v>
      </c>
      <c r="U223">
        <v>4.5999999999999996</v>
      </c>
      <c r="V223">
        <v>103.02</v>
      </c>
      <c r="W223">
        <v>23.45</v>
      </c>
      <c r="X223">
        <v>56.11</v>
      </c>
      <c r="Y223">
        <v>12.88</v>
      </c>
      <c r="Z223">
        <v>10.9</v>
      </c>
      <c r="AA223">
        <v>-1.47</v>
      </c>
      <c r="AB223">
        <v>10.74</v>
      </c>
      <c r="AC223">
        <v>-64.260000000000005</v>
      </c>
      <c r="AD223">
        <v>160</v>
      </c>
      <c r="AE223">
        <v>1460</v>
      </c>
      <c r="AF223">
        <v>13.4</v>
      </c>
      <c r="AG223">
        <v>0.15</v>
      </c>
      <c r="AH223">
        <v>3.72</v>
      </c>
      <c r="AI223">
        <v>80.989999999999995</v>
      </c>
      <c r="AJ223">
        <v>60</v>
      </c>
      <c r="AK223">
        <v>9</v>
      </c>
      <c r="AL223">
        <v>9</v>
      </c>
      <c r="AM223">
        <v>0.09</v>
      </c>
      <c r="AN223">
        <v>96</v>
      </c>
      <c r="AO223">
        <v>96.82</v>
      </c>
      <c r="AP223">
        <v>196863.32</v>
      </c>
      <c r="AQ223">
        <v>196863.32</v>
      </c>
      <c r="AR223" t="s">
        <v>1130</v>
      </c>
      <c r="AT223" s="6">
        <f t="shared" si="15"/>
        <v>0</v>
      </c>
    </row>
    <row r="224" spans="1:46" x14ac:dyDescent="0.55000000000000004">
      <c r="A224">
        <v>0</v>
      </c>
      <c r="B224">
        <v>6</v>
      </c>
      <c r="C224">
        <v>558.84</v>
      </c>
      <c r="D224">
        <v>7.8</v>
      </c>
      <c r="E224" t="s">
        <v>2199</v>
      </c>
      <c r="F224" t="s">
        <v>2304</v>
      </c>
      <c r="G224" t="s">
        <v>2199</v>
      </c>
      <c r="H224" t="s">
        <v>2430</v>
      </c>
      <c r="I224">
        <v>0</v>
      </c>
      <c r="J224">
        <v>35</v>
      </c>
      <c r="K224">
        <f t="shared" si="12"/>
        <v>13.89</v>
      </c>
      <c r="L224">
        <f t="shared" si="13"/>
        <v>13.89</v>
      </c>
      <c r="M224">
        <f t="shared" si="14"/>
        <v>0</v>
      </c>
      <c r="N224">
        <v>6.3</v>
      </c>
      <c r="O224">
        <v>0</v>
      </c>
      <c r="P224">
        <v>35</v>
      </c>
      <c r="Q224">
        <v>24.4</v>
      </c>
      <c r="R224">
        <v>6</v>
      </c>
      <c r="S224">
        <v>15.05</v>
      </c>
      <c r="T224">
        <v>-15.05</v>
      </c>
      <c r="U224">
        <v>15.97</v>
      </c>
      <c r="V224">
        <v>357.66</v>
      </c>
      <c r="W224">
        <v>81.430000000000007</v>
      </c>
      <c r="X224">
        <v>194.8</v>
      </c>
      <c r="Y224">
        <v>44.71</v>
      </c>
      <c r="Z224">
        <v>40.659999999999997</v>
      </c>
      <c r="AA224">
        <v>-0.44</v>
      </c>
      <c r="AB224">
        <v>8.69</v>
      </c>
      <c r="AC224">
        <v>-66.33</v>
      </c>
      <c r="AD224">
        <v>160</v>
      </c>
      <c r="AE224">
        <v>1460</v>
      </c>
      <c r="AF224">
        <v>13.4</v>
      </c>
      <c r="AG224">
        <v>0.15</v>
      </c>
      <c r="AH224">
        <v>0.9</v>
      </c>
      <c r="AI224">
        <v>324.56</v>
      </c>
      <c r="AJ224">
        <v>60</v>
      </c>
      <c r="AK224">
        <v>9</v>
      </c>
      <c r="AL224">
        <v>9</v>
      </c>
      <c r="AM224">
        <v>0.02</v>
      </c>
      <c r="AN224">
        <v>96</v>
      </c>
      <c r="AO224">
        <v>96.2</v>
      </c>
      <c r="AP224">
        <v>173823.73</v>
      </c>
      <c r="AQ224">
        <v>173823.73</v>
      </c>
      <c r="AR224" t="s">
        <v>1131</v>
      </c>
      <c r="AT224" s="6">
        <f t="shared" si="15"/>
        <v>0</v>
      </c>
    </row>
    <row r="225" spans="1:46" x14ac:dyDescent="0.5500000000000000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f t="shared" si="12"/>
        <v>0</v>
      </c>
      <c r="L225">
        <f t="shared" si="13"/>
        <v>0</v>
      </c>
      <c r="M225">
        <f t="shared" si="14"/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T225" s="6">
        <f t="shared" si="15"/>
        <v>0</v>
      </c>
    </row>
    <row r="226" spans="1:46" x14ac:dyDescent="0.55000000000000004">
      <c r="A226">
        <v>0</v>
      </c>
      <c r="B226">
        <v>6</v>
      </c>
      <c r="C226">
        <v>65.25</v>
      </c>
      <c r="D226">
        <v>7.8</v>
      </c>
      <c r="E226" t="s">
        <v>2198</v>
      </c>
      <c r="F226" t="s">
        <v>2305</v>
      </c>
      <c r="G226" t="s">
        <v>2199</v>
      </c>
      <c r="H226" t="s">
        <v>2431</v>
      </c>
      <c r="I226">
        <v>0</v>
      </c>
      <c r="J226">
        <v>35</v>
      </c>
      <c r="K226">
        <f t="shared" si="12"/>
        <v>19.09</v>
      </c>
      <c r="L226">
        <f t="shared" si="13"/>
        <v>14.28</v>
      </c>
      <c r="M226">
        <f t="shared" si="14"/>
        <v>4.8100000000000005</v>
      </c>
      <c r="N226">
        <v>6.3</v>
      </c>
      <c r="O226">
        <v>0</v>
      </c>
      <c r="P226">
        <v>49</v>
      </c>
      <c r="Q226">
        <v>24.5</v>
      </c>
      <c r="R226">
        <v>6</v>
      </c>
      <c r="S226">
        <v>17.41</v>
      </c>
      <c r="T226">
        <v>-17.41</v>
      </c>
      <c r="U226">
        <v>1.86</v>
      </c>
      <c r="V226">
        <v>41.76</v>
      </c>
      <c r="W226">
        <v>9.51</v>
      </c>
      <c r="X226">
        <v>22.75</v>
      </c>
      <c r="Y226">
        <v>5.22</v>
      </c>
      <c r="Z226">
        <v>26.07</v>
      </c>
      <c r="AA226">
        <v>-2.21</v>
      </c>
      <c r="AB226">
        <v>12.23</v>
      </c>
      <c r="AC226">
        <v>-52.56</v>
      </c>
      <c r="AD226">
        <v>160</v>
      </c>
      <c r="AE226">
        <v>1460</v>
      </c>
      <c r="AF226">
        <v>13.4</v>
      </c>
      <c r="AG226">
        <v>0.15</v>
      </c>
      <c r="AH226">
        <v>15.5</v>
      </c>
      <c r="AI226">
        <v>151.4</v>
      </c>
      <c r="AJ226">
        <v>60</v>
      </c>
      <c r="AK226">
        <v>9</v>
      </c>
      <c r="AL226">
        <v>9</v>
      </c>
      <c r="AM226">
        <v>0.05</v>
      </c>
      <c r="AN226">
        <v>96</v>
      </c>
      <c r="AO226">
        <v>96.44</v>
      </c>
      <c r="AP226">
        <v>290469.82</v>
      </c>
      <c r="AQ226">
        <v>172101.2</v>
      </c>
      <c r="AR226" t="s">
        <v>1133</v>
      </c>
      <c r="AT226" s="6">
        <f t="shared" si="15"/>
        <v>6.7561997716894977</v>
      </c>
    </row>
    <row r="227" spans="1:46" x14ac:dyDescent="0.55000000000000004">
      <c r="A227">
        <v>0</v>
      </c>
      <c r="B227">
        <v>6</v>
      </c>
      <c r="C227">
        <v>169.76</v>
      </c>
      <c r="D227">
        <v>7.8</v>
      </c>
      <c r="E227" t="s">
        <v>2199</v>
      </c>
      <c r="F227" t="s">
        <v>2306</v>
      </c>
      <c r="G227" t="s">
        <v>2199</v>
      </c>
      <c r="H227" t="s">
        <v>2432</v>
      </c>
      <c r="I227">
        <v>0</v>
      </c>
      <c r="J227">
        <v>35</v>
      </c>
      <c r="K227">
        <f t="shared" si="12"/>
        <v>14.83</v>
      </c>
      <c r="L227">
        <f t="shared" si="13"/>
        <v>14.83</v>
      </c>
      <c r="M227">
        <f t="shared" si="14"/>
        <v>0</v>
      </c>
      <c r="N227">
        <v>6.3</v>
      </c>
      <c r="O227">
        <v>0</v>
      </c>
      <c r="P227">
        <v>45</v>
      </c>
      <c r="Q227">
        <v>19</v>
      </c>
      <c r="R227">
        <v>6</v>
      </c>
      <c r="S227">
        <v>12.18</v>
      </c>
      <c r="T227">
        <v>-12.18</v>
      </c>
      <c r="U227">
        <v>4.8499999999999996</v>
      </c>
      <c r="V227">
        <v>108.64</v>
      </c>
      <c r="W227">
        <v>24.74</v>
      </c>
      <c r="X227">
        <v>59.17</v>
      </c>
      <c r="Y227">
        <v>13.58</v>
      </c>
      <c r="Z227">
        <v>11.56</v>
      </c>
      <c r="AA227">
        <v>-1.43</v>
      </c>
      <c r="AB227">
        <v>10.65</v>
      </c>
      <c r="AC227">
        <v>-97.04</v>
      </c>
      <c r="AD227">
        <v>160</v>
      </c>
      <c r="AE227">
        <v>1460</v>
      </c>
      <c r="AF227">
        <v>13.4</v>
      </c>
      <c r="AG227">
        <v>0.15</v>
      </c>
      <c r="AH227">
        <v>3.48</v>
      </c>
      <c r="AI227">
        <v>86.41</v>
      </c>
      <c r="AJ227">
        <v>60</v>
      </c>
      <c r="AK227">
        <v>9</v>
      </c>
      <c r="AL227">
        <v>9</v>
      </c>
      <c r="AM227">
        <v>0.09</v>
      </c>
      <c r="AN227">
        <v>96</v>
      </c>
      <c r="AO227">
        <v>96.77</v>
      </c>
      <c r="AP227">
        <v>194937.87</v>
      </c>
      <c r="AQ227">
        <v>194937.87</v>
      </c>
      <c r="AR227" t="s">
        <v>1134</v>
      </c>
      <c r="AT227" s="6">
        <f t="shared" si="15"/>
        <v>0</v>
      </c>
    </row>
    <row r="228" spans="1:46" x14ac:dyDescent="0.55000000000000004">
      <c r="A228">
        <v>0</v>
      </c>
      <c r="B228">
        <v>6</v>
      </c>
      <c r="C228">
        <v>117.87</v>
      </c>
      <c r="D228">
        <v>7.8</v>
      </c>
      <c r="E228" t="s">
        <v>2199</v>
      </c>
      <c r="F228" t="s">
        <v>2307</v>
      </c>
      <c r="G228" t="s">
        <v>2199</v>
      </c>
      <c r="H228" t="s">
        <v>2433</v>
      </c>
      <c r="I228">
        <v>0</v>
      </c>
      <c r="J228">
        <v>35</v>
      </c>
      <c r="K228">
        <f t="shared" si="12"/>
        <v>15.59</v>
      </c>
      <c r="L228">
        <f t="shared" si="13"/>
        <v>15.59</v>
      </c>
      <c r="M228">
        <f t="shared" si="14"/>
        <v>0</v>
      </c>
      <c r="N228">
        <v>6.3</v>
      </c>
      <c r="O228">
        <v>0</v>
      </c>
      <c r="P228">
        <v>32</v>
      </c>
      <c r="Q228">
        <v>25.3</v>
      </c>
      <c r="R228">
        <v>6</v>
      </c>
      <c r="S228">
        <v>15.2</v>
      </c>
      <c r="T228">
        <v>-15.2</v>
      </c>
      <c r="U228">
        <v>3.37</v>
      </c>
      <c r="V228">
        <v>75.44</v>
      </c>
      <c r="W228">
        <v>17.18</v>
      </c>
      <c r="X228">
        <v>41.09</v>
      </c>
      <c r="Y228">
        <v>9.43</v>
      </c>
      <c r="Z228">
        <v>7.63</v>
      </c>
      <c r="AA228">
        <v>-1.73</v>
      </c>
      <c r="AB228">
        <v>11.25</v>
      </c>
      <c r="AC228">
        <v>-65.22</v>
      </c>
      <c r="AD228">
        <v>160</v>
      </c>
      <c r="AE228">
        <v>1460</v>
      </c>
      <c r="AF228">
        <v>13.4</v>
      </c>
      <c r="AG228">
        <v>0.15</v>
      </c>
      <c r="AH228">
        <v>5.66</v>
      </c>
      <c r="AI228">
        <v>54.27</v>
      </c>
      <c r="AJ228">
        <v>60</v>
      </c>
      <c r="AK228">
        <v>9</v>
      </c>
      <c r="AL228">
        <v>9</v>
      </c>
      <c r="AM228">
        <v>0.14000000000000001</v>
      </c>
      <c r="AN228">
        <v>96</v>
      </c>
      <c r="AO228">
        <v>97.23</v>
      </c>
      <c r="AP228">
        <v>211981.16</v>
      </c>
      <c r="AQ228">
        <v>211981.16</v>
      </c>
      <c r="AR228" t="s">
        <v>1135</v>
      </c>
      <c r="AT228" s="6">
        <f t="shared" si="15"/>
        <v>0</v>
      </c>
    </row>
    <row r="229" spans="1:46" x14ac:dyDescent="0.5500000000000000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f t="shared" si="12"/>
        <v>0</v>
      </c>
      <c r="L229">
        <f t="shared" si="13"/>
        <v>0</v>
      </c>
      <c r="M229">
        <f t="shared" si="14"/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T229" s="6">
        <f t="shared" si="15"/>
        <v>0</v>
      </c>
    </row>
    <row r="230" spans="1:46" x14ac:dyDescent="0.55000000000000004">
      <c r="A230">
        <v>0</v>
      </c>
      <c r="B230">
        <v>6</v>
      </c>
      <c r="C230">
        <v>156.5</v>
      </c>
      <c r="D230">
        <v>7.8</v>
      </c>
      <c r="E230" t="s">
        <v>2199</v>
      </c>
      <c r="F230" t="s">
        <v>2308</v>
      </c>
      <c r="G230" t="s">
        <v>2199</v>
      </c>
      <c r="H230" t="s">
        <v>2434</v>
      </c>
      <c r="I230">
        <v>0</v>
      </c>
      <c r="J230">
        <v>35</v>
      </c>
      <c r="K230">
        <f t="shared" si="12"/>
        <v>14.97</v>
      </c>
      <c r="L230">
        <f t="shared" si="13"/>
        <v>14.97</v>
      </c>
      <c r="M230">
        <f t="shared" si="14"/>
        <v>0</v>
      </c>
      <c r="N230">
        <v>6.3</v>
      </c>
      <c r="O230">
        <v>0</v>
      </c>
      <c r="P230">
        <v>46</v>
      </c>
      <c r="Q230">
        <v>18.3</v>
      </c>
      <c r="R230">
        <v>6</v>
      </c>
      <c r="S230">
        <v>11.73</v>
      </c>
      <c r="T230">
        <v>-11.73</v>
      </c>
      <c r="U230">
        <v>4.47</v>
      </c>
      <c r="V230">
        <v>100.16</v>
      </c>
      <c r="W230">
        <v>22.8</v>
      </c>
      <c r="X230">
        <v>54.55</v>
      </c>
      <c r="Y230">
        <v>12.52</v>
      </c>
      <c r="Z230">
        <v>10.56</v>
      </c>
      <c r="AA230">
        <v>-1.49</v>
      </c>
      <c r="AB230">
        <v>10.79</v>
      </c>
      <c r="AC230">
        <v>-104.78</v>
      </c>
      <c r="AD230">
        <v>160</v>
      </c>
      <c r="AE230">
        <v>1460</v>
      </c>
      <c r="AF230">
        <v>13.4</v>
      </c>
      <c r="AG230">
        <v>0.15</v>
      </c>
      <c r="AH230">
        <v>3.86</v>
      </c>
      <c r="AI230">
        <v>78.239999999999995</v>
      </c>
      <c r="AJ230">
        <v>60</v>
      </c>
      <c r="AK230">
        <v>9</v>
      </c>
      <c r="AL230">
        <v>9</v>
      </c>
      <c r="AM230">
        <v>0.09</v>
      </c>
      <c r="AN230">
        <v>96</v>
      </c>
      <c r="AO230">
        <v>96.85</v>
      </c>
      <c r="AP230">
        <v>197944.12</v>
      </c>
      <c r="AQ230">
        <v>197944.12</v>
      </c>
      <c r="AR230" t="s">
        <v>1137</v>
      </c>
      <c r="AT230" s="6">
        <f t="shared" si="15"/>
        <v>0</v>
      </c>
    </row>
    <row r="231" spans="1:46" x14ac:dyDescent="0.55000000000000004">
      <c r="A231">
        <v>0</v>
      </c>
      <c r="B231">
        <v>6</v>
      </c>
      <c r="C231">
        <v>64.23</v>
      </c>
      <c r="D231">
        <v>7.8</v>
      </c>
      <c r="E231" t="s">
        <v>2199</v>
      </c>
      <c r="F231" t="s">
        <v>2246</v>
      </c>
      <c r="G231" t="s">
        <v>2199</v>
      </c>
      <c r="H231" t="s">
        <v>2435</v>
      </c>
      <c r="I231">
        <v>0</v>
      </c>
      <c r="J231">
        <v>35</v>
      </c>
      <c r="K231">
        <f t="shared" si="12"/>
        <v>19.309999999999999</v>
      </c>
      <c r="L231">
        <f t="shared" si="13"/>
        <v>19.309999999999999</v>
      </c>
      <c r="M231">
        <f t="shared" si="14"/>
        <v>0</v>
      </c>
      <c r="N231">
        <v>6.3</v>
      </c>
      <c r="O231">
        <v>0</v>
      </c>
      <c r="P231">
        <v>52</v>
      </c>
      <c r="Q231">
        <v>24.1</v>
      </c>
      <c r="R231">
        <v>6</v>
      </c>
      <c r="S231">
        <v>17.52</v>
      </c>
      <c r="T231">
        <v>-17.52</v>
      </c>
      <c r="U231">
        <v>1.84</v>
      </c>
      <c r="V231">
        <v>41.11</v>
      </c>
      <c r="W231">
        <v>9.36</v>
      </c>
      <c r="X231">
        <v>22.39</v>
      </c>
      <c r="Y231">
        <v>5.14</v>
      </c>
      <c r="Z231">
        <v>3.35</v>
      </c>
      <c r="AA231">
        <v>-2.23</v>
      </c>
      <c r="AB231">
        <v>12.26</v>
      </c>
      <c r="AC231">
        <v>-52.06</v>
      </c>
      <c r="AD231">
        <v>160</v>
      </c>
      <c r="AE231">
        <v>1460</v>
      </c>
      <c r="AF231">
        <v>13.4</v>
      </c>
      <c r="AG231">
        <v>0.15</v>
      </c>
      <c r="AH231">
        <v>16.05</v>
      </c>
      <c r="AI231">
        <v>19.25</v>
      </c>
      <c r="AJ231">
        <v>60</v>
      </c>
      <c r="AK231">
        <v>9</v>
      </c>
      <c r="AL231">
        <v>9</v>
      </c>
      <c r="AM231">
        <v>0.38</v>
      </c>
      <c r="AN231">
        <v>96</v>
      </c>
      <c r="AO231">
        <v>99.46</v>
      </c>
      <c r="AP231">
        <v>295356.34999999998</v>
      </c>
      <c r="AQ231">
        <v>295356.34999999998</v>
      </c>
      <c r="AR231" t="s">
        <v>1138</v>
      </c>
      <c r="AT231" s="6">
        <f t="shared" si="15"/>
        <v>0</v>
      </c>
    </row>
    <row r="232" spans="1:46" x14ac:dyDescent="0.55000000000000004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f t="shared" si="12"/>
        <v>0</v>
      </c>
      <c r="L232">
        <f t="shared" si="13"/>
        <v>0</v>
      </c>
      <c r="M232">
        <f t="shared" si="14"/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T232" s="6">
        <f t="shared" si="15"/>
        <v>0</v>
      </c>
    </row>
    <row r="233" spans="1:46" x14ac:dyDescent="0.55000000000000004">
      <c r="A233">
        <v>0</v>
      </c>
      <c r="B233">
        <v>6</v>
      </c>
      <c r="C233">
        <v>336.19</v>
      </c>
      <c r="D233">
        <v>7.8</v>
      </c>
      <c r="E233" t="s">
        <v>2198</v>
      </c>
      <c r="F233" t="s">
        <v>2309</v>
      </c>
      <c r="G233" t="s">
        <v>2199</v>
      </c>
      <c r="H233" t="s">
        <v>2436</v>
      </c>
      <c r="I233">
        <v>0</v>
      </c>
      <c r="J233">
        <v>35</v>
      </c>
      <c r="K233">
        <f t="shared" si="12"/>
        <v>14.14</v>
      </c>
      <c r="L233">
        <f t="shared" si="13"/>
        <v>14.28</v>
      </c>
      <c r="M233">
        <f t="shared" si="14"/>
        <v>-0.13999999999999879</v>
      </c>
      <c r="N233">
        <v>6.3</v>
      </c>
      <c r="O233">
        <v>0</v>
      </c>
      <c r="P233">
        <v>42</v>
      </c>
      <c r="Q233">
        <v>20.100000000000001</v>
      </c>
      <c r="R233">
        <v>6</v>
      </c>
      <c r="S233">
        <v>12.68</v>
      </c>
      <c r="T233">
        <v>-12.68</v>
      </c>
      <c r="U233">
        <v>9.61</v>
      </c>
      <c r="V233">
        <v>215.16</v>
      </c>
      <c r="W233">
        <v>48.99</v>
      </c>
      <c r="X233">
        <v>117.18</v>
      </c>
      <c r="Y233">
        <v>26.89</v>
      </c>
      <c r="Z233">
        <v>19.3</v>
      </c>
      <c r="AA233">
        <v>-0.86</v>
      </c>
      <c r="AB233">
        <v>9.52</v>
      </c>
      <c r="AC233">
        <v>-89.75</v>
      </c>
      <c r="AD233">
        <v>160</v>
      </c>
      <c r="AE233">
        <v>1460</v>
      </c>
      <c r="AF233">
        <v>13.4</v>
      </c>
      <c r="AG233">
        <v>0.15</v>
      </c>
      <c r="AH233">
        <v>1.56</v>
      </c>
      <c r="AI233">
        <v>151.4</v>
      </c>
      <c r="AJ233">
        <v>60</v>
      </c>
      <c r="AK233">
        <v>9</v>
      </c>
      <c r="AL233">
        <v>9</v>
      </c>
      <c r="AM233">
        <v>0.05</v>
      </c>
      <c r="AN233">
        <v>96</v>
      </c>
      <c r="AO233">
        <v>96.44</v>
      </c>
      <c r="AP233">
        <v>179356.62</v>
      </c>
      <c r="AQ233">
        <v>172101.2</v>
      </c>
      <c r="AR233" t="s">
        <v>1140</v>
      </c>
      <c r="AT233" s="6">
        <f t="shared" si="15"/>
        <v>0.41412214611872056</v>
      </c>
    </row>
    <row r="234" spans="1:46" x14ac:dyDescent="0.55000000000000004">
      <c r="A234">
        <v>0</v>
      </c>
      <c r="B234">
        <v>6</v>
      </c>
      <c r="C234">
        <v>78.62</v>
      </c>
      <c r="D234">
        <v>7.8</v>
      </c>
      <c r="E234" t="s">
        <v>2198</v>
      </c>
      <c r="F234" t="s">
        <v>2310</v>
      </c>
      <c r="G234" t="s">
        <v>2199</v>
      </c>
      <c r="H234" t="s">
        <v>2437</v>
      </c>
      <c r="I234">
        <v>0</v>
      </c>
      <c r="J234">
        <v>35</v>
      </c>
      <c r="K234">
        <f t="shared" si="12"/>
        <v>17.34</v>
      </c>
      <c r="L234">
        <f t="shared" si="13"/>
        <v>14.28</v>
      </c>
      <c r="M234">
        <f t="shared" si="14"/>
        <v>3.0600000000000005</v>
      </c>
      <c r="N234">
        <v>6.3</v>
      </c>
      <c r="O234">
        <v>0</v>
      </c>
      <c r="P234">
        <v>35</v>
      </c>
      <c r="Q234">
        <v>25.5</v>
      </c>
      <c r="R234">
        <v>6</v>
      </c>
      <c r="S234">
        <v>15.91</v>
      </c>
      <c r="T234">
        <v>-15.91</v>
      </c>
      <c r="U234">
        <v>2.25</v>
      </c>
      <c r="V234">
        <v>50.32</v>
      </c>
      <c r="W234">
        <v>11.46</v>
      </c>
      <c r="X234">
        <v>27.41</v>
      </c>
      <c r="Y234">
        <v>6.29</v>
      </c>
      <c r="Z234">
        <v>23.68</v>
      </c>
      <c r="AA234">
        <v>-2.06</v>
      </c>
      <c r="AB234">
        <v>11.92</v>
      </c>
      <c r="AC234">
        <v>-60.55</v>
      </c>
      <c r="AD234">
        <v>160</v>
      </c>
      <c r="AE234">
        <v>1460</v>
      </c>
      <c r="AF234">
        <v>13.4</v>
      </c>
      <c r="AG234">
        <v>0.15</v>
      </c>
      <c r="AH234">
        <v>10.75</v>
      </c>
      <c r="AI234">
        <v>151.4</v>
      </c>
      <c r="AJ234">
        <v>60</v>
      </c>
      <c r="AK234">
        <v>9</v>
      </c>
      <c r="AL234">
        <v>9</v>
      </c>
      <c r="AM234">
        <v>0.05</v>
      </c>
      <c r="AN234">
        <v>96</v>
      </c>
      <c r="AO234">
        <v>96.44</v>
      </c>
      <c r="AP234">
        <v>251217.75</v>
      </c>
      <c r="AQ234">
        <v>172101.2</v>
      </c>
      <c r="AR234" t="s">
        <v>1141</v>
      </c>
      <c r="AT234" s="6">
        <f t="shared" si="15"/>
        <v>4.5157848173515971</v>
      </c>
    </row>
    <row r="235" spans="1:46" x14ac:dyDescent="0.55000000000000004">
      <c r="A235">
        <v>0</v>
      </c>
      <c r="B235">
        <v>6</v>
      </c>
      <c r="C235">
        <v>166.91</v>
      </c>
      <c r="D235">
        <v>7.8</v>
      </c>
      <c r="E235" t="s">
        <v>2198</v>
      </c>
      <c r="F235" t="s">
        <v>2258</v>
      </c>
      <c r="G235" t="s">
        <v>2199</v>
      </c>
      <c r="H235" t="s">
        <v>2384</v>
      </c>
      <c r="I235">
        <v>0</v>
      </c>
      <c r="J235">
        <v>35</v>
      </c>
      <c r="K235">
        <f t="shared" si="12"/>
        <v>14.86</v>
      </c>
      <c r="L235">
        <f t="shared" si="13"/>
        <v>14.28</v>
      </c>
      <c r="M235">
        <f t="shared" si="14"/>
        <v>0.58000000000000007</v>
      </c>
      <c r="N235">
        <v>6.3</v>
      </c>
      <c r="O235">
        <v>0</v>
      </c>
      <c r="P235">
        <v>48</v>
      </c>
      <c r="Q235">
        <v>17.7</v>
      </c>
      <c r="R235">
        <v>6</v>
      </c>
      <c r="S235">
        <v>11.47</v>
      </c>
      <c r="T235">
        <v>-11.47</v>
      </c>
      <c r="U235">
        <v>4.7699999999999996</v>
      </c>
      <c r="V235">
        <v>106.82</v>
      </c>
      <c r="W235">
        <v>24.32</v>
      </c>
      <c r="X235">
        <v>58.18</v>
      </c>
      <c r="Y235">
        <v>13.35</v>
      </c>
      <c r="Z235">
        <v>20.29</v>
      </c>
      <c r="AA235">
        <v>-1.44</v>
      </c>
      <c r="AB235">
        <v>10.68</v>
      </c>
      <c r="AC235">
        <v>-109.64</v>
      </c>
      <c r="AD235">
        <v>160</v>
      </c>
      <c r="AE235">
        <v>1460</v>
      </c>
      <c r="AF235">
        <v>13.4</v>
      </c>
      <c r="AG235">
        <v>0.15</v>
      </c>
      <c r="AH235">
        <v>3.56</v>
      </c>
      <c r="AI235">
        <v>151.4</v>
      </c>
      <c r="AJ235">
        <v>60</v>
      </c>
      <c r="AK235">
        <v>9</v>
      </c>
      <c r="AL235">
        <v>9</v>
      </c>
      <c r="AM235">
        <v>0.05</v>
      </c>
      <c r="AN235">
        <v>96</v>
      </c>
      <c r="AO235">
        <v>96.44</v>
      </c>
      <c r="AP235">
        <v>195534.82</v>
      </c>
      <c r="AQ235">
        <v>172101.2</v>
      </c>
      <c r="AR235" t="s">
        <v>1142</v>
      </c>
      <c r="AT235" s="6">
        <f t="shared" si="15"/>
        <v>1.3375353881278536</v>
      </c>
    </row>
    <row r="236" spans="1:46" x14ac:dyDescent="0.55000000000000004">
      <c r="A236">
        <v>0</v>
      </c>
      <c r="B236">
        <v>6</v>
      </c>
      <c r="C236">
        <v>92.83</v>
      </c>
      <c r="D236">
        <v>7.8</v>
      </c>
      <c r="E236" t="s">
        <v>2198</v>
      </c>
      <c r="F236" t="s">
        <v>2311</v>
      </c>
      <c r="G236" t="s">
        <v>2199</v>
      </c>
      <c r="H236" t="s">
        <v>2438</v>
      </c>
      <c r="I236">
        <v>0</v>
      </c>
      <c r="J236">
        <v>35</v>
      </c>
      <c r="K236">
        <f t="shared" si="12"/>
        <v>16.43</v>
      </c>
      <c r="L236">
        <f t="shared" si="13"/>
        <v>14.28</v>
      </c>
      <c r="M236">
        <f t="shared" si="14"/>
        <v>2.1500000000000004</v>
      </c>
      <c r="N236">
        <v>6.3</v>
      </c>
      <c r="O236">
        <v>0</v>
      </c>
      <c r="P236">
        <v>32</v>
      </c>
      <c r="Q236">
        <v>25.4</v>
      </c>
      <c r="R236">
        <v>6</v>
      </c>
      <c r="S236">
        <v>15.28</v>
      </c>
      <c r="T236">
        <v>-15.28</v>
      </c>
      <c r="U236">
        <v>2.65</v>
      </c>
      <c r="V236">
        <v>59.41</v>
      </c>
      <c r="W236">
        <v>13.53</v>
      </c>
      <c r="X236">
        <v>32.36</v>
      </c>
      <c r="Y236">
        <v>7.43</v>
      </c>
      <c r="Z236">
        <v>22.44</v>
      </c>
      <c r="AA236">
        <v>-1.92</v>
      </c>
      <c r="AB236">
        <v>11.65</v>
      </c>
      <c r="AC236">
        <v>-64.680000000000007</v>
      </c>
      <c r="AD236">
        <v>160</v>
      </c>
      <c r="AE236">
        <v>1460</v>
      </c>
      <c r="AF236">
        <v>13.4</v>
      </c>
      <c r="AG236">
        <v>0.15</v>
      </c>
      <c r="AH236">
        <v>8.11</v>
      </c>
      <c r="AI236">
        <v>151.4</v>
      </c>
      <c r="AJ236">
        <v>60</v>
      </c>
      <c r="AK236">
        <v>9</v>
      </c>
      <c r="AL236">
        <v>9</v>
      </c>
      <c r="AM236">
        <v>0.05</v>
      </c>
      <c r="AN236">
        <v>96</v>
      </c>
      <c r="AO236">
        <v>96.44</v>
      </c>
      <c r="AP236">
        <v>230809.18</v>
      </c>
      <c r="AQ236">
        <v>172101.2</v>
      </c>
      <c r="AR236" t="s">
        <v>1143</v>
      </c>
      <c r="AT236" s="6">
        <f t="shared" si="15"/>
        <v>3.35091210045662</v>
      </c>
    </row>
    <row r="237" spans="1:46" x14ac:dyDescent="0.55000000000000004">
      <c r="A237">
        <v>0</v>
      </c>
      <c r="B237">
        <v>6</v>
      </c>
      <c r="C237">
        <v>62.56</v>
      </c>
      <c r="D237">
        <v>7.8</v>
      </c>
      <c r="E237" t="s">
        <v>2199</v>
      </c>
      <c r="F237" t="s">
        <v>2312</v>
      </c>
      <c r="G237" t="s">
        <v>2199</v>
      </c>
      <c r="H237" t="s">
        <v>558</v>
      </c>
      <c r="I237">
        <v>0</v>
      </c>
      <c r="J237">
        <v>35</v>
      </c>
      <c r="K237">
        <f t="shared" si="12"/>
        <v>19.72</v>
      </c>
      <c r="L237">
        <f t="shared" si="13"/>
        <v>19.72</v>
      </c>
      <c r="M237">
        <f t="shared" si="14"/>
        <v>0</v>
      </c>
      <c r="N237">
        <v>6.3</v>
      </c>
      <c r="O237">
        <v>0</v>
      </c>
      <c r="P237">
        <v>72</v>
      </c>
      <c r="Q237">
        <v>22.8</v>
      </c>
      <c r="R237">
        <v>6</v>
      </c>
      <c r="S237">
        <v>19.16</v>
      </c>
      <c r="T237">
        <v>-19.16</v>
      </c>
      <c r="U237">
        <v>1.79</v>
      </c>
      <c r="V237">
        <v>40.04</v>
      </c>
      <c r="W237">
        <v>9.1199999999999992</v>
      </c>
      <c r="X237">
        <v>21.8</v>
      </c>
      <c r="Y237">
        <v>5</v>
      </c>
      <c r="Z237">
        <v>3.2</v>
      </c>
      <c r="AA237">
        <v>-2.25</v>
      </c>
      <c r="AB237">
        <v>12.3</v>
      </c>
      <c r="AC237">
        <v>-45.61</v>
      </c>
      <c r="AD237">
        <v>160</v>
      </c>
      <c r="AE237">
        <v>1460</v>
      </c>
      <c r="AF237">
        <v>13.4</v>
      </c>
      <c r="AG237">
        <v>0.15</v>
      </c>
      <c r="AH237">
        <v>17.02</v>
      </c>
      <c r="AI237">
        <v>17.97</v>
      </c>
      <c r="AJ237">
        <v>60</v>
      </c>
      <c r="AK237">
        <v>9</v>
      </c>
      <c r="AL237">
        <v>9</v>
      </c>
      <c r="AM237">
        <v>0.41</v>
      </c>
      <c r="AN237">
        <v>96</v>
      </c>
      <c r="AO237">
        <v>99.7</v>
      </c>
      <c r="AP237">
        <v>304515.71999999997</v>
      </c>
      <c r="AQ237">
        <v>304515.71999999997</v>
      </c>
      <c r="AR237" t="s">
        <v>1144</v>
      </c>
      <c r="AT237" s="6">
        <f t="shared" si="15"/>
        <v>0</v>
      </c>
    </row>
    <row r="238" spans="1:46" x14ac:dyDescent="0.55000000000000004">
      <c r="A238">
        <v>0</v>
      </c>
      <c r="B238">
        <v>6</v>
      </c>
      <c r="C238">
        <v>169.66</v>
      </c>
      <c r="D238">
        <v>7.8</v>
      </c>
      <c r="E238" t="s">
        <v>2198</v>
      </c>
      <c r="F238" t="s">
        <v>2253</v>
      </c>
      <c r="G238" t="s">
        <v>2199</v>
      </c>
      <c r="H238" t="s">
        <v>2379</v>
      </c>
      <c r="I238">
        <v>0</v>
      </c>
      <c r="J238">
        <v>35</v>
      </c>
      <c r="K238">
        <f t="shared" si="12"/>
        <v>14.83</v>
      </c>
      <c r="L238">
        <f t="shared" si="13"/>
        <v>14.28</v>
      </c>
      <c r="M238">
        <f t="shared" si="14"/>
        <v>0.55000000000000071</v>
      </c>
      <c r="N238">
        <v>6.3</v>
      </c>
      <c r="O238">
        <v>0</v>
      </c>
      <c r="P238">
        <v>47</v>
      </c>
      <c r="Q238">
        <v>17.8</v>
      </c>
      <c r="R238">
        <v>6</v>
      </c>
      <c r="S238">
        <v>11.43</v>
      </c>
      <c r="T238">
        <v>-11.43</v>
      </c>
      <c r="U238">
        <v>4.8499999999999996</v>
      </c>
      <c r="V238">
        <v>108.58</v>
      </c>
      <c r="W238">
        <v>24.72</v>
      </c>
      <c r="X238">
        <v>59.14</v>
      </c>
      <c r="Y238">
        <v>13.57</v>
      </c>
      <c r="Z238">
        <v>20.25</v>
      </c>
      <c r="AA238">
        <v>-1.43</v>
      </c>
      <c r="AB238">
        <v>10.65</v>
      </c>
      <c r="AC238">
        <v>-110.47</v>
      </c>
      <c r="AD238">
        <v>160</v>
      </c>
      <c r="AE238">
        <v>1460</v>
      </c>
      <c r="AF238">
        <v>13.4</v>
      </c>
      <c r="AG238">
        <v>0.15</v>
      </c>
      <c r="AH238">
        <v>3.48</v>
      </c>
      <c r="AI238">
        <v>151.4</v>
      </c>
      <c r="AJ238">
        <v>60</v>
      </c>
      <c r="AK238">
        <v>9</v>
      </c>
      <c r="AL238">
        <v>9</v>
      </c>
      <c r="AM238">
        <v>0.05</v>
      </c>
      <c r="AN238">
        <v>96</v>
      </c>
      <c r="AO238">
        <v>96.44</v>
      </c>
      <c r="AP238">
        <v>194957.02</v>
      </c>
      <c r="AQ238">
        <v>172101.2</v>
      </c>
      <c r="AR238" t="s">
        <v>1145</v>
      </c>
      <c r="AT238" s="6">
        <f t="shared" si="15"/>
        <v>1.3045559360730581</v>
      </c>
    </row>
    <row r="239" spans="1:46" x14ac:dyDescent="0.5500000000000000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f t="shared" si="12"/>
        <v>0</v>
      </c>
      <c r="L239">
        <f t="shared" si="13"/>
        <v>0</v>
      </c>
      <c r="M239">
        <f t="shared" si="14"/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T239" s="6">
        <f t="shared" si="15"/>
        <v>0</v>
      </c>
    </row>
    <row r="240" spans="1:46" x14ac:dyDescent="0.55000000000000004">
      <c r="A240">
        <v>0</v>
      </c>
      <c r="B240">
        <v>6</v>
      </c>
      <c r="C240">
        <v>70.540000000000006</v>
      </c>
      <c r="D240">
        <v>7.8</v>
      </c>
      <c r="E240" t="s">
        <v>2198</v>
      </c>
      <c r="F240" t="s">
        <v>2313</v>
      </c>
      <c r="G240" t="s">
        <v>2199</v>
      </c>
      <c r="H240" t="s">
        <v>2439</v>
      </c>
      <c r="I240">
        <v>0</v>
      </c>
      <c r="J240">
        <v>35</v>
      </c>
      <c r="K240">
        <f t="shared" si="12"/>
        <v>18.21</v>
      </c>
      <c r="L240">
        <f t="shared" si="13"/>
        <v>14.28</v>
      </c>
      <c r="M240">
        <f t="shared" si="14"/>
        <v>3.9300000000000015</v>
      </c>
      <c r="N240">
        <v>6.3</v>
      </c>
      <c r="O240">
        <v>0</v>
      </c>
      <c r="P240">
        <v>42</v>
      </c>
      <c r="Q240">
        <v>25</v>
      </c>
      <c r="R240">
        <v>6</v>
      </c>
      <c r="S240">
        <v>16.72</v>
      </c>
      <c r="T240">
        <v>-16.72</v>
      </c>
      <c r="U240">
        <v>2.02</v>
      </c>
      <c r="V240">
        <v>45.14</v>
      </c>
      <c r="W240">
        <v>10.28</v>
      </c>
      <c r="X240">
        <v>24.59</v>
      </c>
      <c r="Y240">
        <v>5.64</v>
      </c>
      <c r="Z240">
        <v>24.87</v>
      </c>
      <c r="AA240">
        <v>-2.15</v>
      </c>
      <c r="AB240">
        <v>12.1</v>
      </c>
      <c r="AC240">
        <v>-55.98</v>
      </c>
      <c r="AD240">
        <v>160</v>
      </c>
      <c r="AE240">
        <v>1460</v>
      </c>
      <c r="AF240">
        <v>13.4</v>
      </c>
      <c r="AG240">
        <v>0.15</v>
      </c>
      <c r="AH240">
        <v>13.2</v>
      </c>
      <c r="AI240">
        <v>151.4</v>
      </c>
      <c r="AJ240">
        <v>60</v>
      </c>
      <c r="AK240">
        <v>9</v>
      </c>
      <c r="AL240">
        <v>9</v>
      </c>
      <c r="AM240">
        <v>0.05</v>
      </c>
      <c r="AN240">
        <v>96</v>
      </c>
      <c r="AO240">
        <v>96.44</v>
      </c>
      <c r="AP240">
        <v>270796.82</v>
      </c>
      <c r="AQ240">
        <v>172101.2</v>
      </c>
      <c r="AR240" t="s">
        <v>1147</v>
      </c>
      <c r="AT240" s="6">
        <f t="shared" si="15"/>
        <v>5.6333116438356159</v>
      </c>
    </row>
    <row r="241" spans="1:46" x14ac:dyDescent="0.55000000000000004">
      <c r="A241">
        <v>0</v>
      </c>
      <c r="B241">
        <v>6</v>
      </c>
      <c r="C241">
        <v>59.84</v>
      </c>
      <c r="D241">
        <v>7.8</v>
      </c>
      <c r="E241" t="s">
        <v>2198</v>
      </c>
      <c r="F241" t="s">
        <v>2314</v>
      </c>
      <c r="G241" t="s">
        <v>2199</v>
      </c>
      <c r="H241" t="s">
        <v>2440</v>
      </c>
      <c r="I241">
        <v>0</v>
      </c>
      <c r="J241">
        <v>35</v>
      </c>
      <c r="K241">
        <f t="shared" si="12"/>
        <v>20.57</v>
      </c>
      <c r="L241">
        <f t="shared" si="13"/>
        <v>14.28</v>
      </c>
      <c r="M241">
        <f t="shared" si="14"/>
        <v>6.2900000000000009</v>
      </c>
      <c r="N241">
        <v>6.3</v>
      </c>
      <c r="O241">
        <v>0</v>
      </c>
      <c r="P241">
        <v>72</v>
      </c>
      <c r="Q241">
        <v>22.2</v>
      </c>
      <c r="R241">
        <v>6</v>
      </c>
      <c r="S241">
        <v>18.59</v>
      </c>
      <c r="T241">
        <v>-18.59</v>
      </c>
      <c r="U241">
        <v>1.71</v>
      </c>
      <c r="V241">
        <v>38.299999999999997</v>
      </c>
      <c r="W241">
        <v>8.7200000000000006</v>
      </c>
      <c r="X241">
        <v>20.86</v>
      </c>
      <c r="Y241">
        <v>4.79</v>
      </c>
      <c r="Z241">
        <v>28.09</v>
      </c>
      <c r="AA241">
        <v>-2.29</v>
      </c>
      <c r="AB241">
        <v>12.37</v>
      </c>
      <c r="AC241">
        <v>-47.64</v>
      </c>
      <c r="AD241">
        <v>160</v>
      </c>
      <c r="AE241">
        <v>1460</v>
      </c>
      <c r="AF241">
        <v>13.4</v>
      </c>
      <c r="AG241">
        <v>0.15</v>
      </c>
      <c r="AH241">
        <v>18.89</v>
      </c>
      <c r="AI241">
        <v>151.4</v>
      </c>
      <c r="AJ241">
        <v>60</v>
      </c>
      <c r="AK241">
        <v>9</v>
      </c>
      <c r="AL241">
        <v>9</v>
      </c>
      <c r="AM241">
        <v>0.05</v>
      </c>
      <c r="AN241">
        <v>96</v>
      </c>
      <c r="AO241">
        <v>96.44</v>
      </c>
      <c r="AP241">
        <v>323611.5</v>
      </c>
      <c r="AQ241">
        <v>172101.2</v>
      </c>
      <c r="AR241" t="s">
        <v>1148</v>
      </c>
      <c r="AT241" s="6">
        <f t="shared" si="15"/>
        <v>8.6478481735159818</v>
      </c>
    </row>
    <row r="242" spans="1:46" x14ac:dyDescent="0.55000000000000004">
      <c r="A242">
        <v>0</v>
      </c>
      <c r="B242">
        <v>6</v>
      </c>
      <c r="C242">
        <v>57.74</v>
      </c>
      <c r="D242">
        <v>7.8</v>
      </c>
      <c r="E242" t="s">
        <v>2198</v>
      </c>
      <c r="F242" t="s">
        <v>2315</v>
      </c>
      <c r="G242" t="s">
        <v>2199</v>
      </c>
      <c r="H242" t="s">
        <v>2441</v>
      </c>
      <c r="I242">
        <v>0</v>
      </c>
      <c r="J242">
        <v>35</v>
      </c>
      <c r="K242">
        <f t="shared" si="12"/>
        <v>21.5</v>
      </c>
      <c r="L242">
        <f t="shared" si="13"/>
        <v>14.28</v>
      </c>
      <c r="M242">
        <f t="shared" si="14"/>
        <v>7.2200000000000006</v>
      </c>
      <c r="N242">
        <v>6.3</v>
      </c>
      <c r="O242">
        <v>0</v>
      </c>
      <c r="P242">
        <v>54</v>
      </c>
      <c r="Q242">
        <v>22</v>
      </c>
      <c r="R242">
        <v>6</v>
      </c>
      <c r="S242">
        <v>15.98</v>
      </c>
      <c r="T242">
        <v>-15.98</v>
      </c>
      <c r="U242">
        <v>1.65</v>
      </c>
      <c r="V242">
        <v>36.950000000000003</v>
      </c>
      <c r="W242">
        <v>8.41</v>
      </c>
      <c r="X242">
        <v>20.13</v>
      </c>
      <c r="Y242">
        <v>4.62</v>
      </c>
      <c r="Z242">
        <v>29.36</v>
      </c>
      <c r="AA242">
        <v>-2.3199999999999998</v>
      </c>
      <c r="AB242">
        <v>12.43</v>
      </c>
      <c r="AC242">
        <v>-60.11</v>
      </c>
      <c r="AD242">
        <v>160</v>
      </c>
      <c r="AE242">
        <v>1460</v>
      </c>
      <c r="AF242">
        <v>13.4</v>
      </c>
      <c r="AG242">
        <v>0.15</v>
      </c>
      <c r="AH242">
        <v>20.63</v>
      </c>
      <c r="AI242">
        <v>151.4</v>
      </c>
      <c r="AJ242">
        <v>60</v>
      </c>
      <c r="AK242">
        <v>9</v>
      </c>
      <c r="AL242">
        <v>9</v>
      </c>
      <c r="AM242">
        <v>0.05</v>
      </c>
      <c r="AN242">
        <v>96</v>
      </c>
      <c r="AO242">
        <v>96.44</v>
      </c>
      <c r="AP242">
        <v>344521.93</v>
      </c>
      <c r="AQ242">
        <v>172101.2</v>
      </c>
      <c r="AR242" t="s">
        <v>1149</v>
      </c>
      <c r="AT242" s="6">
        <f t="shared" si="15"/>
        <v>9.8413658675799081</v>
      </c>
    </row>
    <row r="243" spans="1:46" x14ac:dyDescent="0.55000000000000004">
      <c r="A243">
        <v>0</v>
      </c>
      <c r="B243">
        <v>6</v>
      </c>
      <c r="C243">
        <v>57.69</v>
      </c>
      <c r="D243">
        <v>7.8</v>
      </c>
      <c r="E243" t="s">
        <v>2198</v>
      </c>
      <c r="F243" t="s">
        <v>2316</v>
      </c>
      <c r="G243" t="s">
        <v>2199</v>
      </c>
      <c r="H243" t="s">
        <v>2442</v>
      </c>
      <c r="I243">
        <v>0</v>
      </c>
      <c r="J243">
        <v>35</v>
      </c>
      <c r="K243">
        <f t="shared" si="12"/>
        <v>21.53</v>
      </c>
      <c r="L243">
        <f t="shared" si="13"/>
        <v>14.28</v>
      </c>
      <c r="M243">
        <f t="shared" si="14"/>
        <v>7.2500000000000018</v>
      </c>
      <c r="N243">
        <v>6.3</v>
      </c>
      <c r="O243">
        <v>0</v>
      </c>
      <c r="P243">
        <v>53</v>
      </c>
      <c r="Q243">
        <v>22.3</v>
      </c>
      <c r="R243">
        <v>6</v>
      </c>
      <c r="S243">
        <v>16.100000000000001</v>
      </c>
      <c r="T243">
        <v>-16.100000000000001</v>
      </c>
      <c r="U243">
        <v>1.65</v>
      </c>
      <c r="V243">
        <v>36.92</v>
      </c>
      <c r="W243">
        <v>8.41</v>
      </c>
      <c r="X243">
        <v>20.11</v>
      </c>
      <c r="Y243">
        <v>4.62</v>
      </c>
      <c r="Z243">
        <v>29.39</v>
      </c>
      <c r="AA243">
        <v>-2.3199999999999998</v>
      </c>
      <c r="AB243">
        <v>12.43</v>
      </c>
      <c r="AC243">
        <v>-59.38</v>
      </c>
      <c r="AD243">
        <v>160</v>
      </c>
      <c r="AE243">
        <v>1460</v>
      </c>
      <c r="AF243">
        <v>13.4</v>
      </c>
      <c r="AG243">
        <v>0.15</v>
      </c>
      <c r="AH243">
        <v>20.67</v>
      </c>
      <c r="AI243">
        <v>151.4</v>
      </c>
      <c r="AJ243">
        <v>60</v>
      </c>
      <c r="AK243">
        <v>9</v>
      </c>
      <c r="AL243">
        <v>9</v>
      </c>
      <c r="AM243">
        <v>0.05</v>
      </c>
      <c r="AN243">
        <v>96</v>
      </c>
      <c r="AO243">
        <v>96.44</v>
      </c>
      <c r="AP243">
        <v>345088.17</v>
      </c>
      <c r="AQ243">
        <v>172101.2</v>
      </c>
      <c r="AR243" t="s">
        <v>1150</v>
      </c>
      <c r="AT243" s="6">
        <f t="shared" si="15"/>
        <v>9.873685502283104</v>
      </c>
    </row>
    <row r="244" spans="1:46" x14ac:dyDescent="0.55000000000000004">
      <c r="A244">
        <v>0</v>
      </c>
      <c r="B244">
        <v>6</v>
      </c>
      <c r="C244">
        <v>60.86</v>
      </c>
      <c r="D244">
        <v>7.8</v>
      </c>
      <c r="E244" t="s">
        <v>2199</v>
      </c>
      <c r="F244" t="s">
        <v>2317</v>
      </c>
      <c r="G244" t="s">
        <v>2199</v>
      </c>
      <c r="H244" t="s">
        <v>1656</v>
      </c>
      <c r="I244">
        <v>0</v>
      </c>
      <c r="J244">
        <v>35</v>
      </c>
      <c r="K244">
        <f t="shared" si="12"/>
        <v>20.21</v>
      </c>
      <c r="L244">
        <f t="shared" si="13"/>
        <v>20.21</v>
      </c>
      <c r="M244">
        <f t="shared" si="14"/>
        <v>0</v>
      </c>
      <c r="N244">
        <v>6.3</v>
      </c>
      <c r="O244">
        <v>0</v>
      </c>
      <c r="P244">
        <v>71</v>
      </c>
      <c r="Q244">
        <v>22.1</v>
      </c>
      <c r="R244">
        <v>6</v>
      </c>
      <c r="S244">
        <v>18.37</v>
      </c>
      <c r="T244">
        <v>-18.37</v>
      </c>
      <c r="U244">
        <v>1.74</v>
      </c>
      <c r="V244">
        <v>38.950000000000003</v>
      </c>
      <c r="W244">
        <v>8.8699999999999992</v>
      </c>
      <c r="X244">
        <v>21.21</v>
      </c>
      <c r="Y244">
        <v>4.87</v>
      </c>
      <c r="Z244">
        <v>3.03</v>
      </c>
      <c r="AA244">
        <v>-2.27</v>
      </c>
      <c r="AB244">
        <v>12.34</v>
      </c>
      <c r="AC244">
        <v>-48.51</v>
      </c>
      <c r="AD244">
        <v>160</v>
      </c>
      <c r="AE244">
        <v>1460</v>
      </c>
      <c r="AF244">
        <v>13.4</v>
      </c>
      <c r="AG244">
        <v>0.15</v>
      </c>
      <c r="AH244">
        <v>18.14</v>
      </c>
      <c r="AI244">
        <v>16.64</v>
      </c>
      <c r="AJ244">
        <v>60</v>
      </c>
      <c r="AK244">
        <v>9</v>
      </c>
      <c r="AL244">
        <v>9</v>
      </c>
      <c r="AM244">
        <v>0.44</v>
      </c>
      <c r="AN244">
        <v>96</v>
      </c>
      <c r="AO244">
        <v>100</v>
      </c>
      <c r="AP244">
        <v>315629.63</v>
      </c>
      <c r="AQ244">
        <v>315629.63</v>
      </c>
      <c r="AR244" t="s">
        <v>1151</v>
      </c>
      <c r="AT244" s="6">
        <f t="shared" si="15"/>
        <v>0</v>
      </c>
    </row>
    <row r="245" spans="1:46" x14ac:dyDescent="0.55000000000000004">
      <c r="A245">
        <v>0</v>
      </c>
      <c r="B245">
        <v>6</v>
      </c>
      <c r="C245">
        <v>57.45</v>
      </c>
      <c r="D245">
        <v>7.8</v>
      </c>
      <c r="E245" t="s">
        <v>2198</v>
      </c>
      <c r="F245" t="s">
        <v>2318</v>
      </c>
      <c r="G245" t="s">
        <v>2199</v>
      </c>
      <c r="H245" t="s">
        <v>2443</v>
      </c>
      <c r="I245">
        <v>0</v>
      </c>
      <c r="J245">
        <v>35</v>
      </c>
      <c r="K245">
        <f t="shared" si="12"/>
        <v>21.66</v>
      </c>
      <c r="L245">
        <f t="shared" si="13"/>
        <v>14.28</v>
      </c>
      <c r="M245">
        <f t="shared" si="14"/>
        <v>7.3800000000000008</v>
      </c>
      <c r="N245">
        <v>6.3</v>
      </c>
      <c r="O245">
        <v>0</v>
      </c>
      <c r="P245">
        <v>77</v>
      </c>
      <c r="Q245">
        <v>19.8</v>
      </c>
      <c r="R245">
        <v>6</v>
      </c>
      <c r="S245">
        <v>16.97</v>
      </c>
      <c r="T245">
        <v>-16.97</v>
      </c>
      <c r="U245">
        <v>1.64</v>
      </c>
      <c r="V245">
        <v>36.770000000000003</v>
      </c>
      <c r="W245">
        <v>8.3699999999999992</v>
      </c>
      <c r="X245">
        <v>20.02</v>
      </c>
      <c r="Y245">
        <v>4.5999999999999996</v>
      </c>
      <c r="Z245">
        <v>29.58</v>
      </c>
      <c r="AA245">
        <v>-2.3199999999999998</v>
      </c>
      <c r="AB245">
        <v>12.44</v>
      </c>
      <c r="AC245">
        <v>-54.72</v>
      </c>
      <c r="AD245">
        <v>160</v>
      </c>
      <c r="AE245">
        <v>1460</v>
      </c>
      <c r="AF245">
        <v>13.4</v>
      </c>
      <c r="AG245">
        <v>0.15</v>
      </c>
      <c r="AH245">
        <v>20.9</v>
      </c>
      <c r="AI245">
        <v>151.4</v>
      </c>
      <c r="AJ245">
        <v>60</v>
      </c>
      <c r="AK245">
        <v>9</v>
      </c>
      <c r="AL245">
        <v>9</v>
      </c>
      <c r="AM245">
        <v>0.05</v>
      </c>
      <c r="AN245">
        <v>96</v>
      </c>
      <c r="AO245">
        <v>96.44</v>
      </c>
      <c r="AP245">
        <v>348099.07</v>
      </c>
      <c r="AQ245">
        <v>172101.2</v>
      </c>
      <c r="AR245" t="s">
        <v>1152</v>
      </c>
      <c r="AT245" s="6">
        <f>(AP245-AQ245)/(365*24*2)</f>
        <v>10.045540525114156</v>
      </c>
    </row>
    <row r="246" spans="1:46" x14ac:dyDescent="0.55000000000000004">
      <c r="A246">
        <v>0</v>
      </c>
      <c r="B246">
        <v>6</v>
      </c>
      <c r="C246">
        <v>58.95</v>
      </c>
      <c r="D246">
        <v>7.8</v>
      </c>
      <c r="E246" t="s">
        <v>2199</v>
      </c>
      <c r="F246" t="s">
        <v>2319</v>
      </c>
      <c r="G246" t="s">
        <v>2199</v>
      </c>
      <c r="H246" t="s">
        <v>2444</v>
      </c>
      <c r="I246">
        <v>0</v>
      </c>
      <c r="J246">
        <v>35</v>
      </c>
      <c r="K246">
        <f t="shared" si="12"/>
        <v>20.92</v>
      </c>
      <c r="L246">
        <f t="shared" si="13"/>
        <v>20.92</v>
      </c>
      <c r="M246">
        <f t="shared" si="14"/>
        <v>0</v>
      </c>
      <c r="N246">
        <v>6.3</v>
      </c>
      <c r="O246">
        <v>0</v>
      </c>
      <c r="P246">
        <v>61</v>
      </c>
      <c r="Q246">
        <v>22.1</v>
      </c>
      <c r="R246">
        <v>6</v>
      </c>
      <c r="S246">
        <v>17.03</v>
      </c>
      <c r="T246">
        <v>-17.03</v>
      </c>
      <c r="U246">
        <v>1.68</v>
      </c>
      <c r="V246">
        <v>37.729999999999997</v>
      </c>
      <c r="W246">
        <v>8.59</v>
      </c>
      <c r="X246">
        <v>20.55</v>
      </c>
      <c r="Y246">
        <v>4.72</v>
      </c>
      <c r="Z246">
        <v>2.84</v>
      </c>
      <c r="AA246">
        <v>-2.2999999999999998</v>
      </c>
      <c r="AB246">
        <v>12.4</v>
      </c>
      <c r="AC246">
        <v>-54.38</v>
      </c>
      <c r="AD246">
        <v>160</v>
      </c>
      <c r="AE246">
        <v>1460</v>
      </c>
      <c r="AF246">
        <v>13.4</v>
      </c>
      <c r="AG246">
        <v>0.15</v>
      </c>
      <c r="AH246">
        <v>19.579999999999998</v>
      </c>
      <c r="AI246">
        <v>15.04</v>
      </c>
      <c r="AJ246">
        <v>60</v>
      </c>
      <c r="AK246">
        <v>9</v>
      </c>
      <c r="AL246">
        <v>9</v>
      </c>
      <c r="AM246">
        <v>0.49</v>
      </c>
      <c r="AN246">
        <v>96</v>
      </c>
      <c r="AO246">
        <v>100.42</v>
      </c>
      <c r="AP246">
        <v>331501.61</v>
      </c>
      <c r="AQ246">
        <v>331501.61</v>
      </c>
      <c r="AR246" t="s">
        <v>1153</v>
      </c>
      <c r="AT246" s="6">
        <f t="shared" si="15"/>
        <v>0</v>
      </c>
    </row>
    <row r="247" spans="1:46" x14ac:dyDescent="0.55000000000000004">
      <c r="A247">
        <v>0</v>
      </c>
      <c r="B247">
        <v>6</v>
      </c>
      <c r="C247">
        <v>59.68</v>
      </c>
      <c r="D247">
        <v>7.8</v>
      </c>
      <c r="E247" t="s">
        <v>2198</v>
      </c>
      <c r="F247" t="s">
        <v>2320</v>
      </c>
      <c r="G247" t="s">
        <v>2199</v>
      </c>
      <c r="H247" t="s">
        <v>2445</v>
      </c>
      <c r="I247">
        <v>0</v>
      </c>
      <c r="J247">
        <v>35</v>
      </c>
      <c r="K247">
        <f t="shared" si="12"/>
        <v>20.63</v>
      </c>
      <c r="L247">
        <f t="shared" si="13"/>
        <v>14.28</v>
      </c>
      <c r="M247">
        <f t="shared" si="14"/>
        <v>6.35</v>
      </c>
      <c r="N247">
        <v>6.3</v>
      </c>
      <c r="O247">
        <v>0</v>
      </c>
      <c r="P247">
        <v>68</v>
      </c>
      <c r="Q247">
        <v>22.2</v>
      </c>
      <c r="R247">
        <v>6</v>
      </c>
      <c r="S247">
        <v>18.059999999999999</v>
      </c>
      <c r="T247">
        <v>-18.059999999999999</v>
      </c>
      <c r="U247">
        <v>1.71</v>
      </c>
      <c r="V247">
        <v>38.200000000000003</v>
      </c>
      <c r="W247">
        <v>8.6999999999999993</v>
      </c>
      <c r="X247">
        <v>20.8</v>
      </c>
      <c r="Y247">
        <v>4.7699999999999996</v>
      </c>
      <c r="Z247">
        <v>28.17</v>
      </c>
      <c r="AA247">
        <v>-2.29</v>
      </c>
      <c r="AB247">
        <v>12.38</v>
      </c>
      <c r="AC247">
        <v>-49.73</v>
      </c>
      <c r="AD247">
        <v>160</v>
      </c>
      <c r="AE247">
        <v>1460</v>
      </c>
      <c r="AF247">
        <v>13.4</v>
      </c>
      <c r="AG247">
        <v>0.15</v>
      </c>
      <c r="AH247">
        <v>19.010000000000002</v>
      </c>
      <c r="AI247">
        <v>151.4</v>
      </c>
      <c r="AJ247">
        <v>60</v>
      </c>
      <c r="AK247">
        <v>9</v>
      </c>
      <c r="AL247">
        <v>9</v>
      </c>
      <c r="AM247">
        <v>0.05</v>
      </c>
      <c r="AN247">
        <v>96</v>
      </c>
      <c r="AO247">
        <v>96.44</v>
      </c>
      <c r="AP247">
        <v>324933.28000000003</v>
      </c>
      <c r="AQ247">
        <v>172101.2</v>
      </c>
      <c r="AR247" t="s">
        <v>1154</v>
      </c>
      <c r="AT247" s="6">
        <f t="shared" si="15"/>
        <v>8.7232922374429229</v>
      </c>
    </row>
    <row r="248" spans="1:46" x14ac:dyDescent="0.55000000000000004">
      <c r="A248">
        <v>0</v>
      </c>
      <c r="B248">
        <v>6</v>
      </c>
      <c r="C248">
        <v>58.21</v>
      </c>
      <c r="D248">
        <v>7.8</v>
      </c>
      <c r="E248" t="s">
        <v>2198</v>
      </c>
      <c r="F248" t="s">
        <v>2321</v>
      </c>
      <c r="G248" t="s">
        <v>2199</v>
      </c>
      <c r="H248" t="s">
        <v>2446</v>
      </c>
      <c r="I248">
        <v>0</v>
      </c>
      <c r="J248">
        <v>35</v>
      </c>
      <c r="K248">
        <f t="shared" si="12"/>
        <v>21.26</v>
      </c>
      <c r="L248">
        <f t="shared" si="13"/>
        <v>14.28</v>
      </c>
      <c r="M248">
        <f t="shared" si="14"/>
        <v>6.9800000000000022</v>
      </c>
      <c r="N248">
        <v>6.3</v>
      </c>
      <c r="O248">
        <v>0</v>
      </c>
      <c r="P248">
        <v>74</v>
      </c>
      <c r="Q248">
        <v>20.2</v>
      </c>
      <c r="R248">
        <v>6</v>
      </c>
      <c r="S248">
        <v>16.97</v>
      </c>
      <c r="T248">
        <v>-16.97</v>
      </c>
      <c r="U248">
        <v>1.66</v>
      </c>
      <c r="V248">
        <v>37.26</v>
      </c>
      <c r="W248">
        <v>8.48</v>
      </c>
      <c r="X248">
        <v>20.29</v>
      </c>
      <c r="Y248">
        <v>4.66</v>
      </c>
      <c r="Z248">
        <v>29.03</v>
      </c>
      <c r="AA248">
        <v>-2.31</v>
      </c>
      <c r="AB248">
        <v>12.42</v>
      </c>
      <c r="AC248">
        <v>-54.69</v>
      </c>
      <c r="AD248">
        <v>160</v>
      </c>
      <c r="AE248">
        <v>1460</v>
      </c>
      <c r="AF248">
        <v>13.4</v>
      </c>
      <c r="AG248">
        <v>0.15</v>
      </c>
      <c r="AH248">
        <v>20.21</v>
      </c>
      <c r="AI248">
        <v>151.4</v>
      </c>
      <c r="AJ248">
        <v>60</v>
      </c>
      <c r="AK248">
        <v>9</v>
      </c>
      <c r="AL248">
        <v>9</v>
      </c>
      <c r="AM248">
        <v>0.05</v>
      </c>
      <c r="AN248">
        <v>96</v>
      </c>
      <c r="AO248">
        <v>96.44</v>
      </c>
      <c r="AP248">
        <v>339083.72</v>
      </c>
      <c r="AQ248">
        <v>172101.2</v>
      </c>
      <c r="AR248" t="s">
        <v>1155</v>
      </c>
      <c r="AT248" s="6">
        <f t="shared" si="15"/>
        <v>9.5309657534246561</v>
      </c>
    </row>
    <row r="249" spans="1:46" x14ac:dyDescent="0.55000000000000004">
      <c r="A249">
        <v>0</v>
      </c>
      <c r="B249">
        <v>6</v>
      </c>
      <c r="C249">
        <v>59.29</v>
      </c>
      <c r="D249">
        <v>7.8</v>
      </c>
      <c r="E249" t="s">
        <v>2198</v>
      </c>
      <c r="F249" t="s">
        <v>2322</v>
      </c>
      <c r="G249" t="s">
        <v>2199</v>
      </c>
      <c r="H249" t="s">
        <v>2447</v>
      </c>
      <c r="I249">
        <v>0</v>
      </c>
      <c r="J249">
        <v>35</v>
      </c>
      <c r="K249">
        <f t="shared" si="12"/>
        <v>20.78</v>
      </c>
      <c r="L249">
        <f t="shared" si="13"/>
        <v>14.28</v>
      </c>
      <c r="M249">
        <f t="shared" si="14"/>
        <v>6.5000000000000018</v>
      </c>
      <c r="N249">
        <v>6.3</v>
      </c>
      <c r="O249">
        <v>0</v>
      </c>
      <c r="P249">
        <v>85</v>
      </c>
      <c r="Q249">
        <v>20.399999999999999</v>
      </c>
      <c r="R249">
        <v>6</v>
      </c>
      <c r="S249">
        <v>18.54</v>
      </c>
      <c r="T249">
        <v>-18.54</v>
      </c>
      <c r="U249">
        <v>1.69</v>
      </c>
      <c r="V249">
        <v>37.950000000000003</v>
      </c>
      <c r="W249">
        <v>8.64</v>
      </c>
      <c r="X249">
        <v>20.67</v>
      </c>
      <c r="Y249">
        <v>4.74</v>
      </c>
      <c r="Z249">
        <v>28.38</v>
      </c>
      <c r="AA249">
        <v>-2.29</v>
      </c>
      <c r="AB249">
        <v>12.39</v>
      </c>
      <c r="AC249">
        <v>-47.85</v>
      </c>
      <c r="AD249">
        <v>160</v>
      </c>
      <c r="AE249">
        <v>1460</v>
      </c>
      <c r="AF249">
        <v>13.4</v>
      </c>
      <c r="AG249">
        <v>0.15</v>
      </c>
      <c r="AH249">
        <v>19.309999999999999</v>
      </c>
      <c r="AI249">
        <v>151.4</v>
      </c>
      <c r="AJ249">
        <v>60</v>
      </c>
      <c r="AK249">
        <v>9</v>
      </c>
      <c r="AL249">
        <v>9</v>
      </c>
      <c r="AM249">
        <v>0.05</v>
      </c>
      <c r="AN249">
        <v>96</v>
      </c>
      <c r="AO249">
        <v>96.44</v>
      </c>
      <c r="AP249">
        <v>328358.02</v>
      </c>
      <c r="AQ249">
        <v>172101.2</v>
      </c>
      <c r="AR249" t="s">
        <v>1156</v>
      </c>
      <c r="AT249" s="6">
        <f t="shared" si="15"/>
        <v>8.9187682648401836</v>
      </c>
    </row>
    <row r="250" spans="1:46" x14ac:dyDescent="0.55000000000000004">
      <c r="A250">
        <v>0</v>
      </c>
      <c r="B250">
        <v>6</v>
      </c>
      <c r="C250">
        <v>59.61</v>
      </c>
      <c r="D250">
        <v>7.8</v>
      </c>
      <c r="E250" t="s">
        <v>2198</v>
      </c>
      <c r="F250" t="s">
        <v>2323</v>
      </c>
      <c r="G250" t="s">
        <v>2199</v>
      </c>
      <c r="H250" t="s">
        <v>2448</v>
      </c>
      <c r="I250">
        <v>0</v>
      </c>
      <c r="J250">
        <v>35</v>
      </c>
      <c r="K250">
        <f t="shared" si="12"/>
        <v>20.65</v>
      </c>
      <c r="L250">
        <f t="shared" si="13"/>
        <v>14.28</v>
      </c>
      <c r="M250">
        <f t="shared" si="14"/>
        <v>6.3699999999999992</v>
      </c>
      <c r="N250">
        <v>6.3</v>
      </c>
      <c r="O250">
        <v>0</v>
      </c>
      <c r="P250">
        <v>80</v>
      </c>
      <c r="Q250">
        <v>20.3</v>
      </c>
      <c r="R250">
        <v>6</v>
      </c>
      <c r="S250">
        <v>17.82</v>
      </c>
      <c r="T250">
        <v>-17.82</v>
      </c>
      <c r="U250">
        <v>1.7</v>
      </c>
      <c r="V250">
        <v>38.15</v>
      </c>
      <c r="W250">
        <v>8.69</v>
      </c>
      <c r="X250">
        <v>20.78</v>
      </c>
      <c r="Y250">
        <v>4.7699999999999996</v>
      </c>
      <c r="Z250">
        <v>28.2</v>
      </c>
      <c r="AA250">
        <v>-2.29</v>
      </c>
      <c r="AB250">
        <v>12.38</v>
      </c>
      <c r="AC250">
        <v>-50.77</v>
      </c>
      <c r="AD250">
        <v>160</v>
      </c>
      <c r="AE250">
        <v>1460</v>
      </c>
      <c r="AF250">
        <v>13.4</v>
      </c>
      <c r="AG250">
        <v>0.15</v>
      </c>
      <c r="AH250">
        <v>19.059999999999999</v>
      </c>
      <c r="AI250">
        <v>151.4</v>
      </c>
      <c r="AJ250">
        <v>60</v>
      </c>
      <c r="AK250">
        <v>9</v>
      </c>
      <c r="AL250">
        <v>9</v>
      </c>
      <c r="AM250">
        <v>0.05</v>
      </c>
      <c r="AN250">
        <v>96</v>
      </c>
      <c r="AO250">
        <v>96.44</v>
      </c>
      <c r="AP250">
        <v>325513.93</v>
      </c>
      <c r="AQ250">
        <v>172101.2</v>
      </c>
      <c r="AR250" t="s">
        <v>1157</v>
      </c>
      <c r="AT250" s="6">
        <f t="shared" si="15"/>
        <v>8.7564343607305926</v>
      </c>
    </row>
    <row r="251" spans="1:46" x14ac:dyDescent="0.55000000000000004">
      <c r="A251">
        <v>0</v>
      </c>
      <c r="B251">
        <v>6</v>
      </c>
      <c r="C251">
        <v>59.56</v>
      </c>
      <c r="D251">
        <v>7.8</v>
      </c>
      <c r="E251" t="s">
        <v>2198</v>
      </c>
      <c r="F251" t="s">
        <v>2324</v>
      </c>
      <c r="G251" t="s">
        <v>2199</v>
      </c>
      <c r="H251" t="s">
        <v>2449</v>
      </c>
      <c r="I251">
        <v>0</v>
      </c>
      <c r="J251">
        <v>35</v>
      </c>
      <c r="K251">
        <f t="shared" si="12"/>
        <v>20.68</v>
      </c>
      <c r="L251">
        <f t="shared" si="13"/>
        <v>14.28</v>
      </c>
      <c r="M251">
        <f t="shared" si="14"/>
        <v>6.4</v>
      </c>
      <c r="N251">
        <v>6.3</v>
      </c>
      <c r="O251">
        <v>0</v>
      </c>
      <c r="P251">
        <v>87</v>
      </c>
      <c r="Q251">
        <v>19.600000000000001</v>
      </c>
      <c r="R251">
        <v>6</v>
      </c>
      <c r="S251">
        <v>18.010000000000002</v>
      </c>
      <c r="T251">
        <v>-18.010000000000002</v>
      </c>
      <c r="U251">
        <v>1.7</v>
      </c>
      <c r="V251">
        <v>38.119999999999997</v>
      </c>
      <c r="W251">
        <v>8.68</v>
      </c>
      <c r="X251">
        <v>20.76</v>
      </c>
      <c r="Y251">
        <v>4.76</v>
      </c>
      <c r="Z251">
        <v>28.23</v>
      </c>
      <c r="AA251">
        <v>-2.29</v>
      </c>
      <c r="AB251">
        <v>12.38</v>
      </c>
      <c r="AC251">
        <v>-49.97</v>
      </c>
      <c r="AD251">
        <v>160</v>
      </c>
      <c r="AE251">
        <v>1460</v>
      </c>
      <c r="AF251">
        <v>13.4</v>
      </c>
      <c r="AG251">
        <v>0.15</v>
      </c>
      <c r="AH251">
        <v>19.100000000000001</v>
      </c>
      <c r="AI251">
        <v>151.4</v>
      </c>
      <c r="AJ251">
        <v>60</v>
      </c>
      <c r="AK251">
        <v>9</v>
      </c>
      <c r="AL251">
        <v>9</v>
      </c>
      <c r="AM251">
        <v>0.05</v>
      </c>
      <c r="AN251">
        <v>96</v>
      </c>
      <c r="AO251">
        <v>96.44</v>
      </c>
      <c r="AP251">
        <v>325992.95</v>
      </c>
      <c r="AQ251">
        <v>172101.2</v>
      </c>
      <c r="AR251" t="s">
        <v>1158</v>
      </c>
      <c r="AT251" s="6">
        <f t="shared" si="15"/>
        <v>8.7837756849315074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251"/>
  <sheetViews>
    <sheetView workbookViewId="0">
      <selection activeCell="M2" sqref="M2:M251"/>
    </sheetView>
  </sheetViews>
  <sheetFormatPr defaultRowHeight="14.4" x14ac:dyDescent="0.55000000000000004"/>
  <cols>
    <col min="5" max="5" width="11.68359375" bestFit="1" customWidth="1"/>
    <col min="6" max="6" width="10.68359375" bestFit="1" customWidth="1"/>
    <col min="7" max="7" width="7.7890625" bestFit="1" customWidth="1"/>
    <col min="10" max="10" width="14.3125" bestFit="1" customWidth="1"/>
    <col min="11" max="11" width="11.3671875" bestFit="1" customWidth="1"/>
    <col min="12" max="12" width="11.26171875" bestFit="1" customWidth="1"/>
    <col min="13" max="13" width="14.578125" bestFit="1" customWidth="1"/>
    <col min="42" max="42" width="18.47265625" bestFit="1" customWidth="1"/>
    <col min="43" max="43" width="17.89453125" bestFit="1" customWidth="1"/>
    <col min="44" max="44" width="54.3125" bestFit="1" customWidth="1"/>
    <col min="46" max="46" width="9.89453125" bestFit="1" customWidth="1"/>
    <col min="47" max="47" width="12.41796875" bestFit="1" customWidth="1"/>
  </cols>
  <sheetData>
    <row r="1" spans="1:4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2757</v>
      </c>
      <c r="F1" s="1" t="s">
        <v>2756</v>
      </c>
      <c r="G1" s="1" t="s">
        <v>2755</v>
      </c>
      <c r="H1" s="1" t="s">
        <v>2754</v>
      </c>
      <c r="I1" s="1" t="s">
        <v>8</v>
      </c>
      <c r="J1" s="1" t="s">
        <v>9</v>
      </c>
      <c r="K1" s="1" t="s">
        <v>2752</v>
      </c>
      <c r="L1" s="1" t="s">
        <v>2751</v>
      </c>
      <c r="M1" s="1" t="s">
        <v>2753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2" t="s">
        <v>2741</v>
      </c>
      <c r="AT1" s="7">
        <f>SUM(AT2:AT251)</f>
        <v>2142.6219029680365</v>
      </c>
      <c r="AU1" s="2" t="s">
        <v>2743</v>
      </c>
    </row>
    <row r="2" spans="1:47" x14ac:dyDescent="0.5500000000000000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IF(E2=0,0,
VALUE(MID(E2,2,FIND(",",E2)-2))+
VALUE(MID(F2,2,FIND(",",F2)-2))+
VALUE(MID(G2,2,FIND(",",G2)-2))
)</f>
        <v>0</v>
      </c>
      <c r="L2">
        <f>IF(E2=0,0,
VALUE(MID(E2,FIND(",",E2)+1,FIND("]",E2)-FIND(",",E2)-1))+
VALUE(MID(F2,FIND(",",F2)+1,FIND("]",F2)-FIND(",",F2)-1))+
VALUE(MID(G2,FIND(",",G2)+1,FIND("]",G2)-FIND(",",G2)-1))
)</f>
        <v>0</v>
      </c>
      <c r="M2">
        <f>(K2-L2)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T2" s="6">
        <f>(AP2-AQ2)/(365*24*2)</f>
        <v>0</v>
      </c>
      <c r="AU2" s="3">
        <f>SUM(AT2:AT251)</f>
        <v>2142.6219029680365</v>
      </c>
    </row>
    <row r="3" spans="1:47" x14ac:dyDescent="0.55000000000000004">
      <c r="A3">
        <v>0</v>
      </c>
      <c r="B3">
        <v>8.1</v>
      </c>
      <c r="C3">
        <v>544.02</v>
      </c>
      <c r="D3">
        <v>7.8</v>
      </c>
      <c r="E3" t="s">
        <v>2450</v>
      </c>
      <c r="F3" t="s">
        <v>2555</v>
      </c>
      <c r="G3" t="s">
        <v>2199</v>
      </c>
      <c r="H3" t="s">
        <v>2635</v>
      </c>
      <c r="I3">
        <v>0</v>
      </c>
      <c r="J3">
        <v>1942.67</v>
      </c>
      <c r="K3">
        <f t="shared" ref="K3:K66" si="0">IF(E3=0,0,
VALUE(MID(E3,2,FIND(",",E3)-2))+
VALUE(MID(F3,2,FIND(",",F3)-2))+
VALUE(MID(G3,2,FIND(",",G3)-2))
)</f>
        <v>84.38</v>
      </c>
      <c r="L3">
        <f t="shared" ref="L3:L66" si="1">IF(E3=0,0,
VALUE(MID(E3,FIND(",",E3)+1,FIND("]",E3)-FIND(",",E3)-1))+
VALUE(MID(F3,FIND(",",F3)+1,FIND("]",F3)-FIND(",",F3)-1))+
VALUE(MID(G3,FIND(",",G3)+1,FIND("]",G3)-FIND(",",G3)-1))
)</f>
        <v>51.95</v>
      </c>
      <c r="M3">
        <f t="shared" ref="M3:M66" si="2">(K3-L3)</f>
        <v>32.429999999999993</v>
      </c>
      <c r="N3">
        <v>7.32</v>
      </c>
      <c r="O3">
        <v>0</v>
      </c>
      <c r="P3">
        <v>67</v>
      </c>
      <c r="Q3">
        <v>18.3</v>
      </c>
      <c r="R3">
        <v>8.1</v>
      </c>
      <c r="S3">
        <v>14.33</v>
      </c>
      <c r="T3">
        <v>-14.33</v>
      </c>
      <c r="U3">
        <v>0.28000000000000003</v>
      </c>
      <c r="V3">
        <v>348.17</v>
      </c>
      <c r="W3">
        <v>91.83</v>
      </c>
      <c r="X3">
        <v>61.92</v>
      </c>
      <c r="Y3">
        <v>70.760000000000005</v>
      </c>
      <c r="Z3">
        <v>8.93</v>
      </c>
      <c r="AA3">
        <v>-0.89</v>
      </c>
      <c r="AB3">
        <v>9.57</v>
      </c>
      <c r="AC3">
        <v>-129.93</v>
      </c>
      <c r="AD3">
        <v>980</v>
      </c>
      <c r="AE3">
        <v>8765</v>
      </c>
      <c r="AF3">
        <v>108.62</v>
      </c>
      <c r="AG3">
        <v>0.88</v>
      </c>
      <c r="AH3">
        <v>-150.87</v>
      </c>
      <c r="AI3">
        <v>71.91</v>
      </c>
      <c r="AJ3">
        <v>60</v>
      </c>
      <c r="AK3">
        <v>9</v>
      </c>
      <c r="AL3">
        <v>9</v>
      </c>
      <c r="AM3">
        <v>0.63</v>
      </c>
      <c r="AN3">
        <v>588</v>
      </c>
      <c r="AO3">
        <v>593.66999999999996</v>
      </c>
      <c r="AP3">
        <v>842272.68</v>
      </c>
      <c r="AQ3">
        <v>190517.28</v>
      </c>
      <c r="AR3" t="s">
        <v>915</v>
      </c>
      <c r="AT3" s="6">
        <f t="shared" ref="AT3:AT66" si="3">(AP3-AQ3)/(365*24*2)</f>
        <v>37.20065068493151</v>
      </c>
    </row>
    <row r="4" spans="1:47" x14ac:dyDescent="0.5500000000000000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  <c r="L4">
        <f t="shared" si="1"/>
        <v>0</v>
      </c>
      <c r="M4">
        <f t="shared" si="2"/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T4" s="6">
        <f t="shared" si="3"/>
        <v>0</v>
      </c>
    </row>
    <row r="5" spans="1:47" x14ac:dyDescent="0.55000000000000004">
      <c r="A5">
        <v>0</v>
      </c>
      <c r="B5">
        <v>8.1</v>
      </c>
      <c r="C5">
        <v>577.25</v>
      </c>
      <c r="D5">
        <v>7.8</v>
      </c>
      <c r="E5" t="s">
        <v>2451</v>
      </c>
      <c r="F5" t="s">
        <v>2556</v>
      </c>
      <c r="G5" t="s">
        <v>2199</v>
      </c>
      <c r="H5" t="s">
        <v>2636</v>
      </c>
      <c r="I5">
        <v>0</v>
      </c>
      <c r="J5">
        <v>1967.63</v>
      </c>
      <c r="K5">
        <f t="shared" si="0"/>
        <v>79.42</v>
      </c>
      <c r="L5">
        <f t="shared" si="1"/>
        <v>51.95</v>
      </c>
      <c r="M5">
        <f t="shared" si="2"/>
        <v>27.47</v>
      </c>
      <c r="N5">
        <v>7.32</v>
      </c>
      <c r="O5">
        <v>0</v>
      </c>
      <c r="P5">
        <v>59</v>
      </c>
      <c r="Q5">
        <v>20</v>
      </c>
      <c r="R5">
        <v>8.1</v>
      </c>
      <c r="S5">
        <v>14.88</v>
      </c>
      <c r="T5">
        <v>-14.88</v>
      </c>
      <c r="U5">
        <v>0.28999999999999998</v>
      </c>
      <c r="V5">
        <v>369.44</v>
      </c>
      <c r="W5">
        <v>97.22</v>
      </c>
      <c r="X5">
        <v>64.7</v>
      </c>
      <c r="Y5">
        <v>75.11</v>
      </c>
      <c r="Z5">
        <v>8.41</v>
      </c>
      <c r="AA5">
        <v>-0.85</v>
      </c>
      <c r="AB5">
        <v>9.49</v>
      </c>
      <c r="AC5">
        <v>-119.45</v>
      </c>
      <c r="AD5">
        <v>980</v>
      </c>
      <c r="AE5">
        <v>8765</v>
      </c>
      <c r="AF5">
        <v>108.62</v>
      </c>
      <c r="AG5">
        <v>0.88</v>
      </c>
      <c r="AH5">
        <v>-153.72</v>
      </c>
      <c r="AI5">
        <v>71.91</v>
      </c>
      <c r="AJ5">
        <v>60</v>
      </c>
      <c r="AK5">
        <v>9</v>
      </c>
      <c r="AL5">
        <v>9</v>
      </c>
      <c r="AM5">
        <v>0.63</v>
      </c>
      <c r="AN5">
        <v>588</v>
      </c>
      <c r="AO5">
        <v>593.66999999999996</v>
      </c>
      <c r="AP5">
        <v>774938.82</v>
      </c>
      <c r="AQ5">
        <v>190517.28</v>
      </c>
      <c r="AR5" t="s">
        <v>917</v>
      </c>
      <c r="AT5" s="6">
        <f t="shared" si="3"/>
        <v>33.357393835616435</v>
      </c>
    </row>
    <row r="6" spans="1:47" x14ac:dyDescent="0.55000000000000004">
      <c r="A6">
        <v>0</v>
      </c>
      <c r="B6">
        <v>8.1</v>
      </c>
      <c r="C6">
        <v>558.46</v>
      </c>
      <c r="D6">
        <v>7.8</v>
      </c>
      <c r="E6" t="s">
        <v>2452</v>
      </c>
      <c r="F6" t="s">
        <v>2557</v>
      </c>
      <c r="G6" t="s">
        <v>2199</v>
      </c>
      <c r="H6" t="s">
        <v>2637</v>
      </c>
      <c r="I6">
        <v>0</v>
      </c>
      <c r="J6">
        <v>1949.99</v>
      </c>
      <c r="K6">
        <f t="shared" si="0"/>
        <v>82.05</v>
      </c>
      <c r="L6">
        <f t="shared" si="1"/>
        <v>51.95</v>
      </c>
      <c r="M6">
        <f t="shared" si="2"/>
        <v>30.099999999999994</v>
      </c>
      <c r="N6">
        <v>7.31</v>
      </c>
      <c r="O6">
        <v>0</v>
      </c>
      <c r="P6">
        <v>85</v>
      </c>
      <c r="Q6">
        <v>18.899999999999999</v>
      </c>
      <c r="R6">
        <v>8.1</v>
      </c>
      <c r="S6">
        <v>17.079999999999998</v>
      </c>
      <c r="T6">
        <v>-17.079999999999998</v>
      </c>
      <c r="U6">
        <v>0.28999999999999998</v>
      </c>
      <c r="V6">
        <v>357.41</v>
      </c>
      <c r="W6">
        <v>94.14</v>
      </c>
      <c r="X6">
        <v>63.01</v>
      </c>
      <c r="Y6">
        <v>72.650000000000006</v>
      </c>
      <c r="Z6">
        <v>8.69</v>
      </c>
      <c r="AA6">
        <v>-0.87</v>
      </c>
      <c r="AB6">
        <v>9.5399999999999991</v>
      </c>
      <c r="AC6">
        <v>-90.2</v>
      </c>
      <c r="AD6">
        <v>980</v>
      </c>
      <c r="AE6">
        <v>8765</v>
      </c>
      <c r="AF6">
        <v>108.62</v>
      </c>
      <c r="AG6">
        <v>0.88</v>
      </c>
      <c r="AH6">
        <v>-152.22</v>
      </c>
      <c r="AI6">
        <v>71.91</v>
      </c>
      <c r="AJ6">
        <v>60</v>
      </c>
      <c r="AK6">
        <v>9</v>
      </c>
      <c r="AL6">
        <v>9</v>
      </c>
      <c r="AM6">
        <v>0.63</v>
      </c>
      <c r="AN6">
        <v>588</v>
      </c>
      <c r="AO6">
        <v>593.66999999999996</v>
      </c>
      <c r="AP6">
        <v>815345.33</v>
      </c>
      <c r="AQ6">
        <v>190517.28</v>
      </c>
      <c r="AR6" t="s">
        <v>918</v>
      </c>
      <c r="AT6" s="6">
        <f t="shared" si="3"/>
        <v>35.663701484018262</v>
      </c>
    </row>
    <row r="7" spans="1:47" x14ac:dyDescent="0.55000000000000004">
      <c r="A7">
        <v>0</v>
      </c>
      <c r="B7">
        <v>8.1</v>
      </c>
      <c r="C7">
        <v>650.30999999999995</v>
      </c>
      <c r="D7">
        <v>7.8</v>
      </c>
      <c r="E7" t="s">
        <v>2453</v>
      </c>
      <c r="F7" t="s">
        <v>2557</v>
      </c>
      <c r="G7" t="s">
        <v>2199</v>
      </c>
      <c r="H7" t="s">
        <v>2638</v>
      </c>
      <c r="I7">
        <v>0</v>
      </c>
      <c r="J7">
        <v>1979.49</v>
      </c>
      <c r="K7">
        <f t="shared" si="0"/>
        <v>72.039999999999992</v>
      </c>
      <c r="L7">
        <f t="shared" si="1"/>
        <v>51.95</v>
      </c>
      <c r="M7">
        <f t="shared" si="2"/>
        <v>20.089999999999989</v>
      </c>
      <c r="N7">
        <v>7.28</v>
      </c>
      <c r="O7">
        <v>0</v>
      </c>
      <c r="P7">
        <v>64</v>
      </c>
      <c r="Q7">
        <v>19.7</v>
      </c>
      <c r="R7">
        <v>8.1</v>
      </c>
      <c r="S7">
        <v>15.25</v>
      </c>
      <c r="T7">
        <v>-15.25</v>
      </c>
      <c r="U7">
        <v>0.33</v>
      </c>
      <c r="V7">
        <v>416.2</v>
      </c>
      <c r="W7">
        <v>108.93</v>
      </c>
      <c r="X7">
        <v>70.34</v>
      </c>
      <c r="Y7">
        <v>84.66</v>
      </c>
      <c r="Z7">
        <v>7.63</v>
      </c>
      <c r="AA7">
        <v>-0.77</v>
      </c>
      <c r="AB7">
        <v>9.33</v>
      </c>
      <c r="AC7">
        <v>-113.32</v>
      </c>
      <c r="AD7">
        <v>980</v>
      </c>
      <c r="AE7">
        <v>8765</v>
      </c>
      <c r="AF7">
        <v>108.62</v>
      </c>
      <c r="AG7">
        <v>0.88</v>
      </c>
      <c r="AH7">
        <v>-161.77000000000001</v>
      </c>
      <c r="AI7">
        <v>71.91</v>
      </c>
      <c r="AJ7">
        <v>60</v>
      </c>
      <c r="AK7">
        <v>9</v>
      </c>
      <c r="AL7">
        <v>9</v>
      </c>
      <c r="AM7">
        <v>0.63</v>
      </c>
      <c r="AN7">
        <v>588</v>
      </c>
      <c r="AO7">
        <v>593.66999999999996</v>
      </c>
      <c r="AP7">
        <v>704934.9</v>
      </c>
      <c r="AQ7">
        <v>190517.28</v>
      </c>
      <c r="AR7" t="s">
        <v>919</v>
      </c>
      <c r="AT7" s="6">
        <f t="shared" si="3"/>
        <v>29.361736301369863</v>
      </c>
    </row>
    <row r="8" spans="1:47" x14ac:dyDescent="0.55000000000000004">
      <c r="A8">
        <v>0</v>
      </c>
      <c r="B8">
        <v>8.1</v>
      </c>
      <c r="C8">
        <v>594.95000000000005</v>
      </c>
      <c r="D8">
        <v>7.8</v>
      </c>
      <c r="E8" t="s">
        <v>2454</v>
      </c>
      <c r="F8" t="s">
        <v>2558</v>
      </c>
      <c r="G8" t="s">
        <v>2199</v>
      </c>
      <c r="H8" t="s">
        <v>2639</v>
      </c>
      <c r="I8">
        <v>0</v>
      </c>
      <c r="J8">
        <v>1968.76</v>
      </c>
      <c r="K8">
        <f t="shared" si="0"/>
        <v>77.28</v>
      </c>
      <c r="L8">
        <f t="shared" si="1"/>
        <v>51.95</v>
      </c>
      <c r="M8">
        <f t="shared" si="2"/>
        <v>25.33</v>
      </c>
      <c r="N8">
        <v>7.3</v>
      </c>
      <c r="O8">
        <v>0</v>
      </c>
      <c r="P8">
        <v>66</v>
      </c>
      <c r="Q8">
        <v>18.2</v>
      </c>
      <c r="R8">
        <v>8.1</v>
      </c>
      <c r="S8">
        <v>14.12</v>
      </c>
      <c r="T8">
        <v>-14.12</v>
      </c>
      <c r="U8">
        <v>0.3</v>
      </c>
      <c r="V8">
        <v>380.77</v>
      </c>
      <c r="W8">
        <v>100.03</v>
      </c>
      <c r="X8">
        <v>65.97</v>
      </c>
      <c r="Y8">
        <v>77.42</v>
      </c>
      <c r="Z8">
        <v>8.18</v>
      </c>
      <c r="AA8">
        <v>-0.83</v>
      </c>
      <c r="AB8">
        <v>9.4499999999999993</v>
      </c>
      <c r="AC8">
        <v>-134.52000000000001</v>
      </c>
      <c r="AD8">
        <v>980</v>
      </c>
      <c r="AE8">
        <v>8765</v>
      </c>
      <c r="AF8">
        <v>108.62</v>
      </c>
      <c r="AG8">
        <v>0.88</v>
      </c>
      <c r="AH8">
        <v>-155.66999999999999</v>
      </c>
      <c r="AI8">
        <v>71.91</v>
      </c>
      <c r="AJ8">
        <v>60</v>
      </c>
      <c r="AK8">
        <v>9</v>
      </c>
      <c r="AL8">
        <v>9</v>
      </c>
      <c r="AM8">
        <v>0.63</v>
      </c>
      <c r="AN8">
        <v>588</v>
      </c>
      <c r="AO8">
        <v>593.66999999999996</v>
      </c>
      <c r="AP8">
        <v>757006.56</v>
      </c>
      <c r="AQ8">
        <v>190517.28</v>
      </c>
      <c r="AR8" t="s">
        <v>920</v>
      </c>
      <c r="AT8" s="6">
        <f t="shared" si="3"/>
        <v>32.333863013698632</v>
      </c>
    </row>
    <row r="9" spans="1:47" x14ac:dyDescent="0.5500000000000000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0"/>
        <v>0</v>
      </c>
      <c r="L9">
        <f t="shared" si="1"/>
        <v>0</v>
      </c>
      <c r="M9">
        <f t="shared" si="2"/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T9" s="6">
        <f t="shared" si="3"/>
        <v>0</v>
      </c>
    </row>
    <row r="10" spans="1:47" x14ac:dyDescent="0.5500000000000000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0"/>
        <v>0</v>
      </c>
      <c r="L10">
        <f t="shared" si="1"/>
        <v>0</v>
      </c>
      <c r="M10">
        <f t="shared" si="2"/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 s="6">
        <f t="shared" si="3"/>
        <v>0</v>
      </c>
    </row>
    <row r="11" spans="1:47" x14ac:dyDescent="0.55000000000000004">
      <c r="A11">
        <v>0</v>
      </c>
      <c r="B11">
        <v>8.1</v>
      </c>
      <c r="C11">
        <v>1114.55</v>
      </c>
      <c r="D11">
        <v>7.8</v>
      </c>
      <c r="E11" t="s">
        <v>2455</v>
      </c>
      <c r="F11" t="s">
        <v>2555</v>
      </c>
      <c r="G11" t="s">
        <v>2199</v>
      </c>
      <c r="H11" t="s">
        <v>2640</v>
      </c>
      <c r="I11">
        <v>0</v>
      </c>
      <c r="J11">
        <v>2035.7</v>
      </c>
      <c r="K11">
        <f t="shared" si="0"/>
        <v>55.97</v>
      </c>
      <c r="L11">
        <f t="shared" si="1"/>
        <v>51.95</v>
      </c>
      <c r="M11">
        <f t="shared" si="2"/>
        <v>4.019999999999996</v>
      </c>
      <c r="N11">
        <v>7.21</v>
      </c>
      <c r="O11">
        <v>0</v>
      </c>
      <c r="P11">
        <v>72</v>
      </c>
      <c r="Q11">
        <v>18.2</v>
      </c>
      <c r="R11">
        <v>8.1</v>
      </c>
      <c r="S11">
        <v>14.84</v>
      </c>
      <c r="T11">
        <v>-14.84</v>
      </c>
      <c r="U11">
        <v>0.55000000000000004</v>
      </c>
      <c r="V11">
        <v>713.31</v>
      </c>
      <c r="W11">
        <v>184.46</v>
      </c>
      <c r="X11">
        <v>110.81</v>
      </c>
      <c r="Y11">
        <v>145.27000000000001</v>
      </c>
      <c r="Z11">
        <v>5.93</v>
      </c>
      <c r="AA11">
        <v>-0.36</v>
      </c>
      <c r="AB11">
        <v>8.52</v>
      </c>
      <c r="AC11">
        <v>-120.12</v>
      </c>
      <c r="AD11">
        <v>980</v>
      </c>
      <c r="AE11">
        <v>8765</v>
      </c>
      <c r="AF11">
        <v>108.62</v>
      </c>
      <c r="AG11">
        <v>0.88</v>
      </c>
      <c r="AH11">
        <v>-240.06</v>
      </c>
      <c r="AI11">
        <v>71.91</v>
      </c>
      <c r="AJ11">
        <v>60</v>
      </c>
      <c r="AK11">
        <v>9</v>
      </c>
      <c r="AL11">
        <v>9</v>
      </c>
      <c r="AM11">
        <v>0.63</v>
      </c>
      <c r="AN11">
        <v>588</v>
      </c>
      <c r="AO11">
        <v>593.66999999999996</v>
      </c>
      <c r="AP11">
        <v>528700.75</v>
      </c>
      <c r="AQ11">
        <v>190517.28</v>
      </c>
      <c r="AR11" t="s">
        <v>923</v>
      </c>
      <c r="AT11" s="6">
        <f t="shared" si="3"/>
        <v>19.302709474885845</v>
      </c>
    </row>
    <row r="12" spans="1:47" x14ac:dyDescent="0.55000000000000004">
      <c r="A12">
        <v>0</v>
      </c>
      <c r="B12">
        <v>8.1</v>
      </c>
      <c r="C12">
        <v>1152.7</v>
      </c>
      <c r="D12">
        <v>7.8</v>
      </c>
      <c r="E12" t="s">
        <v>2456</v>
      </c>
      <c r="F12" t="s">
        <v>2559</v>
      </c>
      <c r="G12" t="s">
        <v>2199</v>
      </c>
      <c r="H12" t="s">
        <v>2641</v>
      </c>
      <c r="I12">
        <v>0</v>
      </c>
      <c r="J12">
        <v>2063.81</v>
      </c>
      <c r="K12">
        <f t="shared" si="0"/>
        <v>55.41</v>
      </c>
      <c r="L12">
        <f t="shared" si="1"/>
        <v>48.17</v>
      </c>
      <c r="M12">
        <f t="shared" si="2"/>
        <v>7.2399999999999949</v>
      </c>
      <c r="N12">
        <v>7.23</v>
      </c>
      <c r="O12">
        <v>0</v>
      </c>
      <c r="P12">
        <v>59</v>
      </c>
      <c r="Q12">
        <v>21.2</v>
      </c>
      <c r="R12">
        <v>8.1</v>
      </c>
      <c r="S12">
        <v>15.95</v>
      </c>
      <c r="T12">
        <v>-15.95</v>
      </c>
      <c r="U12">
        <v>0.56000000000000005</v>
      </c>
      <c r="V12">
        <v>737.73</v>
      </c>
      <c r="W12">
        <v>191.02</v>
      </c>
      <c r="X12">
        <v>115.56</v>
      </c>
      <c r="Y12">
        <v>150.24</v>
      </c>
      <c r="Z12">
        <v>9.7799999999999994</v>
      </c>
      <c r="AA12">
        <v>-0.33</v>
      </c>
      <c r="AB12">
        <v>8.4600000000000009</v>
      </c>
      <c r="AC12">
        <v>-103.12</v>
      </c>
      <c r="AD12">
        <v>980</v>
      </c>
      <c r="AE12">
        <v>8765</v>
      </c>
      <c r="AF12">
        <v>108.62</v>
      </c>
      <c r="AG12">
        <v>0.88</v>
      </c>
      <c r="AH12">
        <v>-246.05</v>
      </c>
      <c r="AI12">
        <v>119.85</v>
      </c>
      <c r="AJ12">
        <v>60</v>
      </c>
      <c r="AK12">
        <v>9</v>
      </c>
      <c r="AL12">
        <v>9</v>
      </c>
      <c r="AM12">
        <v>0.38</v>
      </c>
      <c r="AN12">
        <v>588</v>
      </c>
      <c r="AO12">
        <v>591.4</v>
      </c>
      <c r="AP12">
        <v>498540.47</v>
      </c>
      <c r="AQ12">
        <v>325581.05</v>
      </c>
      <c r="AR12" t="s">
        <v>924</v>
      </c>
      <c r="AT12" s="6">
        <f t="shared" si="3"/>
        <v>9.8721130136986286</v>
      </c>
    </row>
    <row r="13" spans="1:47" x14ac:dyDescent="0.5500000000000000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0"/>
        <v>0</v>
      </c>
      <c r="L13">
        <f t="shared" si="1"/>
        <v>0</v>
      </c>
      <c r="M13">
        <f t="shared" si="2"/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 s="6">
        <f t="shared" si="3"/>
        <v>0</v>
      </c>
    </row>
    <row r="14" spans="1:47" x14ac:dyDescent="0.55000000000000004">
      <c r="A14">
        <v>0</v>
      </c>
      <c r="B14">
        <v>8.1</v>
      </c>
      <c r="C14">
        <v>609.16999999999996</v>
      </c>
      <c r="D14">
        <v>7.8</v>
      </c>
      <c r="E14" t="s">
        <v>2457</v>
      </c>
      <c r="F14" t="s">
        <v>2557</v>
      </c>
      <c r="G14" t="s">
        <v>2199</v>
      </c>
      <c r="H14" t="s">
        <v>2642</v>
      </c>
      <c r="I14">
        <v>0</v>
      </c>
      <c r="J14">
        <v>1968.09</v>
      </c>
      <c r="K14">
        <f t="shared" si="0"/>
        <v>75.740000000000009</v>
      </c>
      <c r="L14">
        <f t="shared" si="1"/>
        <v>51.95</v>
      </c>
      <c r="M14">
        <f t="shared" si="2"/>
        <v>23.790000000000006</v>
      </c>
      <c r="N14">
        <v>7.29</v>
      </c>
      <c r="O14">
        <v>0</v>
      </c>
      <c r="P14">
        <v>55</v>
      </c>
      <c r="Q14">
        <v>20.3</v>
      </c>
      <c r="R14">
        <v>8.1</v>
      </c>
      <c r="S14">
        <v>14.63</v>
      </c>
      <c r="T14">
        <v>-14.63</v>
      </c>
      <c r="U14">
        <v>0.31</v>
      </c>
      <c r="V14">
        <v>389.87</v>
      </c>
      <c r="W14">
        <v>102.29</v>
      </c>
      <c r="X14">
        <v>66.98</v>
      </c>
      <c r="Y14">
        <v>79.28</v>
      </c>
      <c r="Z14">
        <v>8.02</v>
      </c>
      <c r="AA14">
        <v>-0.81</v>
      </c>
      <c r="AB14">
        <v>9.42</v>
      </c>
      <c r="AC14">
        <v>-124.14</v>
      </c>
      <c r="AD14">
        <v>980</v>
      </c>
      <c r="AE14">
        <v>8765</v>
      </c>
      <c r="AF14">
        <v>108.62</v>
      </c>
      <c r="AG14">
        <v>0.88</v>
      </c>
      <c r="AH14">
        <v>-157.32</v>
      </c>
      <c r="AI14">
        <v>71.91</v>
      </c>
      <c r="AJ14">
        <v>60</v>
      </c>
      <c r="AK14">
        <v>9</v>
      </c>
      <c r="AL14">
        <v>9</v>
      </c>
      <c r="AM14">
        <v>0.63</v>
      </c>
      <c r="AN14">
        <v>588</v>
      </c>
      <c r="AO14">
        <v>593.66999999999996</v>
      </c>
      <c r="AP14">
        <v>745795.21</v>
      </c>
      <c r="AQ14">
        <v>190517.28</v>
      </c>
      <c r="AR14" t="s">
        <v>926</v>
      </c>
      <c r="AT14" s="6">
        <f t="shared" si="3"/>
        <v>31.693945776255703</v>
      </c>
    </row>
    <row r="15" spans="1:47" x14ac:dyDescent="0.55000000000000004">
      <c r="A15">
        <v>0</v>
      </c>
      <c r="B15">
        <v>8.1</v>
      </c>
      <c r="C15">
        <v>557.72</v>
      </c>
      <c r="D15">
        <v>7.8</v>
      </c>
      <c r="E15" t="s">
        <v>2458</v>
      </c>
      <c r="F15" t="s">
        <v>2557</v>
      </c>
      <c r="G15" t="s">
        <v>2199</v>
      </c>
      <c r="H15" t="s">
        <v>2643</v>
      </c>
      <c r="I15">
        <v>0</v>
      </c>
      <c r="J15">
        <v>1949.68</v>
      </c>
      <c r="K15">
        <f t="shared" si="0"/>
        <v>82.16</v>
      </c>
      <c r="L15">
        <f t="shared" si="1"/>
        <v>51.95</v>
      </c>
      <c r="M15">
        <f t="shared" si="2"/>
        <v>30.209999999999994</v>
      </c>
      <c r="N15">
        <v>7.31</v>
      </c>
      <c r="O15">
        <v>0</v>
      </c>
      <c r="P15">
        <v>87</v>
      </c>
      <c r="Q15">
        <v>17.899999999999999</v>
      </c>
      <c r="R15">
        <v>8.1</v>
      </c>
      <c r="S15">
        <v>16.34</v>
      </c>
      <c r="T15">
        <v>-16.34</v>
      </c>
      <c r="U15">
        <v>0.28999999999999998</v>
      </c>
      <c r="V15">
        <v>356.94</v>
      </c>
      <c r="W15">
        <v>94.02</v>
      </c>
      <c r="X15">
        <v>62.96</v>
      </c>
      <c r="Y15">
        <v>72.55</v>
      </c>
      <c r="Z15">
        <v>8.6999999999999993</v>
      </c>
      <c r="AA15">
        <v>-0.87</v>
      </c>
      <c r="AB15">
        <v>9.5399999999999991</v>
      </c>
      <c r="AC15">
        <v>-98.25</v>
      </c>
      <c r="AD15">
        <v>980</v>
      </c>
      <c r="AE15">
        <v>8765</v>
      </c>
      <c r="AF15">
        <v>108.62</v>
      </c>
      <c r="AG15">
        <v>0.88</v>
      </c>
      <c r="AH15">
        <v>-152.15</v>
      </c>
      <c r="AI15">
        <v>71.91</v>
      </c>
      <c r="AJ15">
        <v>60</v>
      </c>
      <c r="AK15">
        <v>9</v>
      </c>
      <c r="AL15">
        <v>9</v>
      </c>
      <c r="AM15">
        <v>0.63</v>
      </c>
      <c r="AN15">
        <v>588</v>
      </c>
      <c r="AO15">
        <v>593.66999999999996</v>
      </c>
      <c r="AP15">
        <v>816591.48</v>
      </c>
      <c r="AQ15">
        <v>190517.28</v>
      </c>
      <c r="AR15" t="s">
        <v>927</v>
      </c>
      <c r="AT15" s="6">
        <f t="shared" si="3"/>
        <v>35.734828767123282</v>
      </c>
    </row>
    <row r="16" spans="1:47" x14ac:dyDescent="0.5500000000000000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0"/>
        <v>0</v>
      </c>
      <c r="L16">
        <f t="shared" si="1"/>
        <v>0</v>
      </c>
      <c r="M16">
        <f t="shared" si="2"/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T16" s="6">
        <f t="shared" si="3"/>
        <v>0</v>
      </c>
    </row>
    <row r="17" spans="1:46" x14ac:dyDescent="0.55000000000000004">
      <c r="A17">
        <v>0</v>
      </c>
      <c r="B17">
        <v>8.1</v>
      </c>
      <c r="C17">
        <v>563.48</v>
      </c>
      <c r="D17">
        <v>7.8</v>
      </c>
      <c r="E17" t="s">
        <v>2459</v>
      </c>
      <c r="F17" t="s">
        <v>2557</v>
      </c>
      <c r="G17" t="s">
        <v>2199</v>
      </c>
      <c r="H17" t="s">
        <v>2644</v>
      </c>
      <c r="I17">
        <v>0</v>
      </c>
      <c r="J17">
        <v>1952.05</v>
      </c>
      <c r="K17">
        <f t="shared" si="0"/>
        <v>81.3</v>
      </c>
      <c r="L17">
        <f t="shared" si="1"/>
        <v>51.95</v>
      </c>
      <c r="M17">
        <f t="shared" si="2"/>
        <v>29.349999999999994</v>
      </c>
      <c r="N17">
        <v>7.31</v>
      </c>
      <c r="O17">
        <v>0</v>
      </c>
      <c r="P17">
        <v>74</v>
      </c>
      <c r="Q17">
        <v>19.8</v>
      </c>
      <c r="R17">
        <v>8.1</v>
      </c>
      <c r="S17">
        <v>16.59</v>
      </c>
      <c r="T17">
        <v>-16.59</v>
      </c>
      <c r="U17">
        <v>0.28999999999999998</v>
      </c>
      <c r="V17">
        <v>360.63</v>
      </c>
      <c r="W17">
        <v>94.95</v>
      </c>
      <c r="X17">
        <v>63.39</v>
      </c>
      <c r="Y17">
        <v>73.31</v>
      </c>
      <c r="Z17">
        <v>8.61</v>
      </c>
      <c r="AA17">
        <v>-0.86</v>
      </c>
      <c r="AB17">
        <v>9.5299999999999994</v>
      </c>
      <c r="AC17">
        <v>-95.37</v>
      </c>
      <c r="AD17">
        <v>980</v>
      </c>
      <c r="AE17">
        <v>8765</v>
      </c>
      <c r="AF17">
        <v>108.62</v>
      </c>
      <c r="AG17">
        <v>0.88</v>
      </c>
      <c r="AH17">
        <v>-152.69999999999999</v>
      </c>
      <c r="AI17">
        <v>71.91</v>
      </c>
      <c r="AJ17">
        <v>60</v>
      </c>
      <c r="AK17">
        <v>9</v>
      </c>
      <c r="AL17">
        <v>9</v>
      </c>
      <c r="AM17">
        <v>0.63</v>
      </c>
      <c r="AN17">
        <v>588</v>
      </c>
      <c r="AO17">
        <v>593.66999999999996</v>
      </c>
      <c r="AP17">
        <v>807135.35</v>
      </c>
      <c r="AQ17">
        <v>190517.28</v>
      </c>
      <c r="AR17" t="s">
        <v>929</v>
      </c>
      <c r="AT17" s="6">
        <f t="shared" si="3"/>
        <v>35.195095319634703</v>
      </c>
    </row>
    <row r="18" spans="1:46" x14ac:dyDescent="0.5500000000000000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0"/>
        <v>0</v>
      </c>
      <c r="L18">
        <f t="shared" si="1"/>
        <v>0</v>
      </c>
      <c r="M18">
        <f t="shared" si="2"/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 s="6">
        <f t="shared" si="3"/>
        <v>0</v>
      </c>
    </row>
    <row r="19" spans="1:46" x14ac:dyDescent="0.55000000000000004">
      <c r="A19">
        <v>0</v>
      </c>
      <c r="B19">
        <v>8.1</v>
      </c>
      <c r="C19">
        <v>1265.55</v>
      </c>
      <c r="D19">
        <v>7.8</v>
      </c>
      <c r="E19" t="s">
        <v>2460</v>
      </c>
      <c r="F19" t="s">
        <v>2556</v>
      </c>
      <c r="G19" t="s">
        <v>2199</v>
      </c>
      <c r="H19" t="s">
        <v>2645</v>
      </c>
      <c r="I19">
        <v>0</v>
      </c>
      <c r="J19">
        <v>2057.5300000000002</v>
      </c>
      <c r="K19">
        <f t="shared" si="0"/>
        <v>53.980000000000004</v>
      </c>
      <c r="L19">
        <f t="shared" si="1"/>
        <v>51.95</v>
      </c>
      <c r="M19">
        <f t="shared" si="2"/>
        <v>2.0300000000000011</v>
      </c>
      <c r="N19">
        <v>7.21</v>
      </c>
      <c r="O19">
        <v>0</v>
      </c>
      <c r="P19">
        <v>68</v>
      </c>
      <c r="Q19">
        <v>18.899999999999999</v>
      </c>
      <c r="R19">
        <v>8.1</v>
      </c>
      <c r="S19">
        <v>15.01</v>
      </c>
      <c r="T19">
        <v>-15.01</v>
      </c>
      <c r="U19">
        <v>0.62</v>
      </c>
      <c r="V19">
        <v>809.95</v>
      </c>
      <c r="W19">
        <v>209.3</v>
      </c>
      <c r="X19">
        <v>125.1</v>
      </c>
      <c r="Y19">
        <v>164.97</v>
      </c>
      <c r="Z19">
        <v>5.72</v>
      </c>
      <c r="AA19">
        <v>-0.26</v>
      </c>
      <c r="AB19">
        <v>8.32</v>
      </c>
      <c r="AC19">
        <v>-117.22</v>
      </c>
      <c r="AD19">
        <v>980</v>
      </c>
      <c r="AE19">
        <v>8765</v>
      </c>
      <c r="AF19">
        <v>108.62</v>
      </c>
      <c r="AG19">
        <v>0.88</v>
      </c>
      <c r="AH19">
        <v>-282.2</v>
      </c>
      <c r="AI19">
        <v>71.91</v>
      </c>
      <c r="AJ19">
        <v>60</v>
      </c>
      <c r="AK19">
        <v>9</v>
      </c>
      <c r="AL19">
        <v>9</v>
      </c>
      <c r="AM19">
        <v>0.63</v>
      </c>
      <c r="AN19">
        <v>588</v>
      </c>
      <c r="AO19">
        <v>593.66999999999996</v>
      </c>
      <c r="AP19">
        <v>494214.91</v>
      </c>
      <c r="AQ19">
        <v>190517.28</v>
      </c>
      <c r="AR19" t="s">
        <v>931</v>
      </c>
      <c r="AT19" s="6">
        <f t="shared" si="3"/>
        <v>17.334339611872146</v>
      </c>
    </row>
    <row r="20" spans="1:46" x14ac:dyDescent="0.5500000000000000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0"/>
        <v>0</v>
      </c>
      <c r="L20">
        <f t="shared" si="1"/>
        <v>0</v>
      </c>
      <c r="M20">
        <f t="shared" si="2"/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T20" s="6">
        <f t="shared" si="3"/>
        <v>0</v>
      </c>
    </row>
    <row r="21" spans="1:46" x14ac:dyDescent="0.55000000000000004">
      <c r="A21">
        <v>0</v>
      </c>
      <c r="B21">
        <v>8.1</v>
      </c>
      <c r="C21">
        <v>537.96</v>
      </c>
      <c r="D21">
        <v>7.8</v>
      </c>
      <c r="E21" t="s">
        <v>2461</v>
      </c>
      <c r="F21" t="s">
        <v>2560</v>
      </c>
      <c r="G21" t="s">
        <v>2199</v>
      </c>
      <c r="H21" t="s">
        <v>2646</v>
      </c>
      <c r="I21">
        <v>0</v>
      </c>
      <c r="J21">
        <v>1947.72</v>
      </c>
      <c r="K21">
        <f t="shared" si="0"/>
        <v>85.46</v>
      </c>
      <c r="L21">
        <f t="shared" si="1"/>
        <v>51.95</v>
      </c>
      <c r="M21">
        <f t="shared" si="2"/>
        <v>33.509999999999991</v>
      </c>
      <c r="N21">
        <v>7.33</v>
      </c>
      <c r="O21">
        <v>0</v>
      </c>
      <c r="P21">
        <v>67</v>
      </c>
      <c r="Q21">
        <v>18.399999999999999</v>
      </c>
      <c r="R21">
        <v>8.1</v>
      </c>
      <c r="S21">
        <v>14.43</v>
      </c>
      <c r="T21">
        <v>-14.43</v>
      </c>
      <c r="U21">
        <v>0.28000000000000003</v>
      </c>
      <c r="V21">
        <v>344.3</v>
      </c>
      <c r="W21">
        <v>90.91</v>
      </c>
      <c r="X21">
        <v>61.65</v>
      </c>
      <c r="Y21">
        <v>69.97</v>
      </c>
      <c r="Z21">
        <v>9.0500000000000007</v>
      </c>
      <c r="AA21">
        <v>-0.89</v>
      </c>
      <c r="AB21">
        <v>9.59</v>
      </c>
      <c r="AC21">
        <v>-128.03</v>
      </c>
      <c r="AD21">
        <v>980</v>
      </c>
      <c r="AE21">
        <v>8765</v>
      </c>
      <c r="AF21">
        <v>108.62</v>
      </c>
      <c r="AG21">
        <v>0.88</v>
      </c>
      <c r="AH21">
        <v>-150.08000000000001</v>
      </c>
      <c r="AI21">
        <v>71.91</v>
      </c>
      <c r="AJ21">
        <v>60</v>
      </c>
      <c r="AK21">
        <v>9</v>
      </c>
      <c r="AL21">
        <v>9</v>
      </c>
      <c r="AM21">
        <v>0.63</v>
      </c>
      <c r="AN21">
        <v>588</v>
      </c>
      <c r="AO21">
        <v>593.66999999999996</v>
      </c>
      <c r="AP21">
        <v>845067.61</v>
      </c>
      <c r="AQ21">
        <v>190517.28</v>
      </c>
      <c r="AR21" t="s">
        <v>933</v>
      </c>
      <c r="AT21" s="6">
        <f t="shared" si="3"/>
        <v>37.360178652968031</v>
      </c>
    </row>
    <row r="22" spans="1:46" x14ac:dyDescent="0.5500000000000000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0"/>
        <v>0</v>
      </c>
      <c r="L22">
        <f t="shared" si="1"/>
        <v>0</v>
      </c>
      <c r="M22">
        <f t="shared" si="2"/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 s="6">
        <f t="shared" si="3"/>
        <v>0</v>
      </c>
    </row>
    <row r="23" spans="1:46" x14ac:dyDescent="0.55000000000000004">
      <c r="A23">
        <v>0</v>
      </c>
      <c r="B23">
        <v>8.1</v>
      </c>
      <c r="C23">
        <v>1053.6099999999999</v>
      </c>
      <c r="D23">
        <v>7.8</v>
      </c>
      <c r="E23" t="s">
        <v>2462</v>
      </c>
      <c r="F23" t="s">
        <v>2561</v>
      </c>
      <c r="G23" t="s">
        <v>2199</v>
      </c>
      <c r="H23" t="s">
        <v>2647</v>
      </c>
      <c r="I23">
        <v>0</v>
      </c>
      <c r="J23">
        <v>2036.49</v>
      </c>
      <c r="K23">
        <f t="shared" si="0"/>
        <v>56.989999999999995</v>
      </c>
      <c r="L23">
        <f t="shared" si="1"/>
        <v>51.95</v>
      </c>
      <c r="M23">
        <f t="shared" si="2"/>
        <v>5.039999999999992</v>
      </c>
      <c r="N23">
        <v>7.22</v>
      </c>
      <c r="O23">
        <v>0</v>
      </c>
      <c r="P23">
        <v>72</v>
      </c>
      <c r="Q23">
        <v>16.600000000000001</v>
      </c>
      <c r="R23">
        <v>8.1</v>
      </c>
      <c r="S23">
        <v>13.34</v>
      </c>
      <c r="T23">
        <v>-13.34</v>
      </c>
      <c r="U23">
        <v>0.52</v>
      </c>
      <c r="V23">
        <v>674.31</v>
      </c>
      <c r="W23">
        <v>174.58</v>
      </c>
      <c r="X23">
        <v>105.62</v>
      </c>
      <c r="Y23">
        <v>137.31</v>
      </c>
      <c r="Z23">
        <v>6.03</v>
      </c>
      <c r="AA23">
        <v>-0.4</v>
      </c>
      <c r="AB23">
        <v>8.61</v>
      </c>
      <c r="AC23">
        <v>-154.47999999999999</v>
      </c>
      <c r="AD23">
        <v>980</v>
      </c>
      <c r="AE23">
        <v>8765</v>
      </c>
      <c r="AF23">
        <v>108.62</v>
      </c>
      <c r="AG23">
        <v>0.88</v>
      </c>
      <c r="AH23">
        <v>-225.07</v>
      </c>
      <c r="AI23">
        <v>71.91</v>
      </c>
      <c r="AJ23">
        <v>60</v>
      </c>
      <c r="AK23">
        <v>9</v>
      </c>
      <c r="AL23">
        <v>9</v>
      </c>
      <c r="AM23">
        <v>0.63</v>
      </c>
      <c r="AN23">
        <v>588</v>
      </c>
      <c r="AO23">
        <v>593.66999999999996</v>
      </c>
      <c r="AP23">
        <v>535365.62</v>
      </c>
      <c r="AQ23">
        <v>190517.28</v>
      </c>
      <c r="AR23" t="s">
        <v>935</v>
      </c>
      <c r="AT23" s="6">
        <f t="shared" si="3"/>
        <v>19.683124429223742</v>
      </c>
    </row>
    <row r="24" spans="1:46" x14ac:dyDescent="0.5500000000000000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0"/>
        <v>0</v>
      </c>
      <c r="L24">
        <f t="shared" si="1"/>
        <v>0</v>
      </c>
      <c r="M24">
        <f t="shared" si="2"/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T24" s="6">
        <f t="shared" si="3"/>
        <v>0</v>
      </c>
    </row>
    <row r="25" spans="1:46" x14ac:dyDescent="0.55000000000000004">
      <c r="A25">
        <v>0</v>
      </c>
      <c r="B25">
        <v>8.1</v>
      </c>
      <c r="C25">
        <v>778.7</v>
      </c>
      <c r="D25">
        <v>7.8</v>
      </c>
      <c r="E25" t="s">
        <v>2463</v>
      </c>
      <c r="F25" t="s">
        <v>2562</v>
      </c>
      <c r="G25" t="s">
        <v>2199</v>
      </c>
      <c r="H25" t="s">
        <v>2648</v>
      </c>
      <c r="I25">
        <v>0</v>
      </c>
      <c r="J25">
        <v>2010.1</v>
      </c>
      <c r="K25">
        <f t="shared" si="0"/>
        <v>64.59</v>
      </c>
      <c r="L25">
        <f t="shared" si="1"/>
        <v>49.589999999999996</v>
      </c>
      <c r="M25">
        <f t="shared" si="2"/>
        <v>15.000000000000007</v>
      </c>
      <c r="N25">
        <v>7.26</v>
      </c>
      <c r="O25">
        <v>0</v>
      </c>
      <c r="P25">
        <v>64</v>
      </c>
      <c r="Q25">
        <v>18.2</v>
      </c>
      <c r="R25">
        <v>8.1</v>
      </c>
      <c r="S25">
        <v>13.88</v>
      </c>
      <c r="T25">
        <v>-13.88</v>
      </c>
      <c r="U25">
        <v>0.39</v>
      </c>
      <c r="V25">
        <v>498.37</v>
      </c>
      <c r="W25">
        <v>129.80000000000001</v>
      </c>
      <c r="X25">
        <v>81.45</v>
      </c>
      <c r="Y25">
        <v>101.42</v>
      </c>
      <c r="Z25">
        <v>9.1199999999999992</v>
      </c>
      <c r="AA25">
        <v>-0.63</v>
      </c>
      <c r="AB25">
        <v>9.07</v>
      </c>
      <c r="AC25">
        <v>-140.16</v>
      </c>
      <c r="AD25">
        <v>980</v>
      </c>
      <c r="AE25">
        <v>8765</v>
      </c>
      <c r="AF25">
        <v>108.62</v>
      </c>
      <c r="AG25">
        <v>0.88</v>
      </c>
      <c r="AH25">
        <v>-177.32</v>
      </c>
      <c r="AI25">
        <v>95.88</v>
      </c>
      <c r="AJ25">
        <v>60</v>
      </c>
      <c r="AK25">
        <v>9</v>
      </c>
      <c r="AL25">
        <v>9</v>
      </c>
      <c r="AM25">
        <v>0.47</v>
      </c>
      <c r="AN25">
        <v>588</v>
      </c>
      <c r="AO25">
        <v>592.25</v>
      </c>
      <c r="AP25">
        <v>616984.02</v>
      </c>
      <c r="AQ25">
        <v>274932.14</v>
      </c>
      <c r="AR25" t="s">
        <v>937</v>
      </c>
      <c r="AT25" s="6">
        <f t="shared" si="3"/>
        <v>19.523509132420092</v>
      </c>
    </row>
    <row r="26" spans="1:46" x14ac:dyDescent="0.55000000000000004">
      <c r="A26">
        <v>0</v>
      </c>
      <c r="B26">
        <v>8.1</v>
      </c>
      <c r="C26">
        <v>583.35</v>
      </c>
      <c r="D26">
        <v>7.8</v>
      </c>
      <c r="E26" t="s">
        <v>2464</v>
      </c>
      <c r="F26" t="s">
        <v>2555</v>
      </c>
      <c r="G26" t="s">
        <v>2199</v>
      </c>
      <c r="H26" t="s">
        <v>2649</v>
      </c>
      <c r="I26">
        <v>0</v>
      </c>
      <c r="J26">
        <v>1958.53</v>
      </c>
      <c r="K26">
        <f t="shared" si="0"/>
        <v>78.650000000000006</v>
      </c>
      <c r="L26">
        <f t="shared" si="1"/>
        <v>51.95</v>
      </c>
      <c r="M26">
        <f t="shared" si="2"/>
        <v>26.700000000000003</v>
      </c>
      <c r="N26">
        <v>7.3</v>
      </c>
      <c r="O26">
        <v>0</v>
      </c>
      <c r="P26">
        <v>70</v>
      </c>
      <c r="Q26">
        <v>17.2</v>
      </c>
      <c r="R26">
        <v>8.1</v>
      </c>
      <c r="S26">
        <v>13.67</v>
      </c>
      <c r="T26">
        <v>-13.67</v>
      </c>
      <c r="U26">
        <v>0.3</v>
      </c>
      <c r="V26">
        <v>373.34</v>
      </c>
      <c r="W26">
        <v>98.13</v>
      </c>
      <c r="X26">
        <v>64.91</v>
      </c>
      <c r="Y26">
        <v>75.91</v>
      </c>
      <c r="Z26">
        <v>8.33</v>
      </c>
      <c r="AA26">
        <v>-0.84</v>
      </c>
      <c r="AB26">
        <v>9.48</v>
      </c>
      <c r="AC26">
        <v>-145.38</v>
      </c>
      <c r="AD26">
        <v>980</v>
      </c>
      <c r="AE26">
        <v>8765</v>
      </c>
      <c r="AF26">
        <v>108.62</v>
      </c>
      <c r="AG26">
        <v>0.88</v>
      </c>
      <c r="AH26">
        <v>-154.69999999999999</v>
      </c>
      <c r="AI26">
        <v>71.91</v>
      </c>
      <c r="AJ26">
        <v>60</v>
      </c>
      <c r="AK26">
        <v>9</v>
      </c>
      <c r="AL26">
        <v>9</v>
      </c>
      <c r="AM26">
        <v>0.63</v>
      </c>
      <c r="AN26">
        <v>588</v>
      </c>
      <c r="AO26">
        <v>593.66999999999996</v>
      </c>
      <c r="AP26">
        <v>778966.74</v>
      </c>
      <c r="AQ26">
        <v>190517.28</v>
      </c>
      <c r="AR26" t="s">
        <v>938</v>
      </c>
      <c r="AT26" s="6">
        <f t="shared" si="3"/>
        <v>33.587297945205478</v>
      </c>
    </row>
    <row r="27" spans="1:46" x14ac:dyDescent="0.55000000000000004">
      <c r="A27">
        <v>0</v>
      </c>
      <c r="B27">
        <v>8.1</v>
      </c>
      <c r="C27">
        <v>582.62</v>
      </c>
      <c r="D27">
        <v>7.8</v>
      </c>
      <c r="E27" t="s">
        <v>2465</v>
      </c>
      <c r="F27" t="s">
        <v>2563</v>
      </c>
      <c r="G27" t="s">
        <v>2199</v>
      </c>
      <c r="H27" t="s">
        <v>2650</v>
      </c>
      <c r="I27">
        <v>0</v>
      </c>
      <c r="J27">
        <v>1956.2</v>
      </c>
      <c r="K27">
        <f t="shared" si="0"/>
        <v>78.739999999999995</v>
      </c>
      <c r="L27">
        <f t="shared" si="1"/>
        <v>51.95</v>
      </c>
      <c r="M27">
        <f t="shared" si="2"/>
        <v>26.789999999999992</v>
      </c>
      <c r="N27">
        <v>7.3</v>
      </c>
      <c r="O27">
        <v>0</v>
      </c>
      <c r="P27">
        <v>63</v>
      </c>
      <c r="Q27">
        <v>17.7</v>
      </c>
      <c r="R27">
        <v>8.1</v>
      </c>
      <c r="S27">
        <v>13.3</v>
      </c>
      <c r="T27">
        <v>-13.3</v>
      </c>
      <c r="U27">
        <v>0.3</v>
      </c>
      <c r="V27">
        <v>372.88</v>
      </c>
      <c r="W27">
        <v>98</v>
      </c>
      <c r="X27">
        <v>64.8</v>
      </c>
      <c r="Y27">
        <v>75.81</v>
      </c>
      <c r="Z27">
        <v>8.34</v>
      </c>
      <c r="AA27">
        <v>-0.84</v>
      </c>
      <c r="AB27">
        <v>9.48</v>
      </c>
      <c r="AC27">
        <v>-155.66999999999999</v>
      </c>
      <c r="AD27">
        <v>980</v>
      </c>
      <c r="AE27">
        <v>8765</v>
      </c>
      <c r="AF27">
        <v>108.62</v>
      </c>
      <c r="AG27">
        <v>0.88</v>
      </c>
      <c r="AH27">
        <v>-154.69999999999999</v>
      </c>
      <c r="AI27">
        <v>71.91</v>
      </c>
      <c r="AJ27">
        <v>60</v>
      </c>
      <c r="AK27">
        <v>9</v>
      </c>
      <c r="AL27">
        <v>9</v>
      </c>
      <c r="AM27">
        <v>0.63</v>
      </c>
      <c r="AN27">
        <v>588</v>
      </c>
      <c r="AO27">
        <v>593.66999999999996</v>
      </c>
      <c r="AP27">
        <v>782238.87</v>
      </c>
      <c r="AQ27">
        <v>190517.28</v>
      </c>
      <c r="AR27" t="s">
        <v>939</v>
      </c>
      <c r="AT27" s="6">
        <f t="shared" si="3"/>
        <v>33.774063356164383</v>
      </c>
    </row>
    <row r="28" spans="1:46" x14ac:dyDescent="0.5500000000000000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0"/>
        <v>0</v>
      </c>
      <c r="L28">
        <f t="shared" si="1"/>
        <v>0</v>
      </c>
      <c r="M28">
        <f t="shared" si="2"/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T28" s="6">
        <f t="shared" si="3"/>
        <v>0</v>
      </c>
    </row>
    <row r="29" spans="1:46" x14ac:dyDescent="0.5500000000000000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0"/>
        <v>0</v>
      </c>
      <c r="L29">
        <f t="shared" si="1"/>
        <v>0</v>
      </c>
      <c r="M29">
        <f t="shared" si="2"/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T29" s="6">
        <f t="shared" si="3"/>
        <v>0</v>
      </c>
    </row>
    <row r="30" spans="1:46" x14ac:dyDescent="0.55000000000000004">
      <c r="A30">
        <v>0</v>
      </c>
      <c r="B30">
        <v>8.1</v>
      </c>
      <c r="C30">
        <v>5668.06</v>
      </c>
      <c r="D30">
        <v>7.8</v>
      </c>
      <c r="E30" t="s">
        <v>2466</v>
      </c>
      <c r="F30" t="s">
        <v>2563</v>
      </c>
      <c r="G30" t="s">
        <v>2199</v>
      </c>
      <c r="H30" t="s">
        <v>2651</v>
      </c>
      <c r="I30">
        <v>0</v>
      </c>
      <c r="J30">
        <v>2083.1</v>
      </c>
      <c r="K30">
        <f t="shared" si="0"/>
        <v>44.68</v>
      </c>
      <c r="L30">
        <f t="shared" si="1"/>
        <v>51.95</v>
      </c>
      <c r="M30">
        <f t="shared" si="2"/>
        <v>-7.2700000000000031</v>
      </c>
      <c r="N30">
        <v>7.15</v>
      </c>
      <c r="O30">
        <v>0</v>
      </c>
      <c r="P30">
        <v>64</v>
      </c>
      <c r="Q30">
        <v>17.600000000000001</v>
      </c>
      <c r="R30">
        <v>8.1</v>
      </c>
      <c r="S30">
        <v>13.33</v>
      </c>
      <c r="T30">
        <v>-13.33</v>
      </c>
      <c r="U30">
        <v>2.72</v>
      </c>
      <c r="V30">
        <v>3627.56</v>
      </c>
      <c r="W30">
        <v>928.53</v>
      </c>
      <c r="X30">
        <v>521.86</v>
      </c>
      <c r="Y30">
        <v>739.52</v>
      </c>
      <c r="Z30">
        <v>4.7300000000000004</v>
      </c>
      <c r="AA30">
        <v>0.94</v>
      </c>
      <c r="AB30">
        <v>5.92</v>
      </c>
      <c r="AC30">
        <v>-154.83000000000001</v>
      </c>
      <c r="AD30">
        <v>980</v>
      </c>
      <c r="AE30">
        <v>8765</v>
      </c>
      <c r="AF30">
        <v>108.62</v>
      </c>
      <c r="AG30">
        <v>0.88</v>
      </c>
      <c r="AH30">
        <v>63.12</v>
      </c>
      <c r="AI30">
        <v>71.91</v>
      </c>
      <c r="AJ30">
        <v>60</v>
      </c>
      <c r="AK30">
        <v>9</v>
      </c>
      <c r="AL30">
        <v>9</v>
      </c>
      <c r="AM30">
        <v>0.63</v>
      </c>
      <c r="AN30">
        <v>588</v>
      </c>
      <c r="AO30">
        <v>593.66999999999996</v>
      </c>
      <c r="AP30">
        <v>406386.69</v>
      </c>
      <c r="AQ30">
        <v>190517.28</v>
      </c>
      <c r="AR30" t="s">
        <v>942</v>
      </c>
      <c r="AT30" s="6">
        <f t="shared" si="3"/>
        <v>12.321313356164383</v>
      </c>
    </row>
    <row r="31" spans="1:46" x14ac:dyDescent="0.55000000000000004">
      <c r="A31">
        <v>0</v>
      </c>
      <c r="B31">
        <v>8.1</v>
      </c>
      <c r="C31">
        <v>542.71</v>
      </c>
      <c r="D31">
        <v>7.8</v>
      </c>
      <c r="E31" t="s">
        <v>2467</v>
      </c>
      <c r="F31" t="s">
        <v>2564</v>
      </c>
      <c r="G31" t="s">
        <v>2199</v>
      </c>
      <c r="H31" t="s">
        <v>2652</v>
      </c>
      <c r="I31">
        <v>0</v>
      </c>
      <c r="J31">
        <v>1944.05</v>
      </c>
      <c r="K31">
        <f t="shared" si="0"/>
        <v>84.61</v>
      </c>
      <c r="L31">
        <f t="shared" si="1"/>
        <v>51.95</v>
      </c>
      <c r="M31">
        <f t="shared" si="2"/>
        <v>32.659999999999997</v>
      </c>
      <c r="N31">
        <v>7.32</v>
      </c>
      <c r="O31">
        <v>0</v>
      </c>
      <c r="P31">
        <v>71</v>
      </c>
      <c r="Q31">
        <v>16.399999999999999</v>
      </c>
      <c r="R31">
        <v>8.1</v>
      </c>
      <c r="S31">
        <v>13.04</v>
      </c>
      <c r="T31">
        <v>-13.04</v>
      </c>
      <c r="U31">
        <v>0.28000000000000003</v>
      </c>
      <c r="V31">
        <v>347.33</v>
      </c>
      <c r="W31">
        <v>91.63</v>
      </c>
      <c r="X31">
        <v>61.86</v>
      </c>
      <c r="Y31">
        <v>70.59</v>
      </c>
      <c r="Z31">
        <v>8.9600000000000009</v>
      </c>
      <c r="AA31">
        <v>-0.89</v>
      </c>
      <c r="AB31">
        <v>9.58</v>
      </c>
      <c r="AC31">
        <v>-163.93</v>
      </c>
      <c r="AD31">
        <v>980</v>
      </c>
      <c r="AE31">
        <v>8765</v>
      </c>
      <c r="AF31">
        <v>108.62</v>
      </c>
      <c r="AG31">
        <v>0.88</v>
      </c>
      <c r="AH31">
        <v>-150.69</v>
      </c>
      <c r="AI31">
        <v>71.91</v>
      </c>
      <c r="AJ31">
        <v>60</v>
      </c>
      <c r="AK31">
        <v>9</v>
      </c>
      <c r="AL31">
        <v>9</v>
      </c>
      <c r="AM31">
        <v>0.63</v>
      </c>
      <c r="AN31">
        <v>588</v>
      </c>
      <c r="AO31">
        <v>593.66999999999996</v>
      </c>
      <c r="AP31">
        <v>842502.97</v>
      </c>
      <c r="AQ31">
        <v>190517.28</v>
      </c>
      <c r="AR31" t="s">
        <v>943</v>
      </c>
      <c r="AT31" s="6">
        <f t="shared" si="3"/>
        <v>37.213795091324201</v>
      </c>
    </row>
    <row r="32" spans="1:46" x14ac:dyDescent="0.55000000000000004">
      <c r="A32">
        <v>0</v>
      </c>
      <c r="B32">
        <v>8.1</v>
      </c>
      <c r="C32">
        <v>1467.26</v>
      </c>
      <c r="D32">
        <v>7.8</v>
      </c>
      <c r="E32" t="s">
        <v>2468</v>
      </c>
      <c r="F32" t="s">
        <v>2565</v>
      </c>
      <c r="G32" t="s">
        <v>2199</v>
      </c>
      <c r="H32" t="s">
        <v>2653</v>
      </c>
      <c r="I32">
        <v>0</v>
      </c>
      <c r="J32">
        <v>2056.88</v>
      </c>
      <c r="K32">
        <f t="shared" si="0"/>
        <v>52.099999999999994</v>
      </c>
      <c r="L32">
        <f t="shared" si="1"/>
        <v>47.81</v>
      </c>
      <c r="M32">
        <f t="shared" si="2"/>
        <v>4.289999999999992</v>
      </c>
      <c r="N32">
        <v>7.2</v>
      </c>
      <c r="O32">
        <v>0</v>
      </c>
      <c r="P32">
        <v>67</v>
      </c>
      <c r="Q32">
        <v>17.600000000000001</v>
      </c>
      <c r="R32">
        <v>8.1</v>
      </c>
      <c r="S32">
        <v>13.69</v>
      </c>
      <c r="T32">
        <v>-13.69</v>
      </c>
      <c r="U32">
        <v>0.71</v>
      </c>
      <c r="V32">
        <v>939.05</v>
      </c>
      <c r="W32">
        <v>242.13</v>
      </c>
      <c r="X32">
        <v>142.75</v>
      </c>
      <c r="Y32">
        <v>191.3</v>
      </c>
      <c r="Z32">
        <v>9.81</v>
      </c>
      <c r="AA32">
        <v>-0.15</v>
      </c>
      <c r="AB32">
        <v>8.09</v>
      </c>
      <c r="AC32">
        <v>-144.94</v>
      </c>
      <c r="AD32">
        <v>980</v>
      </c>
      <c r="AE32">
        <v>8765</v>
      </c>
      <c r="AF32">
        <v>108.62</v>
      </c>
      <c r="AG32">
        <v>0.88</v>
      </c>
      <c r="AH32">
        <v>-378.94</v>
      </c>
      <c r="AI32">
        <v>127.83</v>
      </c>
      <c r="AJ32">
        <v>60</v>
      </c>
      <c r="AK32">
        <v>9</v>
      </c>
      <c r="AL32">
        <v>9</v>
      </c>
      <c r="AM32">
        <v>0.35</v>
      </c>
      <c r="AN32">
        <v>588</v>
      </c>
      <c r="AO32">
        <v>591.19000000000005</v>
      </c>
      <c r="AP32">
        <v>481370.67</v>
      </c>
      <c r="AQ32">
        <v>338243.28</v>
      </c>
      <c r="AR32" t="s">
        <v>944</v>
      </c>
      <c r="AT32" s="6">
        <f t="shared" si="3"/>
        <v>8.1693715753424634</v>
      </c>
    </row>
    <row r="33" spans="1:46" x14ac:dyDescent="0.5500000000000000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0"/>
        <v>0</v>
      </c>
      <c r="L33">
        <f t="shared" si="1"/>
        <v>0</v>
      </c>
      <c r="M33">
        <f t="shared" si="2"/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 s="6">
        <f t="shared" si="3"/>
        <v>0</v>
      </c>
    </row>
    <row r="34" spans="1:46" x14ac:dyDescent="0.55000000000000004">
      <c r="A34">
        <v>0</v>
      </c>
      <c r="B34">
        <v>8.1</v>
      </c>
      <c r="C34">
        <v>540.97</v>
      </c>
      <c r="D34">
        <v>7.8</v>
      </c>
      <c r="E34" t="s">
        <v>2469</v>
      </c>
      <c r="F34" t="s">
        <v>2558</v>
      </c>
      <c r="G34" t="s">
        <v>2199</v>
      </c>
      <c r="H34" t="s">
        <v>2654</v>
      </c>
      <c r="I34">
        <v>0</v>
      </c>
      <c r="J34">
        <v>1947.2</v>
      </c>
      <c r="K34">
        <f t="shared" si="0"/>
        <v>84.92</v>
      </c>
      <c r="L34">
        <f t="shared" si="1"/>
        <v>51.95</v>
      </c>
      <c r="M34">
        <f t="shared" si="2"/>
        <v>32.97</v>
      </c>
      <c r="N34">
        <v>7.33</v>
      </c>
      <c r="O34">
        <v>0</v>
      </c>
      <c r="P34">
        <v>67</v>
      </c>
      <c r="Q34">
        <v>17.399999999999999</v>
      </c>
      <c r="R34">
        <v>8.1</v>
      </c>
      <c r="S34">
        <v>13.5</v>
      </c>
      <c r="T34">
        <v>-13.5</v>
      </c>
      <c r="U34">
        <v>0.28000000000000003</v>
      </c>
      <c r="V34">
        <v>346.22</v>
      </c>
      <c r="W34">
        <v>91.38</v>
      </c>
      <c r="X34">
        <v>61.82</v>
      </c>
      <c r="Y34">
        <v>70.36</v>
      </c>
      <c r="Z34">
        <v>8.99</v>
      </c>
      <c r="AA34">
        <v>-0.89</v>
      </c>
      <c r="AB34">
        <v>9.58</v>
      </c>
      <c r="AC34">
        <v>-149.88</v>
      </c>
      <c r="AD34">
        <v>980</v>
      </c>
      <c r="AE34">
        <v>8765</v>
      </c>
      <c r="AF34">
        <v>108.62</v>
      </c>
      <c r="AG34">
        <v>0.88</v>
      </c>
      <c r="AH34">
        <v>-150.41</v>
      </c>
      <c r="AI34">
        <v>71.91</v>
      </c>
      <c r="AJ34">
        <v>60</v>
      </c>
      <c r="AK34">
        <v>9</v>
      </c>
      <c r="AL34">
        <v>9</v>
      </c>
      <c r="AM34">
        <v>0.63</v>
      </c>
      <c r="AN34">
        <v>588</v>
      </c>
      <c r="AO34">
        <v>593.66999999999996</v>
      </c>
      <c r="AP34">
        <v>841339.47</v>
      </c>
      <c r="AQ34">
        <v>190517.28</v>
      </c>
      <c r="AR34" t="s">
        <v>946</v>
      </c>
      <c r="AT34" s="6">
        <f t="shared" si="3"/>
        <v>37.147385273972603</v>
      </c>
    </row>
    <row r="35" spans="1:46" x14ac:dyDescent="0.55000000000000004">
      <c r="A35">
        <v>0</v>
      </c>
      <c r="B35">
        <v>8.1</v>
      </c>
      <c r="C35">
        <v>1141.8399999999999</v>
      </c>
      <c r="D35">
        <v>7.8</v>
      </c>
      <c r="E35" t="s">
        <v>2470</v>
      </c>
      <c r="F35" t="s">
        <v>2566</v>
      </c>
      <c r="G35" t="s">
        <v>2199</v>
      </c>
      <c r="H35" t="s">
        <v>2655</v>
      </c>
      <c r="I35">
        <v>0</v>
      </c>
      <c r="J35">
        <v>2042.26</v>
      </c>
      <c r="K35">
        <f t="shared" si="0"/>
        <v>55.56</v>
      </c>
      <c r="L35">
        <f t="shared" si="1"/>
        <v>51</v>
      </c>
      <c r="M35">
        <f t="shared" si="2"/>
        <v>4.5600000000000023</v>
      </c>
      <c r="N35">
        <v>7.21</v>
      </c>
      <c r="O35">
        <v>0</v>
      </c>
      <c r="P35">
        <v>75</v>
      </c>
      <c r="Q35">
        <v>15.9</v>
      </c>
      <c r="R35">
        <v>8.1</v>
      </c>
      <c r="S35">
        <v>13.03</v>
      </c>
      <c r="T35">
        <v>-13.03</v>
      </c>
      <c r="U35">
        <v>0.56000000000000005</v>
      </c>
      <c r="V35">
        <v>730.78</v>
      </c>
      <c r="W35">
        <v>188.98</v>
      </c>
      <c r="X35">
        <v>113.5</v>
      </c>
      <c r="Y35">
        <v>148.83000000000001</v>
      </c>
      <c r="Z35">
        <v>6.54</v>
      </c>
      <c r="AA35">
        <v>-0.34</v>
      </c>
      <c r="AB35">
        <v>8.49</v>
      </c>
      <c r="AC35">
        <v>-164.41</v>
      </c>
      <c r="AD35">
        <v>980</v>
      </c>
      <c r="AE35">
        <v>8765</v>
      </c>
      <c r="AF35">
        <v>108.62</v>
      </c>
      <c r="AG35">
        <v>0.88</v>
      </c>
      <c r="AH35">
        <v>-246.37</v>
      </c>
      <c r="AI35">
        <v>79.900000000000006</v>
      </c>
      <c r="AJ35">
        <v>60</v>
      </c>
      <c r="AK35">
        <v>9</v>
      </c>
      <c r="AL35">
        <v>9</v>
      </c>
      <c r="AM35">
        <v>0.56999999999999995</v>
      </c>
      <c r="AN35">
        <v>588</v>
      </c>
      <c r="AO35">
        <v>593.1</v>
      </c>
      <c r="AP35">
        <v>519622.57</v>
      </c>
      <c r="AQ35">
        <v>224283.22</v>
      </c>
      <c r="AR35" t="s">
        <v>947</v>
      </c>
      <c r="AT35" s="6">
        <f t="shared" si="3"/>
        <v>16.857268835616438</v>
      </c>
    </row>
    <row r="36" spans="1:46" x14ac:dyDescent="0.5500000000000000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 t="shared" si="0"/>
        <v>0</v>
      </c>
      <c r="L36">
        <f t="shared" si="1"/>
        <v>0</v>
      </c>
      <c r="M36">
        <f t="shared" si="2"/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T36" s="6">
        <f t="shared" si="3"/>
        <v>0</v>
      </c>
    </row>
    <row r="37" spans="1:46" x14ac:dyDescent="0.55000000000000004">
      <c r="A37">
        <v>0</v>
      </c>
      <c r="B37">
        <v>8.1</v>
      </c>
      <c r="C37">
        <v>2338.4699999999998</v>
      </c>
      <c r="D37">
        <v>7.8</v>
      </c>
      <c r="E37" t="s">
        <v>2471</v>
      </c>
      <c r="F37" t="s">
        <v>2567</v>
      </c>
      <c r="G37" t="s">
        <v>2199</v>
      </c>
      <c r="H37" t="s">
        <v>2656</v>
      </c>
      <c r="I37">
        <v>0</v>
      </c>
      <c r="J37">
        <v>2073.4</v>
      </c>
      <c r="K37">
        <f t="shared" si="0"/>
        <v>48.129999999999995</v>
      </c>
      <c r="L37">
        <f t="shared" si="1"/>
        <v>49.589999999999996</v>
      </c>
      <c r="M37">
        <f t="shared" si="2"/>
        <v>-1.4600000000000009</v>
      </c>
      <c r="N37">
        <v>7.17</v>
      </c>
      <c r="O37">
        <v>0</v>
      </c>
      <c r="P37">
        <v>61</v>
      </c>
      <c r="Q37">
        <v>18.2</v>
      </c>
      <c r="R37">
        <v>8.1</v>
      </c>
      <c r="S37">
        <v>13.51</v>
      </c>
      <c r="T37">
        <v>-13.51</v>
      </c>
      <c r="U37">
        <v>1.1299999999999999</v>
      </c>
      <c r="V37">
        <v>1496.62</v>
      </c>
      <c r="W37">
        <v>384.5</v>
      </c>
      <c r="X37">
        <v>221.45</v>
      </c>
      <c r="Y37">
        <v>305</v>
      </c>
      <c r="Z37">
        <v>6.79</v>
      </c>
      <c r="AA37">
        <v>0.23</v>
      </c>
      <c r="AB37">
        <v>7.35</v>
      </c>
      <c r="AC37">
        <v>-149.6</v>
      </c>
      <c r="AD37">
        <v>980</v>
      </c>
      <c r="AE37">
        <v>8765</v>
      </c>
      <c r="AF37">
        <v>108.62</v>
      </c>
      <c r="AG37">
        <v>0.88</v>
      </c>
      <c r="AH37">
        <v>849.68</v>
      </c>
      <c r="AI37">
        <v>95.88</v>
      </c>
      <c r="AJ37">
        <v>60</v>
      </c>
      <c r="AK37">
        <v>9</v>
      </c>
      <c r="AL37">
        <v>9</v>
      </c>
      <c r="AM37">
        <v>0.47</v>
      </c>
      <c r="AN37">
        <v>588</v>
      </c>
      <c r="AO37">
        <v>592.25</v>
      </c>
      <c r="AP37">
        <v>438675.86</v>
      </c>
      <c r="AQ37">
        <v>274932.14</v>
      </c>
      <c r="AR37" t="s">
        <v>949</v>
      </c>
      <c r="AT37" s="6">
        <f t="shared" si="3"/>
        <v>9.3461027397260263</v>
      </c>
    </row>
    <row r="38" spans="1:46" x14ac:dyDescent="0.5500000000000000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0"/>
        <v>0</v>
      </c>
      <c r="L38">
        <f t="shared" si="1"/>
        <v>0</v>
      </c>
      <c r="M38">
        <f t="shared" si="2"/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T38" s="6">
        <f t="shared" si="3"/>
        <v>0</v>
      </c>
    </row>
    <row r="39" spans="1:46" x14ac:dyDescent="0.5500000000000000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f t="shared" si="0"/>
        <v>0</v>
      </c>
      <c r="L39">
        <f t="shared" si="1"/>
        <v>0</v>
      </c>
      <c r="M39">
        <f t="shared" si="2"/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T39" s="6">
        <f t="shared" si="3"/>
        <v>0</v>
      </c>
    </row>
    <row r="40" spans="1:46" x14ac:dyDescent="0.55000000000000004">
      <c r="A40">
        <v>0</v>
      </c>
      <c r="B40">
        <v>8.1</v>
      </c>
      <c r="C40">
        <v>645.86</v>
      </c>
      <c r="D40">
        <v>7.8</v>
      </c>
      <c r="E40" t="s">
        <v>2472</v>
      </c>
      <c r="F40" t="s">
        <v>2568</v>
      </c>
      <c r="G40" t="s">
        <v>2199</v>
      </c>
      <c r="H40" t="s">
        <v>2657</v>
      </c>
      <c r="I40">
        <v>0</v>
      </c>
      <c r="J40">
        <v>1982.68</v>
      </c>
      <c r="K40">
        <f t="shared" si="0"/>
        <v>72.400000000000006</v>
      </c>
      <c r="L40">
        <f t="shared" si="1"/>
        <v>51</v>
      </c>
      <c r="M40">
        <f t="shared" si="2"/>
        <v>21.400000000000006</v>
      </c>
      <c r="N40">
        <v>7.28</v>
      </c>
      <c r="O40">
        <v>0</v>
      </c>
      <c r="P40">
        <v>75</v>
      </c>
      <c r="Q40">
        <v>15.9</v>
      </c>
      <c r="R40">
        <v>8.1</v>
      </c>
      <c r="S40">
        <v>13.03</v>
      </c>
      <c r="T40">
        <v>-13.03</v>
      </c>
      <c r="U40">
        <v>0.33</v>
      </c>
      <c r="V40">
        <v>413.35</v>
      </c>
      <c r="W40">
        <v>108.24</v>
      </c>
      <c r="X40">
        <v>70.09</v>
      </c>
      <c r="Y40">
        <v>84.07</v>
      </c>
      <c r="Z40">
        <v>8.52</v>
      </c>
      <c r="AA40">
        <v>-0.77</v>
      </c>
      <c r="AB40">
        <v>9.34</v>
      </c>
      <c r="AC40">
        <v>-164.41</v>
      </c>
      <c r="AD40">
        <v>980</v>
      </c>
      <c r="AE40">
        <v>8765</v>
      </c>
      <c r="AF40">
        <v>108.62</v>
      </c>
      <c r="AG40">
        <v>0.88</v>
      </c>
      <c r="AH40">
        <v>-161.1</v>
      </c>
      <c r="AI40">
        <v>79.900000000000006</v>
      </c>
      <c r="AJ40">
        <v>60</v>
      </c>
      <c r="AK40">
        <v>9</v>
      </c>
      <c r="AL40">
        <v>9</v>
      </c>
      <c r="AM40">
        <v>0.56999999999999995</v>
      </c>
      <c r="AN40">
        <v>588</v>
      </c>
      <c r="AO40">
        <v>593.1</v>
      </c>
      <c r="AP40">
        <v>704317.5</v>
      </c>
      <c r="AQ40">
        <v>224283.22</v>
      </c>
      <c r="AR40" t="s">
        <v>952</v>
      </c>
      <c r="AT40" s="6">
        <f t="shared" si="3"/>
        <v>27.399216894977169</v>
      </c>
    </row>
    <row r="41" spans="1:46" x14ac:dyDescent="0.5500000000000000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0"/>
        <v>0</v>
      </c>
      <c r="L41">
        <f t="shared" si="1"/>
        <v>0</v>
      </c>
      <c r="M41">
        <f t="shared" si="2"/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T41" s="6">
        <f t="shared" si="3"/>
        <v>0</v>
      </c>
    </row>
    <row r="42" spans="1:46" x14ac:dyDescent="0.5500000000000000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0"/>
        <v>0</v>
      </c>
      <c r="L42">
        <f t="shared" si="1"/>
        <v>0</v>
      </c>
      <c r="M42">
        <f t="shared" si="2"/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T42" s="6">
        <f t="shared" si="3"/>
        <v>0</v>
      </c>
    </row>
    <row r="43" spans="1:46" x14ac:dyDescent="0.5500000000000000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0"/>
        <v>0</v>
      </c>
      <c r="L43">
        <f t="shared" si="1"/>
        <v>0</v>
      </c>
      <c r="M43">
        <f t="shared" si="2"/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T43" s="6">
        <f t="shared" si="3"/>
        <v>0</v>
      </c>
    </row>
    <row r="44" spans="1:46" x14ac:dyDescent="0.55000000000000004">
      <c r="A44">
        <v>0</v>
      </c>
      <c r="B44">
        <v>8.1</v>
      </c>
      <c r="C44">
        <v>571.36</v>
      </c>
      <c r="D44">
        <v>7.8</v>
      </c>
      <c r="E44" t="s">
        <v>2473</v>
      </c>
      <c r="F44" t="s">
        <v>2569</v>
      </c>
      <c r="G44" t="s">
        <v>2199</v>
      </c>
      <c r="H44" t="s">
        <v>2658</v>
      </c>
      <c r="I44">
        <v>0</v>
      </c>
      <c r="J44">
        <v>1847.78</v>
      </c>
      <c r="K44">
        <f t="shared" si="0"/>
        <v>80.2</v>
      </c>
      <c r="L44">
        <f t="shared" si="1"/>
        <v>51.95</v>
      </c>
      <c r="M44">
        <f t="shared" si="2"/>
        <v>28.25</v>
      </c>
      <c r="N44">
        <v>7.2</v>
      </c>
      <c r="O44">
        <v>0</v>
      </c>
      <c r="P44">
        <v>55</v>
      </c>
      <c r="Q44">
        <v>18.8</v>
      </c>
      <c r="R44">
        <v>8.1</v>
      </c>
      <c r="S44">
        <v>13.31</v>
      </c>
      <c r="T44">
        <v>-13.31</v>
      </c>
      <c r="U44">
        <v>0.31</v>
      </c>
      <c r="V44">
        <v>365.67</v>
      </c>
      <c r="W44">
        <v>95.54</v>
      </c>
      <c r="X44">
        <v>61.32</v>
      </c>
      <c r="Y44">
        <v>74.349999999999994</v>
      </c>
      <c r="Z44">
        <v>8.49</v>
      </c>
      <c r="AA44">
        <v>-0.88</v>
      </c>
      <c r="AB44">
        <v>9.5500000000000007</v>
      </c>
      <c r="AC44">
        <v>-155.62</v>
      </c>
      <c r="AD44">
        <v>980</v>
      </c>
      <c r="AE44">
        <v>8765</v>
      </c>
      <c r="AF44">
        <v>108.62</v>
      </c>
      <c r="AG44">
        <v>0.88</v>
      </c>
      <c r="AH44">
        <v>-157.25</v>
      </c>
      <c r="AI44">
        <v>71.91</v>
      </c>
      <c r="AJ44">
        <v>60</v>
      </c>
      <c r="AK44">
        <v>9</v>
      </c>
      <c r="AL44">
        <v>9</v>
      </c>
      <c r="AM44">
        <v>0.63</v>
      </c>
      <c r="AN44">
        <v>588</v>
      </c>
      <c r="AO44">
        <v>593.66999999999996</v>
      </c>
      <c r="AP44">
        <v>914521.59999999998</v>
      </c>
      <c r="AQ44">
        <v>190517.28</v>
      </c>
      <c r="AR44" t="s">
        <v>956</v>
      </c>
      <c r="AT44" s="6">
        <f t="shared" si="3"/>
        <v>41.324447488584475</v>
      </c>
    </row>
    <row r="45" spans="1:46" x14ac:dyDescent="0.5500000000000000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0"/>
        <v>0</v>
      </c>
      <c r="L45">
        <f t="shared" si="1"/>
        <v>0</v>
      </c>
      <c r="M45">
        <f t="shared" si="2"/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T45" s="6">
        <f t="shared" si="3"/>
        <v>0</v>
      </c>
    </row>
    <row r="46" spans="1:46" x14ac:dyDescent="0.5500000000000000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0"/>
        <v>0</v>
      </c>
      <c r="L46">
        <f t="shared" si="1"/>
        <v>0</v>
      </c>
      <c r="M46">
        <f t="shared" si="2"/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T46" s="6">
        <f t="shared" si="3"/>
        <v>0</v>
      </c>
    </row>
    <row r="47" spans="1:46" x14ac:dyDescent="0.55000000000000004">
      <c r="A47">
        <v>0</v>
      </c>
      <c r="B47">
        <v>8.1</v>
      </c>
      <c r="C47">
        <v>617.54</v>
      </c>
      <c r="D47">
        <v>7.8</v>
      </c>
      <c r="E47" t="s">
        <v>2474</v>
      </c>
      <c r="F47" t="s">
        <v>2570</v>
      </c>
      <c r="G47" t="s">
        <v>2199</v>
      </c>
      <c r="H47" t="s">
        <v>2659</v>
      </c>
      <c r="I47">
        <v>0</v>
      </c>
      <c r="J47">
        <v>1866.67</v>
      </c>
      <c r="K47">
        <f t="shared" si="0"/>
        <v>74.91</v>
      </c>
      <c r="L47">
        <f t="shared" si="1"/>
        <v>49.589999999999996</v>
      </c>
      <c r="M47">
        <f t="shared" si="2"/>
        <v>25.32</v>
      </c>
      <c r="N47">
        <v>7.19</v>
      </c>
      <c r="O47">
        <v>0</v>
      </c>
      <c r="P47">
        <v>70</v>
      </c>
      <c r="Q47">
        <v>16.100000000000001</v>
      </c>
      <c r="R47">
        <v>8.1</v>
      </c>
      <c r="S47">
        <v>12.65</v>
      </c>
      <c r="T47">
        <v>-12.65</v>
      </c>
      <c r="U47">
        <v>0.33</v>
      </c>
      <c r="V47">
        <v>395.23</v>
      </c>
      <c r="W47">
        <v>102.92</v>
      </c>
      <c r="X47">
        <v>64.8</v>
      </c>
      <c r="Y47">
        <v>80.39</v>
      </c>
      <c r="Z47">
        <v>10.58</v>
      </c>
      <c r="AA47">
        <v>-0.82</v>
      </c>
      <c r="AB47">
        <v>9.4499999999999993</v>
      </c>
      <c r="AC47">
        <v>-178.14</v>
      </c>
      <c r="AD47">
        <v>980</v>
      </c>
      <c r="AE47">
        <v>8765</v>
      </c>
      <c r="AF47">
        <v>108.62</v>
      </c>
      <c r="AG47">
        <v>0.88</v>
      </c>
      <c r="AH47">
        <v>-162.33000000000001</v>
      </c>
      <c r="AI47">
        <v>95.88</v>
      </c>
      <c r="AJ47">
        <v>60</v>
      </c>
      <c r="AK47">
        <v>9</v>
      </c>
      <c r="AL47">
        <v>9</v>
      </c>
      <c r="AM47">
        <v>0.47</v>
      </c>
      <c r="AN47">
        <v>588</v>
      </c>
      <c r="AO47">
        <v>592.25</v>
      </c>
      <c r="AP47">
        <v>848197.77</v>
      </c>
      <c r="AQ47">
        <v>274932.14</v>
      </c>
      <c r="AR47" t="s">
        <v>959</v>
      </c>
      <c r="AT47" s="6">
        <f t="shared" si="3"/>
        <v>32.720640981735158</v>
      </c>
    </row>
    <row r="48" spans="1:46" x14ac:dyDescent="0.55000000000000004">
      <c r="A48">
        <v>0</v>
      </c>
      <c r="B48">
        <v>8.1</v>
      </c>
      <c r="C48">
        <v>1263.47</v>
      </c>
      <c r="D48">
        <v>7.8</v>
      </c>
      <c r="E48" t="s">
        <v>2475</v>
      </c>
      <c r="F48" t="s">
        <v>2571</v>
      </c>
      <c r="G48" t="s">
        <v>2199</v>
      </c>
      <c r="H48" t="s">
        <v>2660</v>
      </c>
      <c r="I48">
        <v>0</v>
      </c>
      <c r="J48">
        <v>1908.18</v>
      </c>
      <c r="K48">
        <f t="shared" si="0"/>
        <v>54.01</v>
      </c>
      <c r="L48">
        <f t="shared" si="1"/>
        <v>51.95</v>
      </c>
      <c r="M48">
        <f t="shared" si="2"/>
        <v>2.0599999999999952</v>
      </c>
      <c r="N48">
        <v>7.07</v>
      </c>
      <c r="O48">
        <v>0</v>
      </c>
      <c r="P48">
        <v>58</v>
      </c>
      <c r="Q48">
        <v>18.600000000000001</v>
      </c>
      <c r="R48">
        <v>8.1</v>
      </c>
      <c r="S48">
        <v>13.5</v>
      </c>
      <c r="T48">
        <v>-13.5</v>
      </c>
      <c r="U48">
        <v>0.66</v>
      </c>
      <c r="V48">
        <v>808.62</v>
      </c>
      <c r="W48">
        <v>206.66</v>
      </c>
      <c r="X48">
        <v>115.64</v>
      </c>
      <c r="Y48">
        <v>164.76</v>
      </c>
      <c r="Z48">
        <v>5.72</v>
      </c>
      <c r="AA48">
        <v>-0.3</v>
      </c>
      <c r="AB48">
        <v>8.4</v>
      </c>
      <c r="AC48">
        <v>-149.9</v>
      </c>
      <c r="AD48">
        <v>980</v>
      </c>
      <c r="AE48">
        <v>8765</v>
      </c>
      <c r="AF48">
        <v>108.62</v>
      </c>
      <c r="AG48">
        <v>0.88</v>
      </c>
      <c r="AH48">
        <v>-321.5</v>
      </c>
      <c r="AI48">
        <v>71.91</v>
      </c>
      <c r="AJ48">
        <v>60</v>
      </c>
      <c r="AK48">
        <v>9</v>
      </c>
      <c r="AL48">
        <v>9</v>
      </c>
      <c r="AM48">
        <v>0.63</v>
      </c>
      <c r="AN48">
        <v>588</v>
      </c>
      <c r="AO48">
        <v>593.66999999999996</v>
      </c>
      <c r="AP48">
        <v>631129.31999999995</v>
      </c>
      <c r="AQ48">
        <v>190517.28</v>
      </c>
      <c r="AR48" t="s">
        <v>960</v>
      </c>
      <c r="AT48" s="6">
        <f t="shared" si="3"/>
        <v>25.149089041095888</v>
      </c>
    </row>
    <row r="49" spans="1:46" x14ac:dyDescent="0.5500000000000000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0"/>
        <v>0</v>
      </c>
      <c r="L49">
        <f t="shared" si="1"/>
        <v>0</v>
      </c>
      <c r="M49">
        <f t="shared" si="2"/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T49" s="6">
        <f t="shared" si="3"/>
        <v>0</v>
      </c>
    </row>
    <row r="50" spans="1:46" x14ac:dyDescent="0.5500000000000000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0"/>
        <v>0</v>
      </c>
      <c r="L50">
        <f t="shared" si="1"/>
        <v>0</v>
      </c>
      <c r="M50">
        <f t="shared" si="2"/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T50" s="6">
        <f t="shared" si="3"/>
        <v>0</v>
      </c>
    </row>
    <row r="51" spans="1:46" x14ac:dyDescent="0.55000000000000004">
      <c r="A51">
        <v>0</v>
      </c>
      <c r="B51">
        <v>8.1</v>
      </c>
      <c r="C51">
        <v>887.15</v>
      </c>
      <c r="D51">
        <v>7.8</v>
      </c>
      <c r="E51" t="s">
        <v>2476</v>
      </c>
      <c r="F51" t="s">
        <v>2572</v>
      </c>
      <c r="G51" t="s">
        <v>2199</v>
      </c>
      <c r="H51" t="s">
        <v>2661</v>
      </c>
      <c r="I51">
        <v>0</v>
      </c>
      <c r="J51">
        <v>2012.34</v>
      </c>
      <c r="K51">
        <f t="shared" si="0"/>
        <v>60.78</v>
      </c>
      <c r="L51">
        <f t="shared" si="1"/>
        <v>48.58</v>
      </c>
      <c r="M51">
        <f t="shared" si="2"/>
        <v>12.200000000000003</v>
      </c>
      <c r="N51">
        <v>7.23</v>
      </c>
      <c r="O51">
        <v>0</v>
      </c>
      <c r="P51">
        <v>64</v>
      </c>
      <c r="Q51">
        <v>17.8</v>
      </c>
      <c r="R51">
        <v>8.1</v>
      </c>
      <c r="S51">
        <v>13.51</v>
      </c>
      <c r="T51">
        <v>-13.51</v>
      </c>
      <c r="U51">
        <v>0.44</v>
      </c>
      <c r="V51">
        <v>567.78</v>
      </c>
      <c r="W51">
        <v>147.34</v>
      </c>
      <c r="X51">
        <v>90.48</v>
      </c>
      <c r="Y51">
        <v>115.59</v>
      </c>
      <c r="Z51">
        <v>10.01</v>
      </c>
      <c r="AA51">
        <v>-0.54</v>
      </c>
      <c r="AB51">
        <v>8.8800000000000008</v>
      </c>
      <c r="AC51">
        <v>-149.61000000000001</v>
      </c>
      <c r="AD51">
        <v>980</v>
      </c>
      <c r="AE51">
        <v>8765</v>
      </c>
      <c r="AF51">
        <v>108.62</v>
      </c>
      <c r="AG51">
        <v>0.88</v>
      </c>
      <c r="AH51">
        <v>-194.27</v>
      </c>
      <c r="AI51">
        <v>111.86</v>
      </c>
      <c r="AJ51">
        <v>60</v>
      </c>
      <c r="AK51">
        <v>9</v>
      </c>
      <c r="AL51">
        <v>9</v>
      </c>
      <c r="AM51">
        <v>0.4</v>
      </c>
      <c r="AN51">
        <v>588</v>
      </c>
      <c r="AO51">
        <v>591.64</v>
      </c>
      <c r="AP51">
        <v>586313.87</v>
      </c>
      <c r="AQ51">
        <v>311109.93</v>
      </c>
      <c r="AR51" t="s">
        <v>963</v>
      </c>
      <c r="AT51" s="6">
        <f t="shared" si="3"/>
        <v>15.707987442922375</v>
      </c>
    </row>
    <row r="52" spans="1:46" x14ac:dyDescent="0.55000000000000004">
      <c r="A52">
        <v>0</v>
      </c>
      <c r="B52">
        <v>8.1</v>
      </c>
      <c r="C52">
        <v>502.7</v>
      </c>
      <c r="D52">
        <v>7.8</v>
      </c>
      <c r="E52" t="s">
        <v>2477</v>
      </c>
      <c r="F52" t="s">
        <v>2573</v>
      </c>
      <c r="G52" t="s">
        <v>2199</v>
      </c>
      <c r="H52" t="s">
        <v>2662</v>
      </c>
      <c r="I52">
        <v>0</v>
      </c>
      <c r="J52">
        <v>1823.38</v>
      </c>
      <c r="K52">
        <f t="shared" si="0"/>
        <v>93.4</v>
      </c>
      <c r="L52">
        <f t="shared" si="1"/>
        <v>51.95</v>
      </c>
      <c r="M52">
        <f t="shared" si="2"/>
        <v>41.45</v>
      </c>
      <c r="N52">
        <v>7.25</v>
      </c>
      <c r="O52">
        <v>0</v>
      </c>
      <c r="P52">
        <v>56</v>
      </c>
      <c r="Q52">
        <v>18.600000000000001</v>
      </c>
      <c r="R52">
        <v>8.1</v>
      </c>
      <c r="S52">
        <v>13.25</v>
      </c>
      <c r="T52">
        <v>-13.25</v>
      </c>
      <c r="U52">
        <v>0.28000000000000003</v>
      </c>
      <c r="V52">
        <v>321.73</v>
      </c>
      <c r="W52">
        <v>84.78</v>
      </c>
      <c r="X52">
        <v>57.08</v>
      </c>
      <c r="Y52">
        <v>65.36</v>
      </c>
      <c r="Z52">
        <v>9.89</v>
      </c>
      <c r="AA52">
        <v>-0.95</v>
      </c>
      <c r="AB52">
        <v>9.7100000000000009</v>
      </c>
      <c r="AC52">
        <v>-157.15</v>
      </c>
      <c r="AD52">
        <v>980</v>
      </c>
      <c r="AE52">
        <v>8765</v>
      </c>
      <c r="AF52">
        <v>108.62</v>
      </c>
      <c r="AG52">
        <v>0.88</v>
      </c>
      <c r="AH52">
        <v>-149.97</v>
      </c>
      <c r="AI52">
        <v>71.91</v>
      </c>
      <c r="AJ52">
        <v>60</v>
      </c>
      <c r="AK52">
        <v>9</v>
      </c>
      <c r="AL52">
        <v>9</v>
      </c>
      <c r="AM52">
        <v>0.63</v>
      </c>
      <c r="AN52">
        <v>588</v>
      </c>
      <c r="AO52">
        <v>593.66999999999996</v>
      </c>
      <c r="AP52">
        <v>1059141.21</v>
      </c>
      <c r="AQ52">
        <v>190517.28</v>
      </c>
      <c r="AR52" t="s">
        <v>964</v>
      </c>
      <c r="AT52" s="6">
        <f t="shared" si="3"/>
        <v>49.578991438356162</v>
      </c>
    </row>
    <row r="53" spans="1:46" x14ac:dyDescent="0.55000000000000004">
      <c r="A53">
        <v>0</v>
      </c>
      <c r="B53">
        <v>8.1</v>
      </c>
      <c r="C53">
        <v>518.6</v>
      </c>
      <c r="D53">
        <v>7.8</v>
      </c>
      <c r="E53" t="s">
        <v>2478</v>
      </c>
      <c r="F53" t="s">
        <v>2574</v>
      </c>
      <c r="G53" t="s">
        <v>2199</v>
      </c>
      <c r="H53" t="s">
        <v>2663</v>
      </c>
      <c r="I53">
        <v>0</v>
      </c>
      <c r="J53">
        <v>1836.39</v>
      </c>
      <c r="K53">
        <f t="shared" si="0"/>
        <v>89.41</v>
      </c>
      <c r="L53">
        <f t="shared" si="1"/>
        <v>51.95</v>
      </c>
      <c r="M53">
        <f t="shared" si="2"/>
        <v>37.459999999999994</v>
      </c>
      <c r="N53">
        <v>7.24</v>
      </c>
      <c r="O53">
        <v>0</v>
      </c>
      <c r="P53">
        <v>70</v>
      </c>
      <c r="Q53">
        <v>16.2</v>
      </c>
      <c r="R53">
        <v>8.1</v>
      </c>
      <c r="S53">
        <v>12.74</v>
      </c>
      <c r="T53">
        <v>-12.74</v>
      </c>
      <c r="U53">
        <v>0.28000000000000003</v>
      </c>
      <c r="V53">
        <v>331.9</v>
      </c>
      <c r="W53">
        <v>87.28</v>
      </c>
      <c r="X53">
        <v>58.1</v>
      </c>
      <c r="Y53">
        <v>67.45</v>
      </c>
      <c r="Z53">
        <v>9.4700000000000006</v>
      </c>
      <c r="AA53">
        <v>-0.93</v>
      </c>
      <c r="AB53">
        <v>9.67</v>
      </c>
      <c r="AC53">
        <v>-174.56</v>
      </c>
      <c r="AD53">
        <v>980</v>
      </c>
      <c r="AE53">
        <v>8765</v>
      </c>
      <c r="AF53">
        <v>108.62</v>
      </c>
      <c r="AG53">
        <v>0.88</v>
      </c>
      <c r="AH53">
        <v>-151.37</v>
      </c>
      <c r="AI53">
        <v>71.91</v>
      </c>
      <c r="AJ53">
        <v>60</v>
      </c>
      <c r="AK53">
        <v>9</v>
      </c>
      <c r="AL53">
        <v>9</v>
      </c>
      <c r="AM53">
        <v>0.63</v>
      </c>
      <c r="AN53">
        <v>588</v>
      </c>
      <c r="AO53">
        <v>593.66999999999996</v>
      </c>
      <c r="AP53">
        <v>1008238.63</v>
      </c>
      <c r="AQ53">
        <v>190517.28</v>
      </c>
      <c r="AR53" t="s">
        <v>965</v>
      </c>
      <c r="AT53" s="6">
        <f t="shared" si="3"/>
        <v>46.673593036529681</v>
      </c>
    </row>
    <row r="54" spans="1:46" x14ac:dyDescent="0.5500000000000000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0"/>
        <v>0</v>
      </c>
      <c r="L54">
        <f t="shared" si="1"/>
        <v>0</v>
      </c>
      <c r="M54">
        <f t="shared" si="2"/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T54" s="6">
        <f t="shared" si="3"/>
        <v>0</v>
      </c>
    </row>
    <row r="55" spans="1:46" x14ac:dyDescent="0.55000000000000004">
      <c r="A55">
        <v>0</v>
      </c>
      <c r="B55">
        <v>8.1</v>
      </c>
      <c r="C55">
        <v>1276.78</v>
      </c>
      <c r="D55">
        <v>7.8</v>
      </c>
      <c r="E55" t="s">
        <v>2479</v>
      </c>
      <c r="F55" t="s">
        <v>2575</v>
      </c>
      <c r="G55" t="s">
        <v>2199</v>
      </c>
      <c r="H55" t="s">
        <v>2664</v>
      </c>
      <c r="I55">
        <v>0</v>
      </c>
      <c r="J55">
        <v>1926.07</v>
      </c>
      <c r="K55">
        <f t="shared" si="0"/>
        <v>53.86</v>
      </c>
      <c r="L55">
        <f t="shared" si="1"/>
        <v>50.23</v>
      </c>
      <c r="M55">
        <f t="shared" si="2"/>
        <v>3.6300000000000026</v>
      </c>
      <c r="N55">
        <v>7.08</v>
      </c>
      <c r="O55">
        <v>0</v>
      </c>
      <c r="P55">
        <v>72</v>
      </c>
      <c r="Q55">
        <v>15.8</v>
      </c>
      <c r="R55">
        <v>8.1</v>
      </c>
      <c r="S55">
        <v>12.59</v>
      </c>
      <c r="T55">
        <v>-12.59</v>
      </c>
      <c r="U55">
        <v>0.66</v>
      </c>
      <c r="V55">
        <v>817.14</v>
      </c>
      <c r="W55">
        <v>209.1</v>
      </c>
      <c r="X55">
        <v>117.9</v>
      </c>
      <c r="Y55">
        <v>166.49</v>
      </c>
      <c r="Z55">
        <v>6.97</v>
      </c>
      <c r="AA55">
        <v>-0.28999999999999998</v>
      </c>
      <c r="AB55">
        <v>8.3699999999999992</v>
      </c>
      <c r="AC55">
        <v>-180.27</v>
      </c>
      <c r="AD55">
        <v>980</v>
      </c>
      <c r="AE55">
        <v>8765</v>
      </c>
      <c r="AF55">
        <v>108.62</v>
      </c>
      <c r="AG55">
        <v>0.88</v>
      </c>
      <c r="AH55">
        <v>-322.23</v>
      </c>
      <c r="AI55">
        <v>87.89</v>
      </c>
      <c r="AJ55">
        <v>60</v>
      </c>
      <c r="AK55">
        <v>9</v>
      </c>
      <c r="AL55">
        <v>9</v>
      </c>
      <c r="AM55">
        <v>0.52</v>
      </c>
      <c r="AN55">
        <v>588</v>
      </c>
      <c r="AO55">
        <v>592.64</v>
      </c>
      <c r="AP55">
        <v>613553.9</v>
      </c>
      <c r="AQ55">
        <v>251909.9</v>
      </c>
      <c r="AR55" t="s">
        <v>967</v>
      </c>
      <c r="AT55" s="6">
        <f t="shared" si="3"/>
        <v>20.641780821917809</v>
      </c>
    </row>
    <row r="56" spans="1:46" x14ac:dyDescent="0.55000000000000004">
      <c r="A56">
        <v>0</v>
      </c>
      <c r="B56">
        <v>8.1</v>
      </c>
      <c r="C56">
        <v>521.33000000000004</v>
      </c>
      <c r="D56">
        <v>7.8</v>
      </c>
      <c r="E56" t="s">
        <v>2480</v>
      </c>
      <c r="F56" t="s">
        <v>2576</v>
      </c>
      <c r="G56" t="s">
        <v>2199</v>
      </c>
      <c r="H56" t="s">
        <v>2665</v>
      </c>
      <c r="I56">
        <v>0</v>
      </c>
      <c r="J56">
        <v>1882.95</v>
      </c>
      <c r="K56">
        <f t="shared" si="0"/>
        <v>88.800000000000011</v>
      </c>
      <c r="L56">
        <f t="shared" si="1"/>
        <v>51.95</v>
      </c>
      <c r="M56">
        <f t="shared" si="2"/>
        <v>36.850000000000009</v>
      </c>
      <c r="N56">
        <v>7.29</v>
      </c>
      <c r="O56">
        <v>0</v>
      </c>
      <c r="P56">
        <v>60</v>
      </c>
      <c r="Q56">
        <v>18.100000000000001</v>
      </c>
      <c r="R56">
        <v>8.1</v>
      </c>
      <c r="S56">
        <v>13.3</v>
      </c>
      <c r="T56">
        <v>-13.3</v>
      </c>
      <c r="U56">
        <v>0.28000000000000003</v>
      </c>
      <c r="V56">
        <v>333.65</v>
      </c>
      <c r="W56">
        <v>87.96</v>
      </c>
      <c r="X56">
        <v>59.28</v>
      </c>
      <c r="Y56">
        <v>67.8</v>
      </c>
      <c r="Z56">
        <v>9.4</v>
      </c>
      <c r="AA56">
        <v>-0.92</v>
      </c>
      <c r="AB56">
        <v>9.65</v>
      </c>
      <c r="AC56">
        <v>-155.69999999999999</v>
      </c>
      <c r="AD56">
        <v>980</v>
      </c>
      <c r="AE56">
        <v>8765</v>
      </c>
      <c r="AF56">
        <v>108.62</v>
      </c>
      <c r="AG56">
        <v>0.88</v>
      </c>
      <c r="AH56">
        <v>-150.21</v>
      </c>
      <c r="AI56">
        <v>71.91</v>
      </c>
      <c r="AJ56">
        <v>60</v>
      </c>
      <c r="AK56">
        <v>9</v>
      </c>
      <c r="AL56">
        <v>9</v>
      </c>
      <c r="AM56">
        <v>0.63</v>
      </c>
      <c r="AN56">
        <v>588</v>
      </c>
      <c r="AO56">
        <v>593.66999999999996</v>
      </c>
      <c r="AP56">
        <v>947987.06</v>
      </c>
      <c r="AQ56">
        <v>190517.28</v>
      </c>
      <c r="AR56" t="s">
        <v>968</v>
      </c>
      <c r="AT56" s="6">
        <f t="shared" si="3"/>
        <v>43.23457648401827</v>
      </c>
    </row>
    <row r="57" spans="1:46" x14ac:dyDescent="0.55000000000000004">
      <c r="A57">
        <v>0</v>
      </c>
      <c r="B57">
        <v>8.1</v>
      </c>
      <c r="C57">
        <v>938.3</v>
      </c>
      <c r="D57">
        <v>7.8</v>
      </c>
      <c r="E57" t="s">
        <v>2481</v>
      </c>
      <c r="F57" t="s">
        <v>2577</v>
      </c>
      <c r="G57" t="s">
        <v>2199</v>
      </c>
      <c r="H57" t="s">
        <v>2666</v>
      </c>
      <c r="I57">
        <v>0</v>
      </c>
      <c r="J57">
        <v>1900.76</v>
      </c>
      <c r="K57">
        <f t="shared" si="0"/>
        <v>59.41</v>
      </c>
      <c r="L57">
        <f t="shared" si="1"/>
        <v>50.23</v>
      </c>
      <c r="M57">
        <f t="shared" si="2"/>
        <v>9.18</v>
      </c>
      <c r="N57">
        <v>7.1</v>
      </c>
      <c r="O57">
        <v>0</v>
      </c>
      <c r="P57">
        <v>69</v>
      </c>
      <c r="Q57">
        <v>16.3</v>
      </c>
      <c r="R57">
        <v>8.1</v>
      </c>
      <c r="S57">
        <v>12.72</v>
      </c>
      <c r="T57">
        <v>-12.72</v>
      </c>
      <c r="U57">
        <v>0.49</v>
      </c>
      <c r="V57">
        <v>600.51</v>
      </c>
      <c r="W57">
        <v>154.36000000000001</v>
      </c>
      <c r="X57">
        <v>89.7</v>
      </c>
      <c r="Y57">
        <v>122.3</v>
      </c>
      <c r="Z57">
        <v>7.69</v>
      </c>
      <c r="AA57">
        <v>-0.52</v>
      </c>
      <c r="AB57">
        <v>8.85</v>
      </c>
      <c r="AC57">
        <v>-175.37</v>
      </c>
      <c r="AD57">
        <v>980</v>
      </c>
      <c r="AE57">
        <v>8765</v>
      </c>
      <c r="AF57">
        <v>108.62</v>
      </c>
      <c r="AG57">
        <v>0.88</v>
      </c>
      <c r="AH57">
        <v>-214.52</v>
      </c>
      <c r="AI57">
        <v>87.89</v>
      </c>
      <c r="AJ57">
        <v>60</v>
      </c>
      <c r="AK57">
        <v>9</v>
      </c>
      <c r="AL57">
        <v>9</v>
      </c>
      <c r="AM57">
        <v>0.52</v>
      </c>
      <c r="AN57">
        <v>588</v>
      </c>
      <c r="AO57">
        <v>592.64</v>
      </c>
      <c r="AP57">
        <v>682849.83</v>
      </c>
      <c r="AQ57">
        <v>251909.9</v>
      </c>
      <c r="AR57" t="s">
        <v>969</v>
      </c>
      <c r="AT57" s="6">
        <f t="shared" si="3"/>
        <v>24.597027968036524</v>
      </c>
    </row>
    <row r="58" spans="1:46" x14ac:dyDescent="0.5500000000000000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0"/>
        <v>0</v>
      </c>
      <c r="L58">
        <f t="shared" si="1"/>
        <v>0</v>
      </c>
      <c r="M58">
        <f t="shared" si="2"/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T58" s="6">
        <f t="shared" si="3"/>
        <v>0</v>
      </c>
    </row>
    <row r="59" spans="1:46" x14ac:dyDescent="0.5500000000000000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0"/>
        <v>0</v>
      </c>
      <c r="L59">
        <f t="shared" si="1"/>
        <v>0</v>
      </c>
      <c r="M59">
        <f t="shared" si="2"/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T59" s="6">
        <f t="shared" si="3"/>
        <v>0</v>
      </c>
    </row>
    <row r="60" spans="1:46" x14ac:dyDescent="0.5500000000000000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0"/>
        <v>0</v>
      </c>
      <c r="L60">
        <f t="shared" si="1"/>
        <v>0</v>
      </c>
      <c r="M60">
        <f t="shared" si="2"/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T60" s="6">
        <f t="shared" si="3"/>
        <v>0</v>
      </c>
    </row>
    <row r="61" spans="1:46" x14ac:dyDescent="0.55000000000000004">
      <c r="A61">
        <v>0</v>
      </c>
      <c r="B61">
        <v>8.1</v>
      </c>
      <c r="C61">
        <v>556.22</v>
      </c>
      <c r="D61">
        <v>7.8</v>
      </c>
      <c r="E61" t="s">
        <v>2482</v>
      </c>
      <c r="F61" t="s">
        <v>2578</v>
      </c>
      <c r="G61" t="s">
        <v>2199</v>
      </c>
      <c r="H61" t="s">
        <v>2667</v>
      </c>
      <c r="I61">
        <v>0</v>
      </c>
      <c r="J61">
        <v>1856.37</v>
      </c>
      <c r="K61">
        <f t="shared" si="0"/>
        <v>82.39</v>
      </c>
      <c r="L61">
        <f t="shared" si="1"/>
        <v>51</v>
      </c>
      <c r="M61">
        <f t="shared" si="2"/>
        <v>31.39</v>
      </c>
      <c r="N61">
        <v>7.22</v>
      </c>
      <c r="O61">
        <v>0</v>
      </c>
      <c r="P61">
        <v>70</v>
      </c>
      <c r="Q61">
        <v>16.2</v>
      </c>
      <c r="R61">
        <v>8.1</v>
      </c>
      <c r="S61">
        <v>12.74</v>
      </c>
      <c r="T61">
        <v>-12.74</v>
      </c>
      <c r="U61">
        <v>0.3</v>
      </c>
      <c r="V61">
        <v>355.98</v>
      </c>
      <c r="W61">
        <v>93.23</v>
      </c>
      <c r="X61">
        <v>60.63</v>
      </c>
      <c r="Y61">
        <v>72.37</v>
      </c>
      <c r="Z61">
        <v>9.69</v>
      </c>
      <c r="AA61">
        <v>-0.89</v>
      </c>
      <c r="AB61">
        <v>9.58</v>
      </c>
      <c r="AC61">
        <v>-174.56</v>
      </c>
      <c r="AD61">
        <v>980</v>
      </c>
      <c r="AE61">
        <v>8765</v>
      </c>
      <c r="AF61">
        <v>108.62</v>
      </c>
      <c r="AG61">
        <v>0.88</v>
      </c>
      <c r="AH61">
        <v>-155.1</v>
      </c>
      <c r="AI61">
        <v>79.900000000000006</v>
      </c>
      <c r="AJ61">
        <v>60</v>
      </c>
      <c r="AK61">
        <v>9</v>
      </c>
      <c r="AL61">
        <v>9</v>
      </c>
      <c r="AM61">
        <v>0.56999999999999995</v>
      </c>
      <c r="AN61">
        <v>588</v>
      </c>
      <c r="AO61">
        <v>593.1</v>
      </c>
      <c r="AP61">
        <v>923887.41</v>
      </c>
      <c r="AQ61">
        <v>224283.22</v>
      </c>
      <c r="AR61" t="s">
        <v>973</v>
      </c>
      <c r="AT61" s="6">
        <f t="shared" si="3"/>
        <v>39.931746004566214</v>
      </c>
    </row>
    <row r="62" spans="1:46" x14ac:dyDescent="0.55000000000000004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0"/>
        <v>0</v>
      </c>
      <c r="L62">
        <f t="shared" si="1"/>
        <v>0</v>
      </c>
      <c r="M62">
        <f t="shared" si="2"/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T62" s="6">
        <f t="shared" si="3"/>
        <v>0</v>
      </c>
    </row>
    <row r="63" spans="1:46" x14ac:dyDescent="0.5500000000000000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0"/>
        <v>0</v>
      </c>
      <c r="L63">
        <f t="shared" si="1"/>
        <v>0</v>
      </c>
      <c r="M63">
        <f t="shared" si="2"/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T63" s="6">
        <f t="shared" si="3"/>
        <v>0</v>
      </c>
    </row>
    <row r="64" spans="1:46" x14ac:dyDescent="0.5500000000000000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f t="shared" si="0"/>
        <v>0</v>
      </c>
      <c r="L64">
        <f t="shared" si="1"/>
        <v>0</v>
      </c>
      <c r="M64">
        <f t="shared" si="2"/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T64" s="6">
        <f t="shared" si="3"/>
        <v>0</v>
      </c>
    </row>
    <row r="65" spans="1:46" x14ac:dyDescent="0.5500000000000000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0"/>
        <v>0</v>
      </c>
      <c r="L65">
        <f t="shared" si="1"/>
        <v>0</v>
      </c>
      <c r="M65">
        <f t="shared" si="2"/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T65" s="6">
        <f t="shared" si="3"/>
        <v>0</v>
      </c>
    </row>
    <row r="66" spans="1:46" x14ac:dyDescent="0.5500000000000000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f t="shared" si="0"/>
        <v>0</v>
      </c>
      <c r="L66">
        <f t="shared" si="1"/>
        <v>0</v>
      </c>
      <c r="M66">
        <f t="shared" si="2"/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T66" s="6">
        <f t="shared" si="3"/>
        <v>0</v>
      </c>
    </row>
    <row r="67" spans="1:46" x14ac:dyDescent="0.5500000000000000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4">IF(E67=0,0,
VALUE(MID(E67,2,FIND(",",E67)-2))+
VALUE(MID(F67,2,FIND(",",F67)-2))+
VALUE(MID(G67,2,FIND(",",G67)-2))
)</f>
        <v>0</v>
      </c>
      <c r="L67">
        <f t="shared" ref="L67:L130" si="5">IF(E67=0,0,
VALUE(MID(E67,FIND(",",E67)+1,FIND("]",E67)-FIND(",",E67)-1))+
VALUE(MID(F67,FIND(",",F67)+1,FIND("]",F67)-FIND(",",F67)-1))+
VALUE(MID(G67,FIND(",",G67)+1,FIND("]",G67)-FIND(",",G67)-1))
)</f>
        <v>0</v>
      </c>
      <c r="M67">
        <f t="shared" ref="M67:M130" si="6">(K67-L67)</f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T67" s="6">
        <f t="shared" ref="AT67:AT130" si="7">(AP67-AQ67)/(365*24*2)</f>
        <v>0</v>
      </c>
    </row>
    <row r="68" spans="1:46" x14ac:dyDescent="0.5500000000000000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4"/>
        <v>0</v>
      </c>
      <c r="L68">
        <f t="shared" si="5"/>
        <v>0</v>
      </c>
      <c r="M68">
        <f t="shared" si="6"/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T68" s="6">
        <f t="shared" si="7"/>
        <v>0</v>
      </c>
    </row>
    <row r="69" spans="1:46" x14ac:dyDescent="0.55000000000000004">
      <c r="A69">
        <v>0</v>
      </c>
      <c r="B69">
        <v>8.1</v>
      </c>
      <c r="C69">
        <v>896.36</v>
      </c>
      <c r="D69">
        <v>7.8</v>
      </c>
      <c r="E69" t="s">
        <v>2483</v>
      </c>
      <c r="F69" t="s">
        <v>2579</v>
      </c>
      <c r="G69" t="s">
        <v>2199</v>
      </c>
      <c r="H69" t="s">
        <v>2668</v>
      </c>
      <c r="I69">
        <v>0</v>
      </c>
      <c r="J69">
        <v>1887.02</v>
      </c>
      <c r="K69">
        <f t="shared" si="4"/>
        <v>60.52</v>
      </c>
      <c r="L69">
        <f t="shared" si="5"/>
        <v>51.95</v>
      </c>
      <c r="M69">
        <f t="shared" si="6"/>
        <v>8.57</v>
      </c>
      <c r="N69">
        <v>7.1</v>
      </c>
      <c r="O69">
        <v>0</v>
      </c>
      <c r="P69">
        <v>82</v>
      </c>
      <c r="Q69">
        <v>13.2</v>
      </c>
      <c r="R69">
        <v>8.1</v>
      </c>
      <c r="S69">
        <v>11.21</v>
      </c>
      <c r="T69">
        <v>-11.21</v>
      </c>
      <c r="U69">
        <v>0.48</v>
      </c>
      <c r="V69">
        <v>573.66999999999996</v>
      </c>
      <c r="W69">
        <v>147.49</v>
      </c>
      <c r="X69">
        <v>85.84</v>
      </c>
      <c r="Y69">
        <v>116.82</v>
      </c>
      <c r="Z69">
        <v>6.41</v>
      </c>
      <c r="AA69">
        <v>-0.56000000000000005</v>
      </c>
      <c r="AB69">
        <v>8.92</v>
      </c>
      <c r="AC69">
        <v>-260.14</v>
      </c>
      <c r="AD69">
        <v>980</v>
      </c>
      <c r="AE69">
        <v>8765</v>
      </c>
      <c r="AF69">
        <v>108.62</v>
      </c>
      <c r="AG69">
        <v>0.88</v>
      </c>
      <c r="AH69">
        <v>-206.91</v>
      </c>
      <c r="AI69">
        <v>71.91</v>
      </c>
      <c r="AJ69">
        <v>60</v>
      </c>
      <c r="AK69">
        <v>9</v>
      </c>
      <c r="AL69">
        <v>9</v>
      </c>
      <c r="AM69">
        <v>0.63</v>
      </c>
      <c r="AN69">
        <v>588</v>
      </c>
      <c r="AO69">
        <v>593.66999999999996</v>
      </c>
      <c r="AP69">
        <v>705271.54</v>
      </c>
      <c r="AQ69">
        <v>190517.28</v>
      </c>
      <c r="AR69" t="s">
        <v>981</v>
      </c>
      <c r="AT69" s="6">
        <f t="shared" si="7"/>
        <v>29.38095091324201</v>
      </c>
    </row>
    <row r="70" spans="1:46" x14ac:dyDescent="0.5500000000000000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f t="shared" si="4"/>
        <v>0</v>
      </c>
      <c r="L70">
        <f t="shared" si="5"/>
        <v>0</v>
      </c>
      <c r="M70">
        <f t="shared" si="6"/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T70" s="6">
        <f t="shared" si="7"/>
        <v>0</v>
      </c>
    </row>
    <row r="71" spans="1:46" x14ac:dyDescent="0.5500000000000000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4"/>
        <v>0</v>
      </c>
      <c r="L71">
        <f t="shared" si="5"/>
        <v>0</v>
      </c>
      <c r="M71">
        <f t="shared" si="6"/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T71" s="6">
        <f t="shared" si="7"/>
        <v>0</v>
      </c>
    </row>
    <row r="72" spans="1:46" x14ac:dyDescent="0.55000000000000004">
      <c r="A72">
        <v>0</v>
      </c>
      <c r="B72">
        <v>8.1</v>
      </c>
      <c r="C72">
        <v>592.41</v>
      </c>
      <c r="D72">
        <v>7.8</v>
      </c>
      <c r="E72" t="s">
        <v>2484</v>
      </c>
      <c r="F72" t="s">
        <v>2569</v>
      </c>
      <c r="G72" t="s">
        <v>2199</v>
      </c>
      <c r="H72" t="s">
        <v>2669</v>
      </c>
      <c r="I72">
        <v>0</v>
      </c>
      <c r="J72">
        <v>1853.39</v>
      </c>
      <c r="K72">
        <f t="shared" si="4"/>
        <v>77.569999999999993</v>
      </c>
      <c r="L72">
        <f t="shared" si="5"/>
        <v>51.95</v>
      </c>
      <c r="M72">
        <f t="shared" si="6"/>
        <v>25.61999999999999</v>
      </c>
      <c r="N72">
        <v>7.19</v>
      </c>
      <c r="O72">
        <v>0</v>
      </c>
      <c r="P72">
        <v>89</v>
      </c>
      <c r="Q72">
        <v>10.6</v>
      </c>
      <c r="R72">
        <v>8.1</v>
      </c>
      <c r="S72">
        <v>9.41</v>
      </c>
      <c r="T72">
        <v>-9.41</v>
      </c>
      <c r="U72">
        <v>0.32</v>
      </c>
      <c r="V72">
        <v>379.14</v>
      </c>
      <c r="W72">
        <v>98.87</v>
      </c>
      <c r="X72">
        <v>62.79</v>
      </c>
      <c r="Y72">
        <v>77.11</v>
      </c>
      <c r="Z72">
        <v>8.2100000000000009</v>
      </c>
      <c r="AA72">
        <v>-0.85</v>
      </c>
      <c r="AB72">
        <v>9.5</v>
      </c>
      <c r="AC72">
        <v>-618.82000000000005</v>
      </c>
      <c r="AD72">
        <v>980</v>
      </c>
      <c r="AE72">
        <v>8765</v>
      </c>
      <c r="AF72">
        <v>108.62</v>
      </c>
      <c r="AG72">
        <v>0.88</v>
      </c>
      <c r="AH72">
        <v>-159.66</v>
      </c>
      <c r="AI72">
        <v>71.91</v>
      </c>
      <c r="AJ72">
        <v>60</v>
      </c>
      <c r="AK72">
        <v>9</v>
      </c>
      <c r="AL72">
        <v>9</v>
      </c>
      <c r="AM72">
        <v>0.63</v>
      </c>
      <c r="AN72">
        <v>588</v>
      </c>
      <c r="AO72">
        <v>593.66999999999996</v>
      </c>
      <c r="AP72">
        <v>885472.76</v>
      </c>
      <c r="AQ72">
        <v>190517.28</v>
      </c>
      <c r="AR72" t="s">
        <v>983</v>
      </c>
      <c r="AT72" s="6">
        <f t="shared" si="7"/>
        <v>39.666408675799083</v>
      </c>
    </row>
    <row r="73" spans="1:46" x14ac:dyDescent="0.55000000000000004">
      <c r="A73">
        <v>0</v>
      </c>
      <c r="B73">
        <v>8.1</v>
      </c>
      <c r="C73">
        <v>1096.3599999999999</v>
      </c>
      <c r="D73">
        <v>7.8</v>
      </c>
      <c r="E73" t="s">
        <v>2485</v>
      </c>
      <c r="F73" t="s">
        <v>2574</v>
      </c>
      <c r="G73" t="s">
        <v>2199</v>
      </c>
      <c r="H73" t="s">
        <v>2670</v>
      </c>
      <c r="I73">
        <v>0</v>
      </c>
      <c r="J73">
        <v>1916.1</v>
      </c>
      <c r="K73">
        <f t="shared" si="4"/>
        <v>56.26</v>
      </c>
      <c r="L73">
        <f t="shared" si="5"/>
        <v>51.95</v>
      </c>
      <c r="M73">
        <f t="shared" si="6"/>
        <v>4.3099999999999952</v>
      </c>
      <c r="N73">
        <v>7.09</v>
      </c>
      <c r="O73">
        <v>0</v>
      </c>
      <c r="P73">
        <v>88</v>
      </c>
      <c r="Q73">
        <v>11</v>
      </c>
      <c r="R73">
        <v>8.1</v>
      </c>
      <c r="S73">
        <v>9.6999999999999993</v>
      </c>
      <c r="T73">
        <v>-9.6999999999999993</v>
      </c>
      <c r="U73">
        <v>0.56999999999999995</v>
      </c>
      <c r="V73">
        <v>701.67</v>
      </c>
      <c r="W73">
        <v>179.93</v>
      </c>
      <c r="X73">
        <v>102.88</v>
      </c>
      <c r="Y73">
        <v>142.94</v>
      </c>
      <c r="Z73">
        <v>5.96</v>
      </c>
      <c r="AA73">
        <v>-0.4</v>
      </c>
      <c r="AB73">
        <v>8.61</v>
      </c>
      <c r="AC73">
        <v>-506.39</v>
      </c>
      <c r="AD73">
        <v>980</v>
      </c>
      <c r="AE73">
        <v>8765</v>
      </c>
      <c r="AF73">
        <v>108.62</v>
      </c>
      <c r="AG73">
        <v>0.88</v>
      </c>
      <c r="AH73">
        <v>-253.9</v>
      </c>
      <c r="AI73">
        <v>71.91</v>
      </c>
      <c r="AJ73">
        <v>60</v>
      </c>
      <c r="AK73">
        <v>9</v>
      </c>
      <c r="AL73">
        <v>9</v>
      </c>
      <c r="AM73">
        <v>0.63</v>
      </c>
      <c r="AN73">
        <v>588</v>
      </c>
      <c r="AO73">
        <v>593.66999999999996</v>
      </c>
      <c r="AP73">
        <v>642342.59</v>
      </c>
      <c r="AQ73">
        <v>190517.28</v>
      </c>
      <c r="AR73" t="s">
        <v>984</v>
      </c>
      <c r="AT73" s="6">
        <f t="shared" si="7"/>
        <v>25.789115867579905</v>
      </c>
    </row>
    <row r="74" spans="1:46" x14ac:dyDescent="0.5500000000000000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4"/>
        <v>0</v>
      </c>
      <c r="L74">
        <f t="shared" si="5"/>
        <v>0</v>
      </c>
      <c r="M74">
        <f t="shared" si="6"/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T74" s="6">
        <f t="shared" si="7"/>
        <v>0</v>
      </c>
    </row>
    <row r="75" spans="1:46" x14ac:dyDescent="0.55000000000000004">
      <c r="A75">
        <v>0</v>
      </c>
      <c r="B75">
        <v>8.1</v>
      </c>
      <c r="C75">
        <v>2752.08</v>
      </c>
      <c r="D75">
        <v>7.8</v>
      </c>
      <c r="E75" t="s">
        <v>2486</v>
      </c>
      <c r="F75" t="s">
        <v>2569</v>
      </c>
      <c r="G75" t="s">
        <v>2199</v>
      </c>
      <c r="H75" t="s">
        <v>2671</v>
      </c>
      <c r="I75">
        <v>0</v>
      </c>
      <c r="J75">
        <v>1936.7</v>
      </c>
      <c r="K75">
        <f t="shared" si="4"/>
        <v>47.2</v>
      </c>
      <c r="L75">
        <f t="shared" si="5"/>
        <v>51.95</v>
      </c>
      <c r="M75">
        <f t="shared" si="6"/>
        <v>-4.75</v>
      </c>
      <c r="N75">
        <v>7.03</v>
      </c>
      <c r="O75">
        <v>0</v>
      </c>
      <c r="P75">
        <v>84</v>
      </c>
      <c r="Q75">
        <v>13</v>
      </c>
      <c r="R75">
        <v>8.1</v>
      </c>
      <c r="S75">
        <v>11.23</v>
      </c>
      <c r="T75">
        <v>-11.23</v>
      </c>
      <c r="U75">
        <v>1.42</v>
      </c>
      <c r="V75">
        <v>1761.33</v>
      </c>
      <c r="W75">
        <v>447.25</v>
      </c>
      <c r="X75">
        <v>239.2</v>
      </c>
      <c r="Y75">
        <v>359.12</v>
      </c>
      <c r="Z75">
        <v>5</v>
      </c>
      <c r="AA75">
        <v>0.32</v>
      </c>
      <c r="AB75">
        <v>7.17</v>
      </c>
      <c r="AC75">
        <v>-258.54000000000002</v>
      </c>
      <c r="AD75">
        <v>980</v>
      </c>
      <c r="AE75">
        <v>8765</v>
      </c>
      <c r="AF75">
        <v>108.62</v>
      </c>
      <c r="AG75">
        <v>0.88</v>
      </c>
      <c r="AH75">
        <v>258.01</v>
      </c>
      <c r="AI75">
        <v>71.91</v>
      </c>
      <c r="AJ75">
        <v>60</v>
      </c>
      <c r="AK75">
        <v>9</v>
      </c>
      <c r="AL75">
        <v>9</v>
      </c>
      <c r="AM75">
        <v>0.63</v>
      </c>
      <c r="AN75">
        <v>588</v>
      </c>
      <c r="AO75">
        <v>593.66999999999996</v>
      </c>
      <c r="AP75">
        <v>550352.5</v>
      </c>
      <c r="AQ75">
        <v>190517.28</v>
      </c>
      <c r="AR75" t="s">
        <v>986</v>
      </c>
      <c r="AT75" s="6">
        <f t="shared" si="7"/>
        <v>20.538539954337899</v>
      </c>
    </row>
    <row r="76" spans="1:46" x14ac:dyDescent="0.5500000000000000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4"/>
        <v>0</v>
      </c>
      <c r="L76">
        <f t="shared" si="5"/>
        <v>0</v>
      </c>
      <c r="M76">
        <f t="shared" si="6"/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T76" s="6">
        <f t="shared" si="7"/>
        <v>0</v>
      </c>
    </row>
    <row r="77" spans="1:46" x14ac:dyDescent="0.55000000000000004">
      <c r="A77">
        <v>0</v>
      </c>
      <c r="B77">
        <v>8.1</v>
      </c>
      <c r="C77">
        <v>816.26</v>
      </c>
      <c r="D77">
        <v>7.8</v>
      </c>
      <c r="E77" t="s">
        <v>2487</v>
      </c>
      <c r="F77" t="s">
        <v>2580</v>
      </c>
      <c r="G77" t="s">
        <v>2199</v>
      </c>
      <c r="H77" t="s">
        <v>2672</v>
      </c>
      <c r="I77">
        <v>0</v>
      </c>
      <c r="J77">
        <v>1898.65</v>
      </c>
      <c r="K77">
        <f t="shared" si="4"/>
        <v>63.1</v>
      </c>
      <c r="L77">
        <f t="shared" si="5"/>
        <v>51.95</v>
      </c>
      <c r="M77">
        <f t="shared" si="6"/>
        <v>11.149999999999999</v>
      </c>
      <c r="N77">
        <v>7.13</v>
      </c>
      <c r="O77">
        <v>0</v>
      </c>
      <c r="P77">
        <v>89</v>
      </c>
      <c r="Q77">
        <v>10.5</v>
      </c>
      <c r="R77">
        <v>8.1</v>
      </c>
      <c r="S77">
        <v>9.31</v>
      </c>
      <c r="T77">
        <v>-9.31</v>
      </c>
      <c r="U77">
        <v>0.43</v>
      </c>
      <c r="V77">
        <v>522.41</v>
      </c>
      <c r="W77">
        <v>134.80000000000001</v>
      </c>
      <c r="X77">
        <v>80.260000000000005</v>
      </c>
      <c r="Y77">
        <v>106.36</v>
      </c>
      <c r="Z77">
        <v>6.68</v>
      </c>
      <c r="AA77">
        <v>-0.63</v>
      </c>
      <c r="AB77">
        <v>9.0500000000000007</v>
      </c>
      <c r="AC77">
        <v>-669.04</v>
      </c>
      <c r="AD77">
        <v>980</v>
      </c>
      <c r="AE77">
        <v>8765</v>
      </c>
      <c r="AF77">
        <v>108.62</v>
      </c>
      <c r="AG77">
        <v>0.88</v>
      </c>
      <c r="AH77">
        <v>-190.54</v>
      </c>
      <c r="AI77">
        <v>71.91</v>
      </c>
      <c r="AJ77">
        <v>60</v>
      </c>
      <c r="AK77">
        <v>9</v>
      </c>
      <c r="AL77">
        <v>9</v>
      </c>
      <c r="AM77">
        <v>0.63</v>
      </c>
      <c r="AN77">
        <v>588</v>
      </c>
      <c r="AO77">
        <v>593.66999999999996</v>
      </c>
      <c r="AP77">
        <v>715515.59</v>
      </c>
      <c r="AQ77">
        <v>190517.28</v>
      </c>
      <c r="AR77" t="s">
        <v>988</v>
      </c>
      <c r="AT77" s="6">
        <f t="shared" si="7"/>
        <v>29.965656963470316</v>
      </c>
    </row>
    <row r="78" spans="1:46" x14ac:dyDescent="0.55000000000000004">
      <c r="A78">
        <v>0</v>
      </c>
      <c r="B78">
        <v>8.1</v>
      </c>
      <c r="C78">
        <v>3949.77</v>
      </c>
      <c r="D78">
        <v>7.8</v>
      </c>
      <c r="E78" t="s">
        <v>2488</v>
      </c>
      <c r="F78" t="s">
        <v>2574</v>
      </c>
      <c r="G78" t="s">
        <v>2199</v>
      </c>
      <c r="H78" t="s">
        <v>2673</v>
      </c>
      <c r="I78">
        <v>0</v>
      </c>
      <c r="J78">
        <v>1951.37</v>
      </c>
      <c r="K78">
        <f t="shared" si="4"/>
        <v>45.69</v>
      </c>
      <c r="L78">
        <f t="shared" si="5"/>
        <v>51.95</v>
      </c>
      <c r="M78">
        <f t="shared" si="6"/>
        <v>-6.2600000000000051</v>
      </c>
      <c r="N78">
        <v>7.03</v>
      </c>
      <c r="O78">
        <v>0</v>
      </c>
      <c r="P78">
        <v>88</v>
      </c>
      <c r="Q78">
        <v>10.4</v>
      </c>
      <c r="R78">
        <v>8.1</v>
      </c>
      <c r="S78">
        <v>9.11</v>
      </c>
      <c r="T78">
        <v>-9.11</v>
      </c>
      <c r="U78">
        <v>2.02</v>
      </c>
      <c r="V78">
        <v>2527.85</v>
      </c>
      <c r="W78">
        <v>641.33000000000004</v>
      </c>
      <c r="X78">
        <v>340.73</v>
      </c>
      <c r="Y78">
        <v>515.47</v>
      </c>
      <c r="Z78">
        <v>4.84</v>
      </c>
      <c r="AA78">
        <v>0.61</v>
      </c>
      <c r="AB78">
        <v>6.58</v>
      </c>
      <c r="AC78">
        <v>-800.88</v>
      </c>
      <c r="AD78">
        <v>980</v>
      </c>
      <c r="AE78">
        <v>8765</v>
      </c>
      <c r="AF78">
        <v>108.62</v>
      </c>
      <c r="AG78">
        <v>0.88</v>
      </c>
      <c r="AH78">
        <v>106.07</v>
      </c>
      <c r="AI78">
        <v>71.91</v>
      </c>
      <c r="AJ78">
        <v>60</v>
      </c>
      <c r="AK78">
        <v>9</v>
      </c>
      <c r="AL78">
        <v>9</v>
      </c>
      <c r="AM78">
        <v>0.63</v>
      </c>
      <c r="AN78">
        <v>588</v>
      </c>
      <c r="AO78">
        <v>593.66999999999996</v>
      </c>
      <c r="AP78">
        <v>525685.55000000005</v>
      </c>
      <c r="AQ78">
        <v>190517.28</v>
      </c>
      <c r="AR78" t="s">
        <v>989</v>
      </c>
      <c r="AT78" s="6">
        <f t="shared" si="7"/>
        <v>19.130609018264842</v>
      </c>
    </row>
    <row r="79" spans="1:46" x14ac:dyDescent="0.55000000000000004">
      <c r="A79">
        <v>0</v>
      </c>
      <c r="B79">
        <v>8.1</v>
      </c>
      <c r="C79">
        <v>634.16</v>
      </c>
      <c r="D79">
        <v>7.8</v>
      </c>
      <c r="E79" t="s">
        <v>2489</v>
      </c>
      <c r="F79" t="s">
        <v>2574</v>
      </c>
      <c r="G79" t="s">
        <v>2199</v>
      </c>
      <c r="H79" t="s">
        <v>2674</v>
      </c>
      <c r="I79">
        <v>0</v>
      </c>
      <c r="J79">
        <v>1870.23</v>
      </c>
      <c r="K79">
        <f t="shared" si="4"/>
        <v>73.38</v>
      </c>
      <c r="L79">
        <f t="shared" si="5"/>
        <v>51.95</v>
      </c>
      <c r="M79">
        <f t="shared" si="6"/>
        <v>21.429999999999993</v>
      </c>
      <c r="N79">
        <v>7.18</v>
      </c>
      <c r="O79">
        <v>0</v>
      </c>
      <c r="P79">
        <v>88</v>
      </c>
      <c r="Q79">
        <v>10.8</v>
      </c>
      <c r="R79">
        <v>8.1</v>
      </c>
      <c r="S79">
        <v>9.5</v>
      </c>
      <c r="T79">
        <v>-9.5</v>
      </c>
      <c r="U79">
        <v>0.34</v>
      </c>
      <c r="V79">
        <v>405.86</v>
      </c>
      <c r="W79">
        <v>105.57</v>
      </c>
      <c r="X79">
        <v>66.03</v>
      </c>
      <c r="Y79">
        <v>82.56</v>
      </c>
      <c r="Z79">
        <v>7.77</v>
      </c>
      <c r="AA79">
        <v>-0.81</v>
      </c>
      <c r="AB79">
        <v>9.41</v>
      </c>
      <c r="AC79">
        <v>-577.13</v>
      </c>
      <c r="AD79">
        <v>980</v>
      </c>
      <c r="AE79">
        <v>8765</v>
      </c>
      <c r="AF79">
        <v>108.62</v>
      </c>
      <c r="AG79">
        <v>0.88</v>
      </c>
      <c r="AH79">
        <v>-164.35</v>
      </c>
      <c r="AI79">
        <v>71.91</v>
      </c>
      <c r="AJ79">
        <v>60</v>
      </c>
      <c r="AK79">
        <v>9</v>
      </c>
      <c r="AL79">
        <v>9</v>
      </c>
      <c r="AM79">
        <v>0.63</v>
      </c>
      <c r="AN79">
        <v>588</v>
      </c>
      <c r="AO79">
        <v>593.66999999999996</v>
      </c>
      <c r="AP79">
        <v>831347.6</v>
      </c>
      <c r="AQ79">
        <v>190517.28</v>
      </c>
      <c r="AR79" t="s">
        <v>990</v>
      </c>
      <c r="AT79" s="6">
        <f t="shared" si="7"/>
        <v>36.577073059360728</v>
      </c>
    </row>
    <row r="80" spans="1:46" x14ac:dyDescent="0.55000000000000004">
      <c r="A80">
        <v>0</v>
      </c>
      <c r="B80">
        <v>8.1</v>
      </c>
      <c r="C80">
        <v>774.6</v>
      </c>
      <c r="D80">
        <v>7.8</v>
      </c>
      <c r="E80" t="s">
        <v>2490</v>
      </c>
      <c r="F80" t="s">
        <v>2581</v>
      </c>
      <c r="G80" t="s">
        <v>2199</v>
      </c>
      <c r="H80" t="s">
        <v>2675</v>
      </c>
      <c r="I80">
        <v>0</v>
      </c>
      <c r="J80">
        <v>1876.97</v>
      </c>
      <c r="K80">
        <f t="shared" si="4"/>
        <v>64.77000000000001</v>
      </c>
      <c r="L80">
        <f t="shared" si="5"/>
        <v>51.95</v>
      </c>
      <c r="M80">
        <f t="shared" si="6"/>
        <v>12.820000000000007</v>
      </c>
      <c r="N80">
        <v>7.12</v>
      </c>
      <c r="O80">
        <v>0</v>
      </c>
      <c r="P80">
        <v>83</v>
      </c>
      <c r="Q80">
        <v>13.1</v>
      </c>
      <c r="R80">
        <v>8.1</v>
      </c>
      <c r="S80">
        <v>11.22</v>
      </c>
      <c r="T80">
        <v>-11.22</v>
      </c>
      <c r="U80">
        <v>0.41</v>
      </c>
      <c r="V80">
        <v>495.74</v>
      </c>
      <c r="W80">
        <v>127.94</v>
      </c>
      <c r="X80">
        <v>76.28</v>
      </c>
      <c r="Y80">
        <v>100.92</v>
      </c>
      <c r="Z80">
        <v>6.86</v>
      </c>
      <c r="AA80">
        <v>-0.67</v>
      </c>
      <c r="AB80">
        <v>9.14</v>
      </c>
      <c r="AC80">
        <v>-259.32</v>
      </c>
      <c r="AD80">
        <v>980</v>
      </c>
      <c r="AE80">
        <v>8765</v>
      </c>
      <c r="AF80">
        <v>108.62</v>
      </c>
      <c r="AG80">
        <v>0.88</v>
      </c>
      <c r="AH80">
        <v>-184.95</v>
      </c>
      <c r="AI80">
        <v>71.91</v>
      </c>
      <c r="AJ80">
        <v>60</v>
      </c>
      <c r="AK80">
        <v>9</v>
      </c>
      <c r="AL80">
        <v>9</v>
      </c>
      <c r="AM80">
        <v>0.63</v>
      </c>
      <c r="AN80">
        <v>588</v>
      </c>
      <c r="AO80">
        <v>593.66999999999996</v>
      </c>
      <c r="AP80">
        <v>751037.62</v>
      </c>
      <c r="AQ80">
        <v>190517.28</v>
      </c>
      <c r="AR80" t="s">
        <v>991</v>
      </c>
      <c r="AT80" s="6">
        <f t="shared" si="7"/>
        <v>31.993170091324199</v>
      </c>
    </row>
    <row r="81" spans="1:46" x14ac:dyDescent="0.5500000000000000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4"/>
        <v>0</v>
      </c>
      <c r="L81">
        <f t="shared" si="5"/>
        <v>0</v>
      </c>
      <c r="M81">
        <f t="shared" si="6"/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T81" s="6">
        <f t="shared" si="7"/>
        <v>0</v>
      </c>
    </row>
    <row r="82" spans="1:46" x14ac:dyDescent="0.55000000000000004">
      <c r="A82">
        <v>0</v>
      </c>
      <c r="B82">
        <v>8.1</v>
      </c>
      <c r="C82">
        <v>667.44</v>
      </c>
      <c r="D82">
        <v>7.8</v>
      </c>
      <c r="E82" t="s">
        <v>2491</v>
      </c>
      <c r="F82" t="s">
        <v>2582</v>
      </c>
      <c r="G82" t="s">
        <v>2199</v>
      </c>
      <c r="H82" t="s">
        <v>2676</v>
      </c>
      <c r="I82">
        <v>0</v>
      </c>
      <c r="J82">
        <v>1882</v>
      </c>
      <c r="K82">
        <f t="shared" si="4"/>
        <v>70.75</v>
      </c>
      <c r="L82">
        <f t="shared" si="5"/>
        <v>51.95</v>
      </c>
      <c r="M82">
        <f t="shared" si="6"/>
        <v>18.799999999999997</v>
      </c>
      <c r="N82">
        <v>7.17</v>
      </c>
      <c r="O82">
        <v>0</v>
      </c>
      <c r="P82">
        <v>61</v>
      </c>
      <c r="Q82">
        <v>17</v>
      </c>
      <c r="R82">
        <v>8.1</v>
      </c>
      <c r="S82">
        <v>12.43</v>
      </c>
      <c r="T82">
        <v>-12.43</v>
      </c>
      <c r="U82">
        <v>0.35</v>
      </c>
      <c r="V82">
        <v>427.16</v>
      </c>
      <c r="W82">
        <v>110.94</v>
      </c>
      <c r="X82">
        <v>68.7</v>
      </c>
      <c r="Y82">
        <v>86.91</v>
      </c>
      <c r="Z82">
        <v>7.49</v>
      </c>
      <c r="AA82">
        <v>-0.77</v>
      </c>
      <c r="AB82">
        <v>9.34</v>
      </c>
      <c r="AC82">
        <v>-186.99</v>
      </c>
      <c r="AD82">
        <v>980</v>
      </c>
      <c r="AE82">
        <v>8765</v>
      </c>
      <c r="AF82">
        <v>108.62</v>
      </c>
      <c r="AG82">
        <v>0.88</v>
      </c>
      <c r="AH82">
        <v>-168.32</v>
      </c>
      <c r="AI82">
        <v>71.91</v>
      </c>
      <c r="AJ82">
        <v>60</v>
      </c>
      <c r="AK82">
        <v>9</v>
      </c>
      <c r="AL82">
        <v>9</v>
      </c>
      <c r="AM82">
        <v>0.63</v>
      </c>
      <c r="AN82">
        <v>588</v>
      </c>
      <c r="AO82">
        <v>593.66999999999996</v>
      </c>
      <c r="AP82">
        <v>796580.07</v>
      </c>
      <c r="AQ82">
        <v>190517.28</v>
      </c>
      <c r="AR82" t="s">
        <v>993</v>
      </c>
      <c r="AT82" s="6">
        <f t="shared" si="7"/>
        <v>34.592624999999998</v>
      </c>
    </row>
    <row r="83" spans="1:46" x14ac:dyDescent="0.5500000000000000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4"/>
        <v>0</v>
      </c>
      <c r="L83">
        <f t="shared" si="5"/>
        <v>0</v>
      </c>
      <c r="M83">
        <f t="shared" si="6"/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T83" s="6">
        <f t="shared" si="7"/>
        <v>0</v>
      </c>
    </row>
    <row r="84" spans="1:46" x14ac:dyDescent="0.55000000000000004">
      <c r="A84">
        <v>0</v>
      </c>
      <c r="B84">
        <v>8.1</v>
      </c>
      <c r="C84">
        <v>961.2</v>
      </c>
      <c r="D84">
        <v>7.8</v>
      </c>
      <c r="E84" t="s">
        <v>2492</v>
      </c>
      <c r="F84" t="s">
        <v>2583</v>
      </c>
      <c r="G84" t="s">
        <v>2199</v>
      </c>
      <c r="H84" t="s">
        <v>2677</v>
      </c>
      <c r="I84">
        <v>0</v>
      </c>
      <c r="J84">
        <v>1902.33</v>
      </c>
      <c r="K84">
        <f t="shared" si="4"/>
        <v>58.87</v>
      </c>
      <c r="L84">
        <f t="shared" si="5"/>
        <v>51</v>
      </c>
      <c r="M84">
        <f t="shared" si="6"/>
        <v>7.8699999999999974</v>
      </c>
      <c r="N84">
        <v>7.1</v>
      </c>
      <c r="O84">
        <v>0</v>
      </c>
      <c r="P84">
        <v>57</v>
      </c>
      <c r="Q84">
        <v>18.2</v>
      </c>
      <c r="R84">
        <v>8.1</v>
      </c>
      <c r="S84">
        <v>13.02</v>
      </c>
      <c r="T84">
        <v>-13.02</v>
      </c>
      <c r="U84">
        <v>0.51</v>
      </c>
      <c r="V84">
        <v>615.16999999999996</v>
      </c>
      <c r="W84">
        <v>158.05000000000001</v>
      </c>
      <c r="X84">
        <v>91.55</v>
      </c>
      <c r="Y84">
        <v>125.29</v>
      </c>
      <c r="Z84">
        <v>6.93</v>
      </c>
      <c r="AA84">
        <v>-0.51</v>
      </c>
      <c r="AB84">
        <v>8.81</v>
      </c>
      <c r="AC84">
        <v>-164.49</v>
      </c>
      <c r="AD84">
        <v>980</v>
      </c>
      <c r="AE84">
        <v>8765</v>
      </c>
      <c r="AF84">
        <v>108.62</v>
      </c>
      <c r="AG84">
        <v>0.88</v>
      </c>
      <c r="AH84">
        <v>-219.57</v>
      </c>
      <c r="AI84">
        <v>79.900000000000006</v>
      </c>
      <c r="AJ84">
        <v>60</v>
      </c>
      <c r="AK84">
        <v>9</v>
      </c>
      <c r="AL84">
        <v>9</v>
      </c>
      <c r="AM84">
        <v>0.56999999999999995</v>
      </c>
      <c r="AN84">
        <v>588</v>
      </c>
      <c r="AO84">
        <v>593.1</v>
      </c>
      <c r="AP84">
        <v>676826.45</v>
      </c>
      <c r="AQ84">
        <v>224283.22</v>
      </c>
      <c r="AR84" t="s">
        <v>995</v>
      </c>
      <c r="AT84" s="6">
        <f t="shared" si="7"/>
        <v>25.830093036529679</v>
      </c>
    </row>
    <row r="85" spans="1:46" x14ac:dyDescent="0.55000000000000004">
      <c r="A85">
        <v>0</v>
      </c>
      <c r="B85">
        <v>8.1</v>
      </c>
      <c r="C85">
        <v>4412.16</v>
      </c>
      <c r="D85">
        <v>7.8</v>
      </c>
      <c r="E85" t="s">
        <v>2493</v>
      </c>
      <c r="F85" t="s">
        <v>2584</v>
      </c>
      <c r="G85" t="s">
        <v>2199</v>
      </c>
      <c r="H85" t="s">
        <v>2678</v>
      </c>
      <c r="I85">
        <v>0</v>
      </c>
      <c r="J85">
        <v>1949.99</v>
      </c>
      <c r="K85">
        <f t="shared" si="4"/>
        <v>45.34</v>
      </c>
      <c r="L85">
        <f t="shared" si="5"/>
        <v>51.95</v>
      </c>
      <c r="M85">
        <f t="shared" si="6"/>
        <v>-6.6099999999999994</v>
      </c>
      <c r="N85">
        <v>7.02</v>
      </c>
      <c r="O85">
        <v>0</v>
      </c>
      <c r="P85">
        <v>56</v>
      </c>
      <c r="Q85">
        <v>19.100000000000001</v>
      </c>
      <c r="R85">
        <v>8.1</v>
      </c>
      <c r="S85">
        <v>13.7</v>
      </c>
      <c r="T85">
        <v>-13.7</v>
      </c>
      <c r="U85">
        <v>2.2599999999999998</v>
      </c>
      <c r="V85">
        <v>2823.78</v>
      </c>
      <c r="W85">
        <v>715.98</v>
      </c>
      <c r="X85">
        <v>378.78</v>
      </c>
      <c r="Y85">
        <v>575.84</v>
      </c>
      <c r="Z85">
        <v>4.8</v>
      </c>
      <c r="AA85">
        <v>0.7</v>
      </c>
      <c r="AB85">
        <v>6.4</v>
      </c>
      <c r="AC85">
        <v>-144.74</v>
      </c>
      <c r="AD85">
        <v>980</v>
      </c>
      <c r="AE85">
        <v>8765</v>
      </c>
      <c r="AF85">
        <v>108.62</v>
      </c>
      <c r="AG85">
        <v>0.88</v>
      </c>
      <c r="AH85">
        <v>86.03</v>
      </c>
      <c r="AI85">
        <v>71.91</v>
      </c>
      <c r="AJ85">
        <v>60</v>
      </c>
      <c r="AK85">
        <v>9</v>
      </c>
      <c r="AL85">
        <v>9</v>
      </c>
      <c r="AM85">
        <v>0.63</v>
      </c>
      <c r="AN85">
        <v>588</v>
      </c>
      <c r="AO85">
        <v>593.66999999999996</v>
      </c>
      <c r="AP85">
        <v>524075.45</v>
      </c>
      <c r="AQ85">
        <v>190517.28</v>
      </c>
      <c r="AR85" t="s">
        <v>996</v>
      </c>
      <c r="AT85" s="6">
        <f t="shared" si="7"/>
        <v>19.038708333333336</v>
      </c>
    </row>
    <row r="86" spans="1:46" x14ac:dyDescent="0.5500000000000000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4"/>
        <v>0</v>
      </c>
      <c r="L86">
        <f t="shared" si="5"/>
        <v>0</v>
      </c>
      <c r="M86">
        <f t="shared" si="6"/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T86" s="6">
        <f t="shared" si="7"/>
        <v>0</v>
      </c>
    </row>
    <row r="87" spans="1:46" x14ac:dyDescent="0.55000000000000004">
      <c r="A87">
        <v>0</v>
      </c>
      <c r="B87">
        <v>8.1</v>
      </c>
      <c r="C87">
        <v>1227.1199999999999</v>
      </c>
      <c r="D87">
        <v>7.8</v>
      </c>
      <c r="E87" t="s">
        <v>2494</v>
      </c>
      <c r="F87" t="s">
        <v>2585</v>
      </c>
      <c r="G87" t="s">
        <v>2199</v>
      </c>
      <c r="H87" t="s">
        <v>2679</v>
      </c>
      <c r="I87">
        <v>0</v>
      </c>
      <c r="J87">
        <v>1920.53</v>
      </c>
      <c r="K87">
        <f t="shared" si="4"/>
        <v>54.43</v>
      </c>
      <c r="L87">
        <f t="shared" si="5"/>
        <v>51.95</v>
      </c>
      <c r="M87">
        <f t="shared" si="6"/>
        <v>2.4799999999999969</v>
      </c>
      <c r="N87">
        <v>7.08</v>
      </c>
      <c r="O87">
        <v>0</v>
      </c>
      <c r="P87">
        <v>56</v>
      </c>
      <c r="Q87">
        <v>19.5</v>
      </c>
      <c r="R87">
        <v>8.1</v>
      </c>
      <c r="S87">
        <v>14.05</v>
      </c>
      <c r="T87">
        <v>-14.05</v>
      </c>
      <c r="U87">
        <v>0.64</v>
      </c>
      <c r="V87">
        <v>785.36</v>
      </c>
      <c r="W87">
        <v>201.02</v>
      </c>
      <c r="X87">
        <v>113.56</v>
      </c>
      <c r="Y87">
        <v>160.01</v>
      </c>
      <c r="Z87">
        <v>5.76</v>
      </c>
      <c r="AA87">
        <v>-0.32</v>
      </c>
      <c r="AB87">
        <v>8.44</v>
      </c>
      <c r="AC87">
        <v>-136.13999999999999</v>
      </c>
      <c r="AD87">
        <v>980</v>
      </c>
      <c r="AE87">
        <v>8765</v>
      </c>
      <c r="AF87">
        <v>108.62</v>
      </c>
      <c r="AG87">
        <v>0.88</v>
      </c>
      <c r="AH87">
        <v>-300.86</v>
      </c>
      <c r="AI87">
        <v>71.91</v>
      </c>
      <c r="AJ87">
        <v>60</v>
      </c>
      <c r="AK87">
        <v>9</v>
      </c>
      <c r="AL87">
        <v>9</v>
      </c>
      <c r="AM87">
        <v>0.63</v>
      </c>
      <c r="AN87">
        <v>588</v>
      </c>
      <c r="AO87">
        <v>593.66999999999996</v>
      </c>
      <c r="AP87">
        <v>623285.69999999995</v>
      </c>
      <c r="AQ87">
        <v>190517.28</v>
      </c>
      <c r="AR87" t="s">
        <v>997</v>
      </c>
      <c r="AT87" s="6">
        <f t="shared" si="7"/>
        <v>24.701393835616432</v>
      </c>
    </row>
    <row r="88" spans="1:46" x14ac:dyDescent="0.5500000000000000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4"/>
        <v>0</v>
      </c>
      <c r="L88">
        <f t="shared" si="5"/>
        <v>0</v>
      </c>
      <c r="M88">
        <f t="shared" si="6"/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T88" s="6">
        <f t="shared" si="7"/>
        <v>0</v>
      </c>
    </row>
    <row r="89" spans="1:46" x14ac:dyDescent="0.55000000000000004">
      <c r="A89">
        <v>0</v>
      </c>
      <c r="B89">
        <v>8.1</v>
      </c>
      <c r="C89">
        <v>4185.95</v>
      </c>
      <c r="D89">
        <v>7.8</v>
      </c>
      <c r="E89" t="s">
        <v>2495</v>
      </c>
      <c r="F89" t="s">
        <v>2586</v>
      </c>
      <c r="G89" t="s">
        <v>2199</v>
      </c>
      <c r="H89" t="s">
        <v>2680</v>
      </c>
      <c r="I89">
        <v>0</v>
      </c>
      <c r="J89">
        <v>1946.72</v>
      </c>
      <c r="K89">
        <f t="shared" si="4"/>
        <v>45.5</v>
      </c>
      <c r="L89">
        <f t="shared" si="5"/>
        <v>51</v>
      </c>
      <c r="M89">
        <f t="shared" si="6"/>
        <v>-5.5</v>
      </c>
      <c r="N89">
        <v>7.02</v>
      </c>
      <c r="O89">
        <v>0</v>
      </c>
      <c r="P89">
        <v>56</v>
      </c>
      <c r="Q89">
        <v>19.5</v>
      </c>
      <c r="R89">
        <v>8.1</v>
      </c>
      <c r="S89">
        <v>14.05</v>
      </c>
      <c r="T89">
        <v>-14.05</v>
      </c>
      <c r="U89">
        <v>2.15</v>
      </c>
      <c r="V89">
        <v>2679.01</v>
      </c>
      <c r="W89">
        <v>679.24</v>
      </c>
      <c r="X89">
        <v>359.27</v>
      </c>
      <c r="Y89">
        <v>546.32000000000005</v>
      </c>
      <c r="Z89">
        <v>5.35</v>
      </c>
      <c r="AA89">
        <v>0.66</v>
      </c>
      <c r="AB89">
        <v>6.49</v>
      </c>
      <c r="AC89">
        <v>-136.13999999999999</v>
      </c>
      <c r="AD89">
        <v>980</v>
      </c>
      <c r="AE89">
        <v>8765</v>
      </c>
      <c r="AF89">
        <v>108.62</v>
      </c>
      <c r="AG89">
        <v>0.88</v>
      </c>
      <c r="AH89">
        <v>94.43</v>
      </c>
      <c r="AI89">
        <v>79.900000000000006</v>
      </c>
      <c r="AJ89">
        <v>60</v>
      </c>
      <c r="AK89">
        <v>9</v>
      </c>
      <c r="AL89">
        <v>9</v>
      </c>
      <c r="AM89">
        <v>0.56999999999999995</v>
      </c>
      <c r="AN89">
        <v>588</v>
      </c>
      <c r="AO89">
        <v>593.1</v>
      </c>
      <c r="AP89">
        <v>528141.55000000005</v>
      </c>
      <c r="AQ89">
        <v>224283.22</v>
      </c>
      <c r="AR89" t="s">
        <v>999</v>
      </c>
      <c r="AT89" s="6">
        <f t="shared" si="7"/>
        <v>17.343511986301372</v>
      </c>
    </row>
    <row r="90" spans="1:46" x14ac:dyDescent="0.55000000000000004">
      <c r="A90">
        <v>0</v>
      </c>
      <c r="B90">
        <v>8.1</v>
      </c>
      <c r="C90">
        <v>717.55</v>
      </c>
      <c r="D90">
        <v>7.8</v>
      </c>
      <c r="E90" t="s">
        <v>2496</v>
      </c>
      <c r="F90" t="s">
        <v>2578</v>
      </c>
      <c r="G90" t="s">
        <v>2199</v>
      </c>
      <c r="H90" t="s">
        <v>2681</v>
      </c>
      <c r="I90">
        <v>0</v>
      </c>
      <c r="J90">
        <v>1891.19</v>
      </c>
      <c r="K90">
        <f t="shared" si="4"/>
        <v>67.58</v>
      </c>
      <c r="L90">
        <f t="shared" si="5"/>
        <v>51</v>
      </c>
      <c r="M90">
        <f t="shared" si="6"/>
        <v>16.579999999999998</v>
      </c>
      <c r="N90">
        <v>7.16</v>
      </c>
      <c r="O90">
        <v>0</v>
      </c>
      <c r="P90">
        <v>57</v>
      </c>
      <c r="Q90">
        <v>19.8</v>
      </c>
      <c r="R90">
        <v>8.1</v>
      </c>
      <c r="S90">
        <v>14.44</v>
      </c>
      <c r="T90">
        <v>-14.44</v>
      </c>
      <c r="U90">
        <v>0.38</v>
      </c>
      <c r="V90">
        <v>459.23</v>
      </c>
      <c r="W90">
        <v>118.98</v>
      </c>
      <c r="X90">
        <v>72.61</v>
      </c>
      <c r="Y90">
        <v>93.46</v>
      </c>
      <c r="Z90">
        <v>7.95</v>
      </c>
      <c r="AA90">
        <v>-0.72</v>
      </c>
      <c r="AB90">
        <v>9.23</v>
      </c>
      <c r="AC90">
        <v>-127.67</v>
      </c>
      <c r="AD90">
        <v>980</v>
      </c>
      <c r="AE90">
        <v>8765</v>
      </c>
      <c r="AF90">
        <v>108.62</v>
      </c>
      <c r="AG90">
        <v>0.88</v>
      </c>
      <c r="AH90">
        <v>-175.04</v>
      </c>
      <c r="AI90">
        <v>79.900000000000006</v>
      </c>
      <c r="AJ90">
        <v>60</v>
      </c>
      <c r="AK90">
        <v>9</v>
      </c>
      <c r="AL90">
        <v>9</v>
      </c>
      <c r="AM90">
        <v>0.56999999999999995</v>
      </c>
      <c r="AN90">
        <v>588</v>
      </c>
      <c r="AO90">
        <v>593.1</v>
      </c>
      <c r="AP90">
        <v>760412.26</v>
      </c>
      <c r="AQ90">
        <v>224283.22</v>
      </c>
      <c r="AR90" t="s">
        <v>1000</v>
      </c>
      <c r="AT90" s="6">
        <f t="shared" si="7"/>
        <v>30.600972602739727</v>
      </c>
    </row>
    <row r="91" spans="1:46" x14ac:dyDescent="0.55000000000000004">
      <c r="A91">
        <v>0</v>
      </c>
      <c r="B91">
        <v>8.1</v>
      </c>
      <c r="C91">
        <v>570.24</v>
      </c>
      <c r="D91">
        <v>7.8</v>
      </c>
      <c r="E91" t="s">
        <v>2497</v>
      </c>
      <c r="F91" t="s">
        <v>2587</v>
      </c>
      <c r="G91" t="s">
        <v>2199</v>
      </c>
      <c r="H91" t="s">
        <v>2682</v>
      </c>
      <c r="I91">
        <v>0</v>
      </c>
      <c r="J91">
        <v>1854.62</v>
      </c>
      <c r="K91">
        <f t="shared" si="4"/>
        <v>80.349999999999994</v>
      </c>
      <c r="L91">
        <f t="shared" si="5"/>
        <v>51</v>
      </c>
      <c r="M91">
        <f t="shared" si="6"/>
        <v>29.349999999999994</v>
      </c>
      <c r="N91">
        <v>7.21</v>
      </c>
      <c r="O91">
        <v>0</v>
      </c>
      <c r="P91">
        <v>55</v>
      </c>
      <c r="Q91">
        <v>20.100000000000001</v>
      </c>
      <c r="R91">
        <v>8.1</v>
      </c>
      <c r="S91">
        <v>14.45</v>
      </c>
      <c r="T91">
        <v>-14.45</v>
      </c>
      <c r="U91">
        <v>0.31</v>
      </c>
      <c r="V91">
        <v>364.95</v>
      </c>
      <c r="W91">
        <v>95.41</v>
      </c>
      <c r="X91">
        <v>61.43</v>
      </c>
      <c r="Y91">
        <v>74.2</v>
      </c>
      <c r="Z91">
        <v>9.4499999999999993</v>
      </c>
      <c r="AA91">
        <v>-0.88</v>
      </c>
      <c r="AB91">
        <v>9.5500000000000007</v>
      </c>
      <c r="AC91">
        <v>-127.58</v>
      </c>
      <c r="AD91">
        <v>980</v>
      </c>
      <c r="AE91">
        <v>8765</v>
      </c>
      <c r="AF91">
        <v>108.62</v>
      </c>
      <c r="AG91">
        <v>0.88</v>
      </c>
      <c r="AH91">
        <v>-156.85</v>
      </c>
      <c r="AI91">
        <v>79.900000000000006</v>
      </c>
      <c r="AJ91">
        <v>60</v>
      </c>
      <c r="AK91">
        <v>9</v>
      </c>
      <c r="AL91">
        <v>9</v>
      </c>
      <c r="AM91">
        <v>0.56999999999999995</v>
      </c>
      <c r="AN91">
        <v>588</v>
      </c>
      <c r="AO91">
        <v>593.1</v>
      </c>
      <c r="AP91">
        <v>908229.51</v>
      </c>
      <c r="AQ91">
        <v>224283.22</v>
      </c>
      <c r="AR91" t="s">
        <v>1001</v>
      </c>
      <c r="AT91" s="6">
        <f t="shared" si="7"/>
        <v>39.038030251141556</v>
      </c>
    </row>
    <row r="92" spans="1:46" x14ac:dyDescent="0.55000000000000004">
      <c r="A92">
        <v>0</v>
      </c>
      <c r="B92">
        <v>8.1</v>
      </c>
      <c r="C92">
        <v>2150.5500000000002</v>
      </c>
      <c r="D92">
        <v>7.8</v>
      </c>
      <c r="E92" t="s">
        <v>2498</v>
      </c>
      <c r="F92" t="s">
        <v>2580</v>
      </c>
      <c r="G92" t="s">
        <v>2199</v>
      </c>
      <c r="H92" t="s">
        <v>2683</v>
      </c>
      <c r="I92">
        <v>0</v>
      </c>
      <c r="J92">
        <v>1943.36</v>
      </c>
      <c r="K92">
        <f t="shared" si="4"/>
        <v>48.68</v>
      </c>
      <c r="L92">
        <f t="shared" si="5"/>
        <v>51.95</v>
      </c>
      <c r="M92">
        <f t="shared" si="6"/>
        <v>-3.2700000000000031</v>
      </c>
      <c r="N92">
        <v>7.05</v>
      </c>
      <c r="O92">
        <v>0</v>
      </c>
      <c r="P92">
        <v>57</v>
      </c>
      <c r="Q92">
        <v>18.600000000000001</v>
      </c>
      <c r="R92">
        <v>8.1</v>
      </c>
      <c r="S92">
        <v>13.38</v>
      </c>
      <c r="T92">
        <v>-13.38</v>
      </c>
      <c r="U92">
        <v>1.1100000000000001</v>
      </c>
      <c r="V92">
        <v>1376.35</v>
      </c>
      <c r="W92">
        <v>350.38</v>
      </c>
      <c r="X92">
        <v>190.66</v>
      </c>
      <c r="Y92">
        <v>280.57</v>
      </c>
      <c r="Z92">
        <v>5.15</v>
      </c>
      <c r="AA92">
        <v>0.12</v>
      </c>
      <c r="AB92">
        <v>7.55</v>
      </c>
      <c r="AC92">
        <v>-153.43</v>
      </c>
      <c r="AD92">
        <v>980</v>
      </c>
      <c r="AE92">
        <v>8765</v>
      </c>
      <c r="AF92">
        <v>108.62</v>
      </c>
      <c r="AG92">
        <v>0.88</v>
      </c>
      <c r="AH92">
        <v>1018.89</v>
      </c>
      <c r="AI92">
        <v>71.91</v>
      </c>
      <c r="AJ92">
        <v>60</v>
      </c>
      <c r="AK92">
        <v>9</v>
      </c>
      <c r="AL92">
        <v>9</v>
      </c>
      <c r="AM92">
        <v>0.63</v>
      </c>
      <c r="AN92">
        <v>588</v>
      </c>
      <c r="AO92">
        <v>593.66999999999996</v>
      </c>
      <c r="AP92">
        <v>556352.77</v>
      </c>
      <c r="AQ92">
        <v>190517.28</v>
      </c>
      <c r="AR92" t="s">
        <v>1002</v>
      </c>
      <c r="AT92" s="6">
        <f t="shared" si="7"/>
        <v>20.88102111872146</v>
      </c>
    </row>
    <row r="93" spans="1:46" x14ac:dyDescent="0.55000000000000004">
      <c r="A93">
        <v>0</v>
      </c>
      <c r="B93">
        <v>8.1</v>
      </c>
      <c r="C93">
        <v>122667.96</v>
      </c>
      <c r="D93">
        <v>7.8</v>
      </c>
      <c r="E93" t="s">
        <v>2499</v>
      </c>
      <c r="F93" t="s">
        <v>2588</v>
      </c>
      <c r="G93" t="s">
        <v>2199</v>
      </c>
      <c r="H93" t="s">
        <v>2684</v>
      </c>
      <c r="I93">
        <v>0</v>
      </c>
      <c r="J93">
        <v>1971.22</v>
      </c>
      <c r="K93">
        <f t="shared" si="4"/>
        <v>42.6</v>
      </c>
      <c r="L93">
        <f t="shared" si="5"/>
        <v>51.95</v>
      </c>
      <c r="M93">
        <f t="shared" si="6"/>
        <v>-9.3500000000000014</v>
      </c>
      <c r="N93">
        <v>7.01</v>
      </c>
      <c r="O93">
        <v>0</v>
      </c>
      <c r="P93">
        <v>56</v>
      </c>
      <c r="Q93">
        <v>20.2</v>
      </c>
      <c r="R93">
        <v>8.1</v>
      </c>
      <c r="S93">
        <v>14.67</v>
      </c>
      <c r="T93">
        <v>-14.67</v>
      </c>
      <c r="U93">
        <v>62.23</v>
      </c>
      <c r="V93">
        <v>78507.5</v>
      </c>
      <c r="W93">
        <v>19862.900000000001</v>
      </c>
      <c r="X93">
        <v>10339.469999999999</v>
      </c>
      <c r="Y93">
        <v>16013.87</v>
      </c>
      <c r="Z93">
        <v>4.51</v>
      </c>
      <c r="AA93">
        <v>3.44</v>
      </c>
      <c r="AB93">
        <v>0.93</v>
      </c>
      <c r="AC93">
        <v>-123.32</v>
      </c>
      <c r="AD93">
        <v>980</v>
      </c>
      <c r="AE93">
        <v>8765</v>
      </c>
      <c r="AF93">
        <v>108.62</v>
      </c>
      <c r="AG93">
        <v>0.88</v>
      </c>
      <c r="AH93">
        <v>1.77</v>
      </c>
      <c r="AI93">
        <v>71.91</v>
      </c>
      <c r="AJ93">
        <v>60</v>
      </c>
      <c r="AK93">
        <v>9</v>
      </c>
      <c r="AL93">
        <v>9</v>
      </c>
      <c r="AM93">
        <v>0.63</v>
      </c>
      <c r="AN93">
        <v>588</v>
      </c>
      <c r="AO93">
        <v>593.66999999999996</v>
      </c>
      <c r="AP93">
        <v>484712.77</v>
      </c>
      <c r="AQ93">
        <v>190517.28</v>
      </c>
      <c r="AR93" t="s">
        <v>1003</v>
      </c>
      <c r="AT93" s="6">
        <f t="shared" si="7"/>
        <v>16.791980022831051</v>
      </c>
    </row>
    <row r="94" spans="1:46" x14ac:dyDescent="0.55000000000000004">
      <c r="A94">
        <v>0</v>
      </c>
      <c r="B94">
        <v>8.1</v>
      </c>
      <c r="C94">
        <v>1004.82</v>
      </c>
      <c r="D94">
        <v>7.8</v>
      </c>
      <c r="E94" t="s">
        <v>2500</v>
      </c>
      <c r="F94" t="s">
        <v>2584</v>
      </c>
      <c r="G94" t="s">
        <v>2199</v>
      </c>
      <c r="H94" t="s">
        <v>2685</v>
      </c>
      <c r="I94">
        <v>0</v>
      </c>
      <c r="J94">
        <v>1908.69</v>
      </c>
      <c r="K94">
        <f t="shared" si="4"/>
        <v>57.92</v>
      </c>
      <c r="L94">
        <f t="shared" si="5"/>
        <v>51.95</v>
      </c>
      <c r="M94">
        <f t="shared" si="6"/>
        <v>5.9699999999999989</v>
      </c>
      <c r="N94">
        <v>7.1</v>
      </c>
      <c r="O94">
        <v>0</v>
      </c>
      <c r="P94">
        <v>65</v>
      </c>
      <c r="Q94">
        <v>15.9</v>
      </c>
      <c r="R94">
        <v>8.1</v>
      </c>
      <c r="S94">
        <v>11.89</v>
      </c>
      <c r="T94">
        <v>-11.89</v>
      </c>
      <c r="U94">
        <v>0.53</v>
      </c>
      <c r="V94">
        <v>643.09</v>
      </c>
      <c r="W94">
        <v>165.13</v>
      </c>
      <c r="X94">
        <v>95.27</v>
      </c>
      <c r="Y94">
        <v>130.97999999999999</v>
      </c>
      <c r="Z94">
        <v>6.13</v>
      </c>
      <c r="AA94">
        <v>-0.47</v>
      </c>
      <c r="AB94">
        <v>8.74</v>
      </c>
      <c r="AC94">
        <v>-213.49</v>
      </c>
      <c r="AD94">
        <v>980</v>
      </c>
      <c r="AE94">
        <v>8765</v>
      </c>
      <c r="AF94">
        <v>108.62</v>
      </c>
      <c r="AG94">
        <v>0.88</v>
      </c>
      <c r="AH94">
        <v>-229.38</v>
      </c>
      <c r="AI94">
        <v>71.91</v>
      </c>
      <c r="AJ94">
        <v>60</v>
      </c>
      <c r="AK94">
        <v>9</v>
      </c>
      <c r="AL94">
        <v>9</v>
      </c>
      <c r="AM94">
        <v>0.63</v>
      </c>
      <c r="AN94">
        <v>588</v>
      </c>
      <c r="AO94">
        <v>593.66999999999996</v>
      </c>
      <c r="AP94">
        <v>662971.21</v>
      </c>
      <c r="AQ94">
        <v>190517.28</v>
      </c>
      <c r="AR94" t="s">
        <v>1004</v>
      </c>
      <c r="AT94" s="6">
        <f t="shared" si="7"/>
        <v>26.966548515981732</v>
      </c>
    </row>
    <row r="95" spans="1:46" x14ac:dyDescent="0.55000000000000004">
      <c r="A95">
        <v>0</v>
      </c>
      <c r="B95">
        <v>8.1</v>
      </c>
      <c r="C95">
        <v>1504.35</v>
      </c>
      <c r="D95">
        <v>7.8</v>
      </c>
      <c r="E95" t="s">
        <v>2501</v>
      </c>
      <c r="F95" t="s">
        <v>2585</v>
      </c>
      <c r="G95" t="s">
        <v>2199</v>
      </c>
      <c r="H95" t="s">
        <v>2686</v>
      </c>
      <c r="I95">
        <v>0</v>
      </c>
      <c r="J95">
        <v>1928.9</v>
      </c>
      <c r="K95">
        <f t="shared" si="4"/>
        <v>51.82</v>
      </c>
      <c r="L95">
        <f t="shared" si="5"/>
        <v>51.95</v>
      </c>
      <c r="M95">
        <f t="shared" si="6"/>
        <v>-0.13000000000000256</v>
      </c>
      <c r="N95">
        <v>7.07</v>
      </c>
      <c r="O95">
        <v>0</v>
      </c>
      <c r="P95">
        <v>73</v>
      </c>
      <c r="Q95">
        <v>16.7</v>
      </c>
      <c r="R95">
        <v>8.1</v>
      </c>
      <c r="S95">
        <v>13.55</v>
      </c>
      <c r="T95">
        <v>-13.55</v>
      </c>
      <c r="U95">
        <v>0.78</v>
      </c>
      <c r="V95">
        <v>962.79</v>
      </c>
      <c r="W95">
        <v>245.8</v>
      </c>
      <c r="X95">
        <v>136.47999999999999</v>
      </c>
      <c r="Y95">
        <v>196.21</v>
      </c>
      <c r="Z95">
        <v>5.49</v>
      </c>
      <c r="AA95">
        <v>-0.16</v>
      </c>
      <c r="AB95">
        <v>8.1199999999999992</v>
      </c>
      <c r="AC95">
        <v>-148.55000000000001</v>
      </c>
      <c r="AD95">
        <v>980</v>
      </c>
      <c r="AE95">
        <v>8765</v>
      </c>
      <c r="AF95">
        <v>108.62</v>
      </c>
      <c r="AG95">
        <v>0.88</v>
      </c>
      <c r="AH95">
        <v>-493.53</v>
      </c>
      <c r="AI95">
        <v>71.91</v>
      </c>
      <c r="AJ95">
        <v>60</v>
      </c>
      <c r="AK95">
        <v>9</v>
      </c>
      <c r="AL95">
        <v>9</v>
      </c>
      <c r="AM95">
        <v>0.63</v>
      </c>
      <c r="AN95">
        <v>588</v>
      </c>
      <c r="AO95">
        <v>593.66999999999996</v>
      </c>
      <c r="AP95">
        <v>594428.09</v>
      </c>
      <c r="AQ95">
        <v>190517.28</v>
      </c>
      <c r="AR95" t="s">
        <v>1005</v>
      </c>
      <c r="AT95" s="6">
        <f t="shared" si="7"/>
        <v>23.054269977168946</v>
      </c>
    </row>
    <row r="96" spans="1:46" x14ac:dyDescent="0.5500000000000000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f t="shared" si="4"/>
        <v>0</v>
      </c>
      <c r="L96">
        <f t="shared" si="5"/>
        <v>0</v>
      </c>
      <c r="M96">
        <f t="shared" si="6"/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T96" s="6">
        <f t="shared" si="7"/>
        <v>0</v>
      </c>
    </row>
    <row r="97" spans="1:46" x14ac:dyDescent="0.5500000000000000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f t="shared" si="4"/>
        <v>0</v>
      </c>
      <c r="L97">
        <f t="shared" si="5"/>
        <v>0</v>
      </c>
      <c r="M97">
        <f t="shared" si="6"/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T97" s="6">
        <f t="shared" si="7"/>
        <v>0</v>
      </c>
    </row>
    <row r="98" spans="1:46" x14ac:dyDescent="0.55000000000000004">
      <c r="A98">
        <v>0</v>
      </c>
      <c r="B98">
        <v>8.1</v>
      </c>
      <c r="C98">
        <v>662.28</v>
      </c>
      <c r="D98">
        <v>7.8</v>
      </c>
      <c r="E98" t="s">
        <v>2502</v>
      </c>
      <c r="F98" t="s">
        <v>2589</v>
      </c>
      <c r="G98" t="s">
        <v>2199</v>
      </c>
      <c r="H98" t="s">
        <v>2687</v>
      </c>
      <c r="I98">
        <v>0</v>
      </c>
      <c r="J98">
        <v>1872.36</v>
      </c>
      <c r="K98">
        <f t="shared" si="4"/>
        <v>71.13</v>
      </c>
      <c r="L98">
        <f t="shared" si="5"/>
        <v>51</v>
      </c>
      <c r="M98">
        <f t="shared" si="6"/>
        <v>20.129999999999995</v>
      </c>
      <c r="N98">
        <v>7.17</v>
      </c>
      <c r="O98">
        <v>0</v>
      </c>
      <c r="P98">
        <v>55</v>
      </c>
      <c r="Q98">
        <v>19.899999999999999</v>
      </c>
      <c r="R98">
        <v>8.1</v>
      </c>
      <c r="S98">
        <v>14.27</v>
      </c>
      <c r="T98">
        <v>-14.27</v>
      </c>
      <c r="U98">
        <v>0.35</v>
      </c>
      <c r="V98">
        <v>423.86</v>
      </c>
      <c r="W98">
        <v>110.04</v>
      </c>
      <c r="X98">
        <v>68.03</v>
      </c>
      <c r="Y98">
        <v>86.24</v>
      </c>
      <c r="Z98">
        <v>8.3699999999999992</v>
      </c>
      <c r="AA98">
        <v>-0.78</v>
      </c>
      <c r="AB98">
        <v>9.35</v>
      </c>
      <c r="AC98">
        <v>-131.21</v>
      </c>
      <c r="AD98">
        <v>980</v>
      </c>
      <c r="AE98">
        <v>8765</v>
      </c>
      <c r="AF98">
        <v>108.62</v>
      </c>
      <c r="AG98">
        <v>0.88</v>
      </c>
      <c r="AH98">
        <v>-168.08</v>
      </c>
      <c r="AI98">
        <v>79.900000000000006</v>
      </c>
      <c r="AJ98">
        <v>60</v>
      </c>
      <c r="AK98">
        <v>9</v>
      </c>
      <c r="AL98">
        <v>9</v>
      </c>
      <c r="AM98">
        <v>0.56999999999999995</v>
      </c>
      <c r="AN98">
        <v>588</v>
      </c>
      <c r="AO98">
        <v>593.1</v>
      </c>
      <c r="AP98">
        <v>809838.67</v>
      </c>
      <c r="AQ98">
        <v>224283.22</v>
      </c>
      <c r="AR98" t="s">
        <v>1008</v>
      </c>
      <c r="AT98" s="6">
        <f t="shared" si="7"/>
        <v>33.422114726027402</v>
      </c>
    </row>
    <row r="99" spans="1:46" x14ac:dyDescent="0.5500000000000000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f t="shared" si="4"/>
        <v>0</v>
      </c>
      <c r="L99">
        <f t="shared" si="5"/>
        <v>0</v>
      </c>
      <c r="M99">
        <f t="shared" si="6"/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T99" s="6">
        <f t="shared" si="7"/>
        <v>0</v>
      </c>
    </row>
    <row r="100" spans="1:46" x14ac:dyDescent="0.5500000000000000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f t="shared" si="4"/>
        <v>0</v>
      </c>
      <c r="L100">
        <f t="shared" si="5"/>
        <v>0</v>
      </c>
      <c r="M100">
        <f t="shared" si="6"/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T100" s="6">
        <f t="shared" si="7"/>
        <v>0</v>
      </c>
    </row>
    <row r="101" spans="1:46" x14ac:dyDescent="0.55000000000000004">
      <c r="A101">
        <v>0</v>
      </c>
      <c r="B101">
        <v>8.1</v>
      </c>
      <c r="C101">
        <v>670.32</v>
      </c>
      <c r="D101">
        <v>7.8</v>
      </c>
      <c r="E101" t="s">
        <v>2503</v>
      </c>
      <c r="F101" t="s">
        <v>2590</v>
      </c>
      <c r="G101" t="s">
        <v>2199</v>
      </c>
      <c r="H101" t="s">
        <v>2688</v>
      </c>
      <c r="I101">
        <v>0</v>
      </c>
      <c r="J101">
        <v>1874.86</v>
      </c>
      <c r="K101">
        <f t="shared" si="4"/>
        <v>70.539999999999992</v>
      </c>
      <c r="L101">
        <f t="shared" si="5"/>
        <v>49.589999999999996</v>
      </c>
      <c r="M101">
        <f t="shared" si="6"/>
        <v>20.949999999999996</v>
      </c>
      <c r="N101">
        <v>7.16</v>
      </c>
      <c r="O101">
        <v>0</v>
      </c>
      <c r="P101">
        <v>58</v>
      </c>
      <c r="Q101">
        <v>17.8</v>
      </c>
      <c r="R101">
        <v>8.1</v>
      </c>
      <c r="S101">
        <v>12.79</v>
      </c>
      <c r="T101">
        <v>-12.79</v>
      </c>
      <c r="U101">
        <v>0.36</v>
      </c>
      <c r="V101">
        <v>429.01</v>
      </c>
      <c r="W101">
        <v>111.34</v>
      </c>
      <c r="X101">
        <v>68.680000000000007</v>
      </c>
      <c r="Y101">
        <v>87.29</v>
      </c>
      <c r="Z101">
        <v>9.9600000000000009</v>
      </c>
      <c r="AA101">
        <v>-0.77</v>
      </c>
      <c r="AB101">
        <v>9.33</v>
      </c>
      <c r="AC101">
        <v>-172.68</v>
      </c>
      <c r="AD101">
        <v>980</v>
      </c>
      <c r="AE101">
        <v>8765</v>
      </c>
      <c r="AF101">
        <v>108.62</v>
      </c>
      <c r="AG101">
        <v>0.88</v>
      </c>
      <c r="AH101">
        <v>-169.07</v>
      </c>
      <c r="AI101">
        <v>95.88</v>
      </c>
      <c r="AJ101">
        <v>60</v>
      </c>
      <c r="AK101">
        <v>9</v>
      </c>
      <c r="AL101">
        <v>9</v>
      </c>
      <c r="AM101">
        <v>0.47</v>
      </c>
      <c r="AN101">
        <v>588</v>
      </c>
      <c r="AO101">
        <v>592.25</v>
      </c>
      <c r="AP101">
        <v>802278.92</v>
      </c>
      <c r="AQ101">
        <v>274932.14</v>
      </c>
      <c r="AR101" t="s">
        <v>1011</v>
      </c>
      <c r="AT101" s="6">
        <f t="shared" si="7"/>
        <v>30.099702054794523</v>
      </c>
    </row>
    <row r="102" spans="1:46" x14ac:dyDescent="0.5500000000000000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f t="shared" si="4"/>
        <v>0</v>
      </c>
      <c r="L102">
        <f t="shared" si="5"/>
        <v>0</v>
      </c>
      <c r="M102">
        <f t="shared" si="6"/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T102" s="6">
        <f t="shared" si="7"/>
        <v>0</v>
      </c>
    </row>
    <row r="103" spans="1:46" x14ac:dyDescent="0.5500000000000000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f t="shared" si="4"/>
        <v>0</v>
      </c>
      <c r="L103">
        <f t="shared" si="5"/>
        <v>0</v>
      </c>
      <c r="M103">
        <f t="shared" si="6"/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T103" s="6">
        <f t="shared" si="7"/>
        <v>0</v>
      </c>
    </row>
    <row r="104" spans="1:46" x14ac:dyDescent="0.55000000000000004">
      <c r="A104">
        <v>0</v>
      </c>
      <c r="B104">
        <v>8.1</v>
      </c>
      <c r="C104">
        <v>504.79</v>
      </c>
      <c r="D104">
        <v>7.8</v>
      </c>
      <c r="E104" t="s">
        <v>2504</v>
      </c>
      <c r="F104" t="s">
        <v>2591</v>
      </c>
      <c r="G104" t="s">
        <v>2199</v>
      </c>
      <c r="H104" t="s">
        <v>2689</v>
      </c>
      <c r="I104">
        <v>0</v>
      </c>
      <c r="J104">
        <v>1826.28</v>
      </c>
      <c r="K104">
        <f t="shared" si="4"/>
        <v>92.830000000000013</v>
      </c>
      <c r="L104">
        <f t="shared" si="5"/>
        <v>51.95</v>
      </c>
      <c r="M104">
        <f t="shared" si="6"/>
        <v>40.88000000000001</v>
      </c>
      <c r="N104">
        <v>7.25</v>
      </c>
      <c r="O104">
        <v>0</v>
      </c>
      <c r="P104">
        <v>71</v>
      </c>
      <c r="Q104">
        <v>16</v>
      </c>
      <c r="R104">
        <v>8.1</v>
      </c>
      <c r="S104">
        <v>12.67</v>
      </c>
      <c r="T104">
        <v>-12.67</v>
      </c>
      <c r="U104">
        <v>0.28000000000000003</v>
      </c>
      <c r="V104">
        <v>323.07</v>
      </c>
      <c r="W104">
        <v>85.11</v>
      </c>
      <c r="X104">
        <v>57.23</v>
      </c>
      <c r="Y104">
        <v>65.64</v>
      </c>
      <c r="Z104">
        <v>9.83</v>
      </c>
      <c r="AA104">
        <v>-0.95</v>
      </c>
      <c r="AB104">
        <v>9.6999999999999993</v>
      </c>
      <c r="AC104">
        <v>-177.35</v>
      </c>
      <c r="AD104">
        <v>980</v>
      </c>
      <c r="AE104">
        <v>8765</v>
      </c>
      <c r="AF104">
        <v>108.62</v>
      </c>
      <c r="AG104">
        <v>0.88</v>
      </c>
      <c r="AH104">
        <v>-150.12</v>
      </c>
      <c r="AI104">
        <v>71.91</v>
      </c>
      <c r="AJ104">
        <v>60</v>
      </c>
      <c r="AK104">
        <v>9</v>
      </c>
      <c r="AL104">
        <v>9</v>
      </c>
      <c r="AM104">
        <v>0.63</v>
      </c>
      <c r="AN104">
        <v>588</v>
      </c>
      <c r="AO104">
        <v>593.66999999999996</v>
      </c>
      <c r="AP104">
        <v>1050537.3799999999</v>
      </c>
      <c r="AQ104">
        <v>190517.28</v>
      </c>
      <c r="AR104" t="s">
        <v>1014</v>
      </c>
      <c r="AT104" s="6">
        <f t="shared" si="7"/>
        <v>49.087905251141542</v>
      </c>
    </row>
    <row r="105" spans="1:46" x14ac:dyDescent="0.55000000000000004">
      <c r="A105">
        <v>0</v>
      </c>
      <c r="B105">
        <v>8.1</v>
      </c>
      <c r="C105">
        <v>1080.32</v>
      </c>
      <c r="D105">
        <v>7.8</v>
      </c>
      <c r="E105" t="s">
        <v>2505</v>
      </c>
      <c r="F105" t="s">
        <v>2582</v>
      </c>
      <c r="G105" t="s">
        <v>2199</v>
      </c>
      <c r="H105" t="s">
        <v>2690</v>
      </c>
      <c r="I105">
        <v>0</v>
      </c>
      <c r="J105">
        <v>1921.39</v>
      </c>
      <c r="K105">
        <f t="shared" si="4"/>
        <v>56.519999999999996</v>
      </c>
      <c r="L105">
        <f t="shared" si="5"/>
        <v>51.95</v>
      </c>
      <c r="M105">
        <f t="shared" si="6"/>
        <v>4.5699999999999932</v>
      </c>
      <c r="N105">
        <v>7.1</v>
      </c>
      <c r="O105">
        <v>0</v>
      </c>
      <c r="P105">
        <v>75</v>
      </c>
      <c r="Q105">
        <v>14.9</v>
      </c>
      <c r="R105">
        <v>8.1</v>
      </c>
      <c r="S105">
        <v>12.08</v>
      </c>
      <c r="T105">
        <v>-12.08</v>
      </c>
      <c r="U105">
        <v>0.56000000000000005</v>
      </c>
      <c r="V105">
        <v>691.4</v>
      </c>
      <c r="W105">
        <v>177.42</v>
      </c>
      <c r="X105">
        <v>101.91</v>
      </c>
      <c r="Y105">
        <v>140.84</v>
      </c>
      <c r="Z105">
        <v>5.98</v>
      </c>
      <c r="AA105">
        <v>-0.41</v>
      </c>
      <c r="AB105">
        <v>8.6300000000000008</v>
      </c>
      <c r="AC105">
        <v>-203.5</v>
      </c>
      <c r="AD105">
        <v>980</v>
      </c>
      <c r="AE105">
        <v>8765</v>
      </c>
      <c r="AF105">
        <v>108.62</v>
      </c>
      <c r="AG105">
        <v>0.88</v>
      </c>
      <c r="AH105">
        <v>-248.15</v>
      </c>
      <c r="AI105">
        <v>71.91</v>
      </c>
      <c r="AJ105">
        <v>60</v>
      </c>
      <c r="AK105">
        <v>9</v>
      </c>
      <c r="AL105">
        <v>9</v>
      </c>
      <c r="AM105">
        <v>0.63</v>
      </c>
      <c r="AN105">
        <v>588</v>
      </c>
      <c r="AO105">
        <v>593.66999999999996</v>
      </c>
      <c r="AP105">
        <v>639568.32999999996</v>
      </c>
      <c r="AQ105">
        <v>190517.28</v>
      </c>
      <c r="AR105" t="s">
        <v>1015</v>
      </c>
      <c r="AT105" s="6">
        <f t="shared" si="7"/>
        <v>25.630767694063923</v>
      </c>
    </row>
    <row r="106" spans="1:46" x14ac:dyDescent="0.5500000000000000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f t="shared" si="4"/>
        <v>0</v>
      </c>
      <c r="L106">
        <f t="shared" si="5"/>
        <v>0</v>
      </c>
      <c r="M106">
        <f t="shared" si="6"/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T106" s="6">
        <f t="shared" si="7"/>
        <v>0</v>
      </c>
    </row>
    <row r="107" spans="1:46" x14ac:dyDescent="0.55000000000000004">
      <c r="A107">
        <v>0</v>
      </c>
      <c r="B107">
        <v>8.1</v>
      </c>
      <c r="C107">
        <v>580.38</v>
      </c>
      <c r="D107">
        <v>7.8</v>
      </c>
      <c r="E107" t="s">
        <v>2506</v>
      </c>
      <c r="F107" t="s">
        <v>2592</v>
      </c>
      <c r="G107" t="s">
        <v>2199</v>
      </c>
      <c r="H107" t="s">
        <v>2691</v>
      </c>
      <c r="I107">
        <v>0</v>
      </c>
      <c r="J107">
        <v>1858.52</v>
      </c>
      <c r="K107">
        <f t="shared" si="4"/>
        <v>79.02000000000001</v>
      </c>
      <c r="L107">
        <f t="shared" si="5"/>
        <v>51.95</v>
      </c>
      <c r="M107">
        <f t="shared" si="6"/>
        <v>27.070000000000007</v>
      </c>
      <c r="N107">
        <v>7.2</v>
      </c>
      <c r="O107">
        <v>0</v>
      </c>
      <c r="P107">
        <v>73</v>
      </c>
      <c r="Q107">
        <v>15.4</v>
      </c>
      <c r="R107">
        <v>8.1</v>
      </c>
      <c r="S107">
        <v>12.33</v>
      </c>
      <c r="T107">
        <v>-12.33</v>
      </c>
      <c r="U107">
        <v>0.31</v>
      </c>
      <c r="V107">
        <v>371.44</v>
      </c>
      <c r="W107">
        <v>97.02</v>
      </c>
      <c r="X107">
        <v>62.16</v>
      </c>
      <c r="Y107">
        <v>75.53</v>
      </c>
      <c r="Z107">
        <v>8.3699999999999992</v>
      </c>
      <c r="AA107">
        <v>-0.86</v>
      </c>
      <c r="AB107">
        <v>9.5299999999999994</v>
      </c>
      <c r="AC107">
        <v>-191.49</v>
      </c>
      <c r="AD107">
        <v>980</v>
      </c>
      <c r="AE107">
        <v>8765</v>
      </c>
      <c r="AF107">
        <v>108.62</v>
      </c>
      <c r="AG107">
        <v>0.88</v>
      </c>
      <c r="AH107">
        <v>-157.94999999999999</v>
      </c>
      <c r="AI107">
        <v>71.91</v>
      </c>
      <c r="AJ107">
        <v>60</v>
      </c>
      <c r="AK107">
        <v>9</v>
      </c>
      <c r="AL107">
        <v>9</v>
      </c>
      <c r="AM107">
        <v>0.63</v>
      </c>
      <c r="AN107">
        <v>588</v>
      </c>
      <c r="AO107">
        <v>593.66999999999996</v>
      </c>
      <c r="AP107">
        <v>892382.4</v>
      </c>
      <c r="AQ107">
        <v>190517.28</v>
      </c>
      <c r="AR107" t="s">
        <v>1017</v>
      </c>
      <c r="AT107" s="6">
        <f t="shared" si="7"/>
        <v>40.060794520547944</v>
      </c>
    </row>
    <row r="108" spans="1:46" x14ac:dyDescent="0.5500000000000000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f t="shared" si="4"/>
        <v>0</v>
      </c>
      <c r="L108">
        <f t="shared" si="5"/>
        <v>0</v>
      </c>
      <c r="M108">
        <f t="shared" si="6"/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T108" s="6">
        <f t="shared" si="7"/>
        <v>0</v>
      </c>
    </row>
    <row r="109" spans="1:46" x14ac:dyDescent="0.5500000000000000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f t="shared" si="4"/>
        <v>0</v>
      </c>
      <c r="L109">
        <f t="shared" si="5"/>
        <v>0</v>
      </c>
      <c r="M109">
        <f t="shared" si="6"/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T109" s="6">
        <f t="shared" si="7"/>
        <v>0</v>
      </c>
    </row>
    <row r="110" spans="1:46" x14ac:dyDescent="0.55000000000000004">
      <c r="A110">
        <v>0</v>
      </c>
      <c r="B110">
        <v>8.1</v>
      </c>
      <c r="C110">
        <v>574.54999999999995</v>
      </c>
      <c r="D110">
        <v>7.8</v>
      </c>
      <c r="E110" t="s">
        <v>2507</v>
      </c>
      <c r="F110" t="s">
        <v>2593</v>
      </c>
      <c r="G110" t="s">
        <v>2199</v>
      </c>
      <c r="H110" t="s">
        <v>2692</v>
      </c>
      <c r="I110">
        <v>0</v>
      </c>
      <c r="J110">
        <v>1855.86</v>
      </c>
      <c r="K110">
        <f t="shared" si="4"/>
        <v>79.77</v>
      </c>
      <c r="L110">
        <f t="shared" si="5"/>
        <v>50.23</v>
      </c>
      <c r="M110">
        <f t="shared" si="6"/>
        <v>29.54</v>
      </c>
      <c r="N110">
        <v>7.21</v>
      </c>
      <c r="O110">
        <v>0</v>
      </c>
      <c r="P110">
        <v>72</v>
      </c>
      <c r="Q110">
        <v>16.100000000000001</v>
      </c>
      <c r="R110">
        <v>8.1</v>
      </c>
      <c r="S110">
        <v>12.87</v>
      </c>
      <c r="T110">
        <v>-12.87</v>
      </c>
      <c r="U110">
        <v>0.31</v>
      </c>
      <c r="V110">
        <v>367.71</v>
      </c>
      <c r="W110">
        <v>96.09</v>
      </c>
      <c r="X110">
        <v>61.73</v>
      </c>
      <c r="Y110">
        <v>74.77</v>
      </c>
      <c r="Z110">
        <v>10.32</v>
      </c>
      <c r="AA110">
        <v>-0.87</v>
      </c>
      <c r="AB110">
        <v>9.5399999999999991</v>
      </c>
      <c r="AC110">
        <v>-169.65</v>
      </c>
      <c r="AD110">
        <v>980</v>
      </c>
      <c r="AE110">
        <v>8765</v>
      </c>
      <c r="AF110">
        <v>108.62</v>
      </c>
      <c r="AG110">
        <v>0.88</v>
      </c>
      <c r="AH110">
        <v>-157.33000000000001</v>
      </c>
      <c r="AI110">
        <v>87.89</v>
      </c>
      <c r="AJ110">
        <v>60</v>
      </c>
      <c r="AK110">
        <v>9</v>
      </c>
      <c r="AL110">
        <v>9</v>
      </c>
      <c r="AM110">
        <v>0.52</v>
      </c>
      <c r="AN110">
        <v>588</v>
      </c>
      <c r="AO110">
        <v>592.64</v>
      </c>
      <c r="AP110">
        <v>901833.61</v>
      </c>
      <c r="AQ110">
        <v>251909.9</v>
      </c>
      <c r="AR110" t="s">
        <v>1020</v>
      </c>
      <c r="AT110" s="6">
        <f t="shared" si="7"/>
        <v>37.09610216894977</v>
      </c>
    </row>
    <row r="111" spans="1:46" x14ac:dyDescent="0.5500000000000000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f t="shared" si="4"/>
        <v>0</v>
      </c>
      <c r="L111">
        <f t="shared" si="5"/>
        <v>0</v>
      </c>
      <c r="M111">
        <f t="shared" si="6"/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T111" s="6">
        <f t="shared" si="7"/>
        <v>0</v>
      </c>
    </row>
    <row r="112" spans="1:46" x14ac:dyDescent="0.5500000000000000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f t="shared" si="4"/>
        <v>0</v>
      </c>
      <c r="L112">
        <f t="shared" si="5"/>
        <v>0</v>
      </c>
      <c r="M112">
        <f t="shared" si="6"/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T112" s="6">
        <f t="shared" si="7"/>
        <v>0</v>
      </c>
    </row>
    <row r="113" spans="1:46" x14ac:dyDescent="0.5500000000000000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f t="shared" si="4"/>
        <v>0</v>
      </c>
      <c r="L113">
        <f t="shared" si="5"/>
        <v>0</v>
      </c>
      <c r="M113">
        <f t="shared" si="6"/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T113" s="6">
        <f t="shared" si="7"/>
        <v>0</v>
      </c>
    </row>
    <row r="114" spans="1:46" x14ac:dyDescent="0.5500000000000000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f t="shared" si="4"/>
        <v>0</v>
      </c>
      <c r="L114">
        <f t="shared" si="5"/>
        <v>0</v>
      </c>
      <c r="M114">
        <f t="shared" si="6"/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T114" s="6">
        <f t="shared" si="7"/>
        <v>0</v>
      </c>
    </row>
    <row r="115" spans="1:46" x14ac:dyDescent="0.5500000000000000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f t="shared" si="4"/>
        <v>0</v>
      </c>
      <c r="L115">
        <f t="shared" si="5"/>
        <v>0</v>
      </c>
      <c r="M115">
        <f t="shared" si="6"/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T115" s="6">
        <f t="shared" si="7"/>
        <v>0</v>
      </c>
    </row>
    <row r="116" spans="1:46" x14ac:dyDescent="0.5500000000000000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f t="shared" si="4"/>
        <v>0</v>
      </c>
      <c r="L116">
        <f t="shared" si="5"/>
        <v>0</v>
      </c>
      <c r="M116">
        <f t="shared" si="6"/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T116" s="6">
        <f t="shared" si="7"/>
        <v>0</v>
      </c>
    </row>
    <row r="117" spans="1:46" x14ac:dyDescent="0.5500000000000000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f t="shared" si="4"/>
        <v>0</v>
      </c>
      <c r="L117">
        <f t="shared" si="5"/>
        <v>0</v>
      </c>
      <c r="M117">
        <f t="shared" si="6"/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T117" s="6">
        <f t="shared" si="7"/>
        <v>0</v>
      </c>
    </row>
    <row r="118" spans="1:46" x14ac:dyDescent="0.5500000000000000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f t="shared" si="4"/>
        <v>0</v>
      </c>
      <c r="L118">
        <f t="shared" si="5"/>
        <v>0</v>
      </c>
      <c r="M118">
        <f t="shared" si="6"/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T118" s="6">
        <f t="shared" si="7"/>
        <v>0</v>
      </c>
    </row>
    <row r="119" spans="1:46" x14ac:dyDescent="0.5500000000000000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f t="shared" si="4"/>
        <v>0</v>
      </c>
      <c r="L119">
        <f t="shared" si="5"/>
        <v>0</v>
      </c>
      <c r="M119">
        <f t="shared" si="6"/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T119" s="6">
        <f t="shared" si="7"/>
        <v>0</v>
      </c>
    </row>
    <row r="120" spans="1:46" x14ac:dyDescent="0.5500000000000000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f t="shared" si="4"/>
        <v>0</v>
      </c>
      <c r="L120">
        <f t="shared" si="5"/>
        <v>0</v>
      </c>
      <c r="M120">
        <f t="shared" si="6"/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T120" s="6">
        <f t="shared" si="7"/>
        <v>0</v>
      </c>
    </row>
    <row r="121" spans="1:46" x14ac:dyDescent="0.5500000000000000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f t="shared" si="4"/>
        <v>0</v>
      </c>
      <c r="L121">
        <f t="shared" si="5"/>
        <v>0</v>
      </c>
      <c r="M121">
        <f t="shared" si="6"/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T121" s="6">
        <f t="shared" si="7"/>
        <v>0</v>
      </c>
    </row>
    <row r="122" spans="1:46" x14ac:dyDescent="0.5500000000000000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f t="shared" si="4"/>
        <v>0</v>
      </c>
      <c r="L122">
        <f t="shared" si="5"/>
        <v>0</v>
      </c>
      <c r="M122">
        <f t="shared" si="6"/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T122" s="6">
        <f t="shared" si="7"/>
        <v>0</v>
      </c>
    </row>
    <row r="123" spans="1:46" x14ac:dyDescent="0.55000000000000004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f t="shared" si="4"/>
        <v>0</v>
      </c>
      <c r="L123">
        <f t="shared" si="5"/>
        <v>0</v>
      </c>
      <c r="M123">
        <f t="shared" si="6"/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T123" s="6">
        <f t="shared" si="7"/>
        <v>0</v>
      </c>
    </row>
    <row r="124" spans="1:46" x14ac:dyDescent="0.5500000000000000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f t="shared" si="4"/>
        <v>0</v>
      </c>
      <c r="L124">
        <f t="shared" si="5"/>
        <v>0</v>
      </c>
      <c r="M124">
        <f t="shared" si="6"/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T124" s="6">
        <f t="shared" si="7"/>
        <v>0</v>
      </c>
    </row>
    <row r="125" spans="1:46" x14ac:dyDescent="0.5500000000000000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f t="shared" si="4"/>
        <v>0</v>
      </c>
      <c r="L125">
        <f t="shared" si="5"/>
        <v>0</v>
      </c>
      <c r="M125">
        <f t="shared" si="6"/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T125" s="6">
        <f t="shared" si="7"/>
        <v>0</v>
      </c>
    </row>
    <row r="126" spans="1:46" x14ac:dyDescent="0.5500000000000000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f t="shared" si="4"/>
        <v>0</v>
      </c>
      <c r="L126">
        <f t="shared" si="5"/>
        <v>0</v>
      </c>
      <c r="M126">
        <f t="shared" si="6"/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T126" s="6">
        <f t="shared" si="7"/>
        <v>0</v>
      </c>
    </row>
    <row r="127" spans="1:46" x14ac:dyDescent="0.55000000000000004">
      <c r="A127">
        <v>0</v>
      </c>
      <c r="B127">
        <v>8.1</v>
      </c>
      <c r="C127">
        <v>1102.18</v>
      </c>
      <c r="D127">
        <v>7.8</v>
      </c>
      <c r="E127" t="s">
        <v>2508</v>
      </c>
      <c r="F127" t="s">
        <v>2594</v>
      </c>
      <c r="G127" t="s">
        <v>2199</v>
      </c>
      <c r="H127" t="s">
        <v>2693</v>
      </c>
      <c r="I127">
        <v>0</v>
      </c>
      <c r="J127">
        <v>2155.88</v>
      </c>
      <c r="K127">
        <f t="shared" si="4"/>
        <v>56.17</v>
      </c>
      <c r="L127">
        <f t="shared" si="5"/>
        <v>51.95</v>
      </c>
      <c r="M127">
        <f t="shared" si="6"/>
        <v>4.2199999999999989</v>
      </c>
      <c r="N127">
        <v>7.33</v>
      </c>
      <c r="O127">
        <v>0</v>
      </c>
      <c r="P127">
        <v>72</v>
      </c>
      <c r="Q127">
        <v>14.3</v>
      </c>
      <c r="R127">
        <v>8.1</v>
      </c>
      <c r="S127">
        <v>11.19</v>
      </c>
      <c r="T127">
        <v>-11.19</v>
      </c>
      <c r="U127">
        <v>0.51</v>
      </c>
      <c r="V127">
        <v>705.39</v>
      </c>
      <c r="W127">
        <v>183.87</v>
      </c>
      <c r="X127">
        <v>115.46</v>
      </c>
      <c r="Y127">
        <v>143.61000000000001</v>
      </c>
      <c r="Z127">
        <v>5.95</v>
      </c>
      <c r="AA127">
        <v>-0.35</v>
      </c>
      <c r="AB127">
        <v>8.49</v>
      </c>
      <c r="AC127">
        <v>-262.39999999999998</v>
      </c>
      <c r="AD127">
        <v>980</v>
      </c>
      <c r="AE127">
        <v>8765</v>
      </c>
      <c r="AF127">
        <v>108.62</v>
      </c>
      <c r="AG127">
        <v>0.88</v>
      </c>
      <c r="AH127">
        <v>-222.25</v>
      </c>
      <c r="AI127">
        <v>71.91</v>
      </c>
      <c r="AJ127">
        <v>60</v>
      </c>
      <c r="AK127">
        <v>9</v>
      </c>
      <c r="AL127">
        <v>9</v>
      </c>
      <c r="AM127">
        <v>0.63</v>
      </c>
      <c r="AN127">
        <v>588</v>
      </c>
      <c r="AO127">
        <v>593.66999999999996</v>
      </c>
      <c r="AP127">
        <v>418106.29</v>
      </c>
      <c r="AQ127">
        <v>190517.28</v>
      </c>
      <c r="AR127" t="s">
        <v>2012</v>
      </c>
      <c r="AT127" s="6">
        <f t="shared" si="7"/>
        <v>12.990240296803652</v>
      </c>
    </row>
    <row r="128" spans="1:46" x14ac:dyDescent="0.5500000000000000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f t="shared" si="4"/>
        <v>0</v>
      </c>
      <c r="L128">
        <f t="shared" si="5"/>
        <v>0</v>
      </c>
      <c r="M128">
        <f t="shared" si="6"/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T128" s="6">
        <f t="shared" si="7"/>
        <v>0</v>
      </c>
    </row>
    <row r="129" spans="1:46" x14ac:dyDescent="0.55000000000000004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f t="shared" si="4"/>
        <v>0</v>
      </c>
      <c r="L129">
        <f t="shared" si="5"/>
        <v>0</v>
      </c>
      <c r="M129">
        <f t="shared" si="6"/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T129" s="6">
        <f t="shared" si="7"/>
        <v>0</v>
      </c>
    </row>
    <row r="130" spans="1:46" x14ac:dyDescent="0.55000000000000004">
      <c r="A130">
        <v>0</v>
      </c>
      <c r="B130">
        <v>8.1</v>
      </c>
      <c r="C130">
        <v>629.70000000000005</v>
      </c>
      <c r="D130">
        <v>7.8</v>
      </c>
      <c r="E130" t="s">
        <v>2509</v>
      </c>
      <c r="F130" t="s">
        <v>2566</v>
      </c>
      <c r="G130" t="s">
        <v>2199</v>
      </c>
      <c r="H130" t="s">
        <v>2694</v>
      </c>
      <c r="I130">
        <v>0</v>
      </c>
      <c r="J130">
        <v>1977.28</v>
      </c>
      <c r="K130">
        <f t="shared" si="4"/>
        <v>73.78</v>
      </c>
      <c r="L130">
        <f t="shared" si="5"/>
        <v>51</v>
      </c>
      <c r="M130">
        <f t="shared" si="6"/>
        <v>22.78</v>
      </c>
      <c r="N130">
        <v>7.29</v>
      </c>
      <c r="O130">
        <v>0</v>
      </c>
      <c r="P130">
        <v>48</v>
      </c>
      <c r="Q130">
        <v>21.5</v>
      </c>
      <c r="R130">
        <v>8.1</v>
      </c>
      <c r="S130">
        <v>14.71</v>
      </c>
      <c r="T130">
        <v>-14.71</v>
      </c>
      <c r="U130">
        <v>0.32</v>
      </c>
      <c r="V130">
        <v>403.01</v>
      </c>
      <c r="W130">
        <v>105.62</v>
      </c>
      <c r="X130">
        <v>68.73</v>
      </c>
      <c r="Y130">
        <v>81.96</v>
      </c>
      <c r="Z130">
        <v>8.68</v>
      </c>
      <c r="AA130">
        <v>-0.79</v>
      </c>
      <c r="AB130">
        <v>9.3699999999999992</v>
      </c>
      <c r="AC130">
        <v>-122.6</v>
      </c>
      <c r="AD130">
        <v>980</v>
      </c>
      <c r="AE130">
        <v>8765</v>
      </c>
      <c r="AF130">
        <v>108.62</v>
      </c>
      <c r="AG130">
        <v>0.88</v>
      </c>
      <c r="AH130">
        <v>-159.38</v>
      </c>
      <c r="AI130">
        <v>79.900000000000006</v>
      </c>
      <c r="AJ130">
        <v>60</v>
      </c>
      <c r="AK130">
        <v>9</v>
      </c>
      <c r="AL130">
        <v>9</v>
      </c>
      <c r="AM130">
        <v>0.56999999999999995</v>
      </c>
      <c r="AN130">
        <v>588</v>
      </c>
      <c r="AO130">
        <v>593.1</v>
      </c>
      <c r="AP130">
        <v>720672.04</v>
      </c>
      <c r="AQ130">
        <v>224283.22</v>
      </c>
      <c r="AR130" t="s">
        <v>1037</v>
      </c>
      <c r="AT130" s="6">
        <f t="shared" si="7"/>
        <v>28.332695205479457</v>
      </c>
    </row>
    <row r="131" spans="1:46" x14ac:dyDescent="0.5500000000000000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f t="shared" ref="K131:K194" si="8">IF(E131=0,0,
VALUE(MID(E131,2,FIND(",",E131)-2))+
VALUE(MID(F131,2,FIND(",",F131)-2))+
VALUE(MID(G131,2,FIND(",",G131)-2))
)</f>
        <v>0</v>
      </c>
      <c r="L131">
        <f t="shared" ref="L131:L194" si="9">IF(E131=0,0,
VALUE(MID(E131,FIND(",",E131)+1,FIND("]",E131)-FIND(",",E131)-1))+
VALUE(MID(F131,FIND(",",F131)+1,FIND("]",F131)-FIND(",",F131)-1))+
VALUE(MID(G131,FIND(",",G131)+1,FIND("]",G131)-FIND(",",G131)-1))
)</f>
        <v>0</v>
      </c>
      <c r="M131">
        <f t="shared" ref="M131:M194" si="10">(K131-L131)</f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T131" s="6">
        <f t="shared" ref="AT131:AT194" si="11">(AP131-AQ131)/(365*24*2)</f>
        <v>0</v>
      </c>
    </row>
    <row r="132" spans="1:46" x14ac:dyDescent="0.55000000000000004">
      <c r="A132">
        <v>0</v>
      </c>
      <c r="B132">
        <v>8.1</v>
      </c>
      <c r="C132">
        <v>633.01</v>
      </c>
      <c r="D132">
        <v>7.8</v>
      </c>
      <c r="E132" t="s">
        <v>2510</v>
      </c>
      <c r="F132" t="s">
        <v>2595</v>
      </c>
      <c r="G132" t="s">
        <v>2199</v>
      </c>
      <c r="H132" t="s">
        <v>2695</v>
      </c>
      <c r="I132">
        <v>0</v>
      </c>
      <c r="J132">
        <v>2082.11</v>
      </c>
      <c r="K132">
        <f t="shared" si="8"/>
        <v>73.47999999999999</v>
      </c>
      <c r="L132">
        <f t="shared" si="9"/>
        <v>51.95</v>
      </c>
      <c r="M132">
        <f t="shared" si="10"/>
        <v>21.529999999999987</v>
      </c>
      <c r="N132">
        <v>7.39</v>
      </c>
      <c r="O132">
        <v>0</v>
      </c>
      <c r="P132">
        <v>78</v>
      </c>
      <c r="Q132">
        <v>12.7</v>
      </c>
      <c r="R132">
        <v>8.1</v>
      </c>
      <c r="S132">
        <v>10.31</v>
      </c>
      <c r="T132">
        <v>-10.31</v>
      </c>
      <c r="U132">
        <v>0.3</v>
      </c>
      <c r="V132">
        <v>405.13</v>
      </c>
      <c r="W132">
        <v>106.82</v>
      </c>
      <c r="X132">
        <v>71.650000000000006</v>
      </c>
      <c r="Y132">
        <v>82.38</v>
      </c>
      <c r="Z132">
        <v>7.78</v>
      </c>
      <c r="AA132">
        <v>-0.76</v>
      </c>
      <c r="AB132">
        <v>9.33</v>
      </c>
      <c r="AC132">
        <v>-366.29</v>
      </c>
      <c r="AD132">
        <v>980</v>
      </c>
      <c r="AE132">
        <v>8765</v>
      </c>
      <c r="AF132">
        <v>108.62</v>
      </c>
      <c r="AG132">
        <v>0.88</v>
      </c>
      <c r="AH132">
        <v>-156.08000000000001</v>
      </c>
      <c r="AI132">
        <v>71.91</v>
      </c>
      <c r="AJ132">
        <v>60</v>
      </c>
      <c r="AK132">
        <v>9</v>
      </c>
      <c r="AL132">
        <v>9</v>
      </c>
      <c r="AM132">
        <v>0.63</v>
      </c>
      <c r="AN132">
        <v>588</v>
      </c>
      <c r="AO132">
        <v>593.66999999999996</v>
      </c>
      <c r="AP132">
        <v>606973.73</v>
      </c>
      <c r="AQ132">
        <v>190517.28</v>
      </c>
      <c r="AR132" t="s">
        <v>1039</v>
      </c>
      <c r="AT132" s="6">
        <f t="shared" si="11"/>
        <v>23.7703453196347</v>
      </c>
    </row>
    <row r="133" spans="1:46" x14ac:dyDescent="0.55000000000000004">
      <c r="A133">
        <v>0</v>
      </c>
      <c r="B133">
        <v>8.1</v>
      </c>
      <c r="C133">
        <v>798.93</v>
      </c>
      <c r="D133">
        <v>7.8</v>
      </c>
      <c r="E133" t="s">
        <v>2511</v>
      </c>
      <c r="F133" t="s">
        <v>2596</v>
      </c>
      <c r="G133" t="s">
        <v>2199</v>
      </c>
      <c r="H133" t="s">
        <v>2696</v>
      </c>
      <c r="I133">
        <v>0</v>
      </c>
      <c r="J133">
        <v>2019.99</v>
      </c>
      <c r="K133">
        <f t="shared" si="8"/>
        <v>63.76</v>
      </c>
      <c r="L133">
        <f t="shared" si="9"/>
        <v>50.23</v>
      </c>
      <c r="M133">
        <f t="shared" si="10"/>
        <v>13.530000000000001</v>
      </c>
      <c r="N133">
        <v>7.26</v>
      </c>
      <c r="O133">
        <v>0</v>
      </c>
      <c r="P133">
        <v>47</v>
      </c>
      <c r="Q133">
        <v>21.8</v>
      </c>
      <c r="R133">
        <v>8.1</v>
      </c>
      <c r="S133">
        <v>14.82</v>
      </c>
      <c r="T133">
        <v>-14.82</v>
      </c>
      <c r="U133">
        <v>0.4</v>
      </c>
      <c r="V133">
        <v>511.31</v>
      </c>
      <c r="W133">
        <v>133.15</v>
      </c>
      <c r="X133">
        <v>83.45</v>
      </c>
      <c r="Y133">
        <v>104.06</v>
      </c>
      <c r="Z133">
        <v>8.25</v>
      </c>
      <c r="AA133">
        <v>-0.61</v>
      </c>
      <c r="AB133">
        <v>9.0299999999999994</v>
      </c>
      <c r="AC133">
        <v>-120.56</v>
      </c>
      <c r="AD133">
        <v>980</v>
      </c>
      <c r="AE133">
        <v>8765</v>
      </c>
      <c r="AF133">
        <v>108.62</v>
      </c>
      <c r="AG133">
        <v>0.88</v>
      </c>
      <c r="AH133">
        <v>-179.7</v>
      </c>
      <c r="AI133">
        <v>87.89</v>
      </c>
      <c r="AJ133">
        <v>60</v>
      </c>
      <c r="AK133">
        <v>9</v>
      </c>
      <c r="AL133">
        <v>9</v>
      </c>
      <c r="AM133">
        <v>0.52</v>
      </c>
      <c r="AN133">
        <v>588</v>
      </c>
      <c r="AO133">
        <v>592.64</v>
      </c>
      <c r="AP133">
        <v>600976.5</v>
      </c>
      <c r="AQ133">
        <v>251909.9</v>
      </c>
      <c r="AR133" t="s">
        <v>1040</v>
      </c>
      <c r="AT133" s="6">
        <f t="shared" si="11"/>
        <v>19.923892694063927</v>
      </c>
    </row>
    <row r="134" spans="1:46" x14ac:dyDescent="0.5500000000000000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f t="shared" si="8"/>
        <v>0</v>
      </c>
      <c r="L134">
        <f t="shared" si="9"/>
        <v>0</v>
      </c>
      <c r="M134">
        <f t="shared" si="10"/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T134" s="6">
        <f t="shared" si="11"/>
        <v>0</v>
      </c>
    </row>
    <row r="135" spans="1:46" x14ac:dyDescent="0.5500000000000000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f t="shared" si="8"/>
        <v>0</v>
      </c>
      <c r="L135">
        <f t="shared" si="9"/>
        <v>0</v>
      </c>
      <c r="M135">
        <f t="shared" si="10"/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T135" s="6">
        <f t="shared" si="11"/>
        <v>0</v>
      </c>
    </row>
    <row r="136" spans="1:46" x14ac:dyDescent="0.5500000000000000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f t="shared" si="8"/>
        <v>0</v>
      </c>
      <c r="L136">
        <f t="shared" si="9"/>
        <v>0</v>
      </c>
      <c r="M136">
        <f t="shared" si="10"/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T136" s="6">
        <f t="shared" si="11"/>
        <v>0</v>
      </c>
    </row>
    <row r="137" spans="1:46" x14ac:dyDescent="0.5500000000000000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f t="shared" si="8"/>
        <v>0</v>
      </c>
      <c r="L137">
        <f t="shared" si="9"/>
        <v>0</v>
      </c>
      <c r="M137">
        <f t="shared" si="10"/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T137" s="6">
        <f t="shared" si="11"/>
        <v>0</v>
      </c>
    </row>
    <row r="138" spans="1:46" x14ac:dyDescent="0.55000000000000004">
      <c r="A138">
        <v>0</v>
      </c>
      <c r="B138">
        <v>8.1</v>
      </c>
      <c r="C138">
        <v>3577.73</v>
      </c>
      <c r="D138">
        <v>7.8</v>
      </c>
      <c r="E138" t="s">
        <v>2512</v>
      </c>
      <c r="F138" t="s">
        <v>2597</v>
      </c>
      <c r="G138" t="s">
        <v>2199</v>
      </c>
      <c r="H138" t="s">
        <v>2697</v>
      </c>
      <c r="I138">
        <v>0</v>
      </c>
      <c r="J138">
        <v>2077.89</v>
      </c>
      <c r="K138">
        <f t="shared" si="8"/>
        <v>46.05</v>
      </c>
      <c r="L138">
        <f t="shared" si="9"/>
        <v>49.589999999999996</v>
      </c>
      <c r="M138">
        <f t="shared" si="10"/>
        <v>-3.5399999999999991</v>
      </c>
      <c r="N138">
        <v>7.16</v>
      </c>
      <c r="O138">
        <v>0</v>
      </c>
      <c r="P138">
        <v>47</v>
      </c>
      <c r="Q138">
        <v>22</v>
      </c>
      <c r="R138">
        <v>8.1</v>
      </c>
      <c r="S138">
        <v>14.99</v>
      </c>
      <c r="T138">
        <v>-14.99</v>
      </c>
      <c r="U138">
        <v>1.72</v>
      </c>
      <c r="V138">
        <v>2289.75</v>
      </c>
      <c r="W138">
        <v>586.91</v>
      </c>
      <c r="X138">
        <v>332.96</v>
      </c>
      <c r="Y138">
        <v>466.73</v>
      </c>
      <c r="Z138">
        <v>6.5</v>
      </c>
      <c r="AA138">
        <v>0.56999999999999995</v>
      </c>
      <c r="AB138">
        <v>6.67</v>
      </c>
      <c r="AC138">
        <v>-117.6</v>
      </c>
      <c r="AD138">
        <v>980</v>
      </c>
      <c r="AE138">
        <v>8765</v>
      </c>
      <c r="AF138">
        <v>108.62</v>
      </c>
      <c r="AG138">
        <v>0.88</v>
      </c>
      <c r="AH138">
        <v>150.49</v>
      </c>
      <c r="AI138">
        <v>95.88</v>
      </c>
      <c r="AJ138">
        <v>60</v>
      </c>
      <c r="AK138">
        <v>9</v>
      </c>
      <c r="AL138">
        <v>9</v>
      </c>
      <c r="AM138">
        <v>0.47</v>
      </c>
      <c r="AN138">
        <v>588</v>
      </c>
      <c r="AO138">
        <v>592.25</v>
      </c>
      <c r="AP138">
        <v>420268.01</v>
      </c>
      <c r="AQ138">
        <v>274932.14</v>
      </c>
      <c r="AR138" t="s">
        <v>1045</v>
      </c>
      <c r="AT138" s="6">
        <f t="shared" si="11"/>
        <v>8.295426369863014</v>
      </c>
    </row>
    <row r="139" spans="1:46" x14ac:dyDescent="0.55000000000000004">
      <c r="A139">
        <v>0</v>
      </c>
      <c r="B139">
        <v>8.1</v>
      </c>
      <c r="C139">
        <v>606.30999999999995</v>
      </c>
      <c r="D139">
        <v>7.8</v>
      </c>
      <c r="E139" t="s">
        <v>2513</v>
      </c>
      <c r="F139" t="s">
        <v>2598</v>
      </c>
      <c r="G139" t="s">
        <v>2199</v>
      </c>
      <c r="H139" t="s">
        <v>2698</v>
      </c>
      <c r="I139">
        <v>0</v>
      </c>
      <c r="J139">
        <v>2075.58</v>
      </c>
      <c r="K139">
        <f t="shared" si="8"/>
        <v>76.040000000000006</v>
      </c>
      <c r="L139">
        <f t="shared" si="9"/>
        <v>51.95</v>
      </c>
      <c r="M139">
        <f t="shared" si="10"/>
        <v>24.090000000000003</v>
      </c>
      <c r="N139">
        <v>7.4</v>
      </c>
      <c r="O139">
        <v>0</v>
      </c>
      <c r="P139">
        <v>81</v>
      </c>
      <c r="Q139">
        <v>12</v>
      </c>
      <c r="R139">
        <v>8.1</v>
      </c>
      <c r="S139">
        <v>9.9499999999999993</v>
      </c>
      <c r="T139">
        <v>-9.9499999999999993</v>
      </c>
      <c r="U139">
        <v>0.28999999999999998</v>
      </c>
      <c r="V139">
        <v>388.04</v>
      </c>
      <c r="W139">
        <v>102.48</v>
      </c>
      <c r="X139">
        <v>69.37</v>
      </c>
      <c r="Y139">
        <v>78.89</v>
      </c>
      <c r="Z139">
        <v>8.0500000000000007</v>
      </c>
      <c r="AA139">
        <v>-0.79</v>
      </c>
      <c r="AB139">
        <v>9.39</v>
      </c>
      <c r="AC139">
        <v>-437.38</v>
      </c>
      <c r="AD139">
        <v>980</v>
      </c>
      <c r="AE139">
        <v>8765</v>
      </c>
      <c r="AF139">
        <v>108.62</v>
      </c>
      <c r="AG139">
        <v>0.88</v>
      </c>
      <c r="AH139">
        <v>-153.44999999999999</v>
      </c>
      <c r="AI139">
        <v>71.91</v>
      </c>
      <c r="AJ139">
        <v>60</v>
      </c>
      <c r="AK139">
        <v>9</v>
      </c>
      <c r="AL139">
        <v>9</v>
      </c>
      <c r="AM139">
        <v>0.63</v>
      </c>
      <c r="AN139">
        <v>588</v>
      </c>
      <c r="AO139">
        <v>593.66999999999996</v>
      </c>
      <c r="AP139">
        <v>631763.11</v>
      </c>
      <c r="AQ139">
        <v>190517.28</v>
      </c>
      <c r="AR139" t="s">
        <v>1046</v>
      </c>
      <c r="AT139" s="6">
        <f t="shared" si="11"/>
        <v>25.185264269406389</v>
      </c>
    </row>
    <row r="140" spans="1:46" x14ac:dyDescent="0.55000000000000004">
      <c r="A140">
        <v>0</v>
      </c>
      <c r="B140">
        <v>8.1</v>
      </c>
      <c r="C140">
        <v>815.02</v>
      </c>
      <c r="D140">
        <v>7.8</v>
      </c>
      <c r="E140" t="s">
        <v>2514</v>
      </c>
      <c r="F140" t="s">
        <v>2599</v>
      </c>
      <c r="G140" t="s">
        <v>2199</v>
      </c>
      <c r="H140" t="s">
        <v>2699</v>
      </c>
      <c r="I140">
        <v>0</v>
      </c>
      <c r="J140">
        <v>2015.33</v>
      </c>
      <c r="K140">
        <f t="shared" si="8"/>
        <v>63.14</v>
      </c>
      <c r="L140">
        <f t="shared" si="9"/>
        <v>51</v>
      </c>
      <c r="M140">
        <f t="shared" si="10"/>
        <v>12.14</v>
      </c>
      <c r="N140">
        <v>7.25</v>
      </c>
      <c r="O140">
        <v>0</v>
      </c>
      <c r="P140">
        <v>49</v>
      </c>
      <c r="Q140">
        <v>21</v>
      </c>
      <c r="R140">
        <v>8.1</v>
      </c>
      <c r="S140">
        <v>14.42</v>
      </c>
      <c r="T140">
        <v>-14.42</v>
      </c>
      <c r="U140">
        <v>0.4</v>
      </c>
      <c r="V140">
        <v>521.61</v>
      </c>
      <c r="W140">
        <v>135.71</v>
      </c>
      <c r="X140">
        <v>84.61</v>
      </c>
      <c r="Y140">
        <v>106.17</v>
      </c>
      <c r="Z140">
        <v>7.43</v>
      </c>
      <c r="AA140">
        <v>-0.6</v>
      </c>
      <c r="AB140">
        <v>9</v>
      </c>
      <c r="AC140">
        <v>-128.15</v>
      </c>
      <c r="AD140">
        <v>980</v>
      </c>
      <c r="AE140">
        <v>8765</v>
      </c>
      <c r="AF140">
        <v>108.62</v>
      </c>
      <c r="AG140">
        <v>0.88</v>
      </c>
      <c r="AH140">
        <v>-182.38</v>
      </c>
      <c r="AI140">
        <v>79.900000000000006</v>
      </c>
      <c r="AJ140">
        <v>60</v>
      </c>
      <c r="AK140">
        <v>9</v>
      </c>
      <c r="AL140">
        <v>9</v>
      </c>
      <c r="AM140">
        <v>0.56999999999999995</v>
      </c>
      <c r="AN140">
        <v>588</v>
      </c>
      <c r="AO140">
        <v>593.1</v>
      </c>
      <c r="AP140">
        <v>601005.98</v>
      </c>
      <c r="AQ140">
        <v>224283.22</v>
      </c>
      <c r="AR140" t="s">
        <v>1047</v>
      </c>
      <c r="AT140" s="6">
        <f t="shared" si="11"/>
        <v>21.502440639269405</v>
      </c>
    </row>
    <row r="141" spans="1:46" x14ac:dyDescent="0.55000000000000004">
      <c r="A141">
        <v>0</v>
      </c>
      <c r="B141">
        <v>8.1</v>
      </c>
      <c r="C141">
        <v>729.36</v>
      </c>
      <c r="D141">
        <v>7.8</v>
      </c>
      <c r="E141" t="s">
        <v>2515</v>
      </c>
      <c r="F141" t="s">
        <v>2600</v>
      </c>
      <c r="G141" t="s">
        <v>2199</v>
      </c>
      <c r="H141" t="s">
        <v>2700</v>
      </c>
      <c r="I141">
        <v>0</v>
      </c>
      <c r="J141">
        <v>2104.12</v>
      </c>
      <c r="K141">
        <f t="shared" si="8"/>
        <v>66.94</v>
      </c>
      <c r="L141">
        <f t="shared" si="9"/>
        <v>51.95</v>
      </c>
      <c r="M141">
        <f t="shared" si="10"/>
        <v>14.989999999999995</v>
      </c>
      <c r="N141">
        <v>7.37</v>
      </c>
      <c r="O141">
        <v>0</v>
      </c>
      <c r="P141">
        <v>83</v>
      </c>
      <c r="Q141">
        <v>11.9</v>
      </c>
      <c r="R141">
        <v>8.1</v>
      </c>
      <c r="S141">
        <v>10.06</v>
      </c>
      <c r="T141">
        <v>-10.06</v>
      </c>
      <c r="U141">
        <v>0.35</v>
      </c>
      <c r="V141">
        <v>466.79</v>
      </c>
      <c r="W141">
        <v>122.55</v>
      </c>
      <c r="X141">
        <v>80.260000000000005</v>
      </c>
      <c r="Y141">
        <v>94.96</v>
      </c>
      <c r="Z141">
        <v>7.09</v>
      </c>
      <c r="AA141">
        <v>-0.66</v>
      </c>
      <c r="AB141">
        <v>9.1199999999999992</v>
      </c>
      <c r="AC141">
        <v>-412.83</v>
      </c>
      <c r="AD141">
        <v>980</v>
      </c>
      <c r="AE141">
        <v>8765</v>
      </c>
      <c r="AF141">
        <v>108.62</v>
      </c>
      <c r="AG141">
        <v>0.88</v>
      </c>
      <c r="AH141">
        <v>-166.25</v>
      </c>
      <c r="AI141">
        <v>71.91</v>
      </c>
      <c r="AJ141">
        <v>60</v>
      </c>
      <c r="AK141">
        <v>9</v>
      </c>
      <c r="AL141">
        <v>9</v>
      </c>
      <c r="AM141">
        <v>0.63</v>
      </c>
      <c r="AN141">
        <v>588</v>
      </c>
      <c r="AO141">
        <v>593.66999999999996</v>
      </c>
      <c r="AP141">
        <v>539238.16</v>
      </c>
      <c r="AQ141">
        <v>190517.28</v>
      </c>
      <c r="AR141" t="s">
        <v>1048</v>
      </c>
      <c r="AT141" s="6">
        <f t="shared" si="11"/>
        <v>19.904159817351598</v>
      </c>
    </row>
    <row r="142" spans="1:46" x14ac:dyDescent="0.55000000000000004">
      <c r="A142">
        <v>0</v>
      </c>
      <c r="B142">
        <v>8.1</v>
      </c>
      <c r="C142">
        <v>1435.17</v>
      </c>
      <c r="D142">
        <v>7.8</v>
      </c>
      <c r="E142" t="s">
        <v>2516</v>
      </c>
      <c r="F142" t="s">
        <v>2601</v>
      </c>
      <c r="G142" t="s">
        <v>2199</v>
      </c>
      <c r="H142" t="s">
        <v>2701</v>
      </c>
      <c r="I142">
        <v>0</v>
      </c>
      <c r="J142">
        <v>2068.38</v>
      </c>
      <c r="K142">
        <f t="shared" si="8"/>
        <v>52.349999999999994</v>
      </c>
      <c r="L142">
        <f t="shared" si="9"/>
        <v>51</v>
      </c>
      <c r="M142">
        <f t="shared" si="10"/>
        <v>1.3499999999999943</v>
      </c>
      <c r="N142">
        <v>7.21</v>
      </c>
      <c r="O142">
        <v>0</v>
      </c>
      <c r="P142">
        <v>57</v>
      </c>
      <c r="Q142">
        <v>17.899999999999999</v>
      </c>
      <c r="R142">
        <v>8.1</v>
      </c>
      <c r="S142">
        <v>12.76</v>
      </c>
      <c r="T142">
        <v>-12.76</v>
      </c>
      <c r="U142">
        <v>0.69</v>
      </c>
      <c r="V142">
        <v>918.51</v>
      </c>
      <c r="W142">
        <v>237.09</v>
      </c>
      <c r="X142">
        <v>140.69</v>
      </c>
      <c r="Y142">
        <v>187.11</v>
      </c>
      <c r="Z142">
        <v>6.16</v>
      </c>
      <c r="AA142">
        <v>-0.16</v>
      </c>
      <c r="AB142">
        <v>8.1199999999999992</v>
      </c>
      <c r="AC142">
        <v>-173.9</v>
      </c>
      <c r="AD142">
        <v>980</v>
      </c>
      <c r="AE142">
        <v>8765</v>
      </c>
      <c r="AF142">
        <v>108.62</v>
      </c>
      <c r="AG142">
        <v>0.88</v>
      </c>
      <c r="AH142">
        <v>-354.82</v>
      </c>
      <c r="AI142">
        <v>79.900000000000006</v>
      </c>
      <c r="AJ142">
        <v>60</v>
      </c>
      <c r="AK142">
        <v>9</v>
      </c>
      <c r="AL142">
        <v>9</v>
      </c>
      <c r="AM142">
        <v>0.56999999999999995</v>
      </c>
      <c r="AN142">
        <v>588</v>
      </c>
      <c r="AO142">
        <v>593.1</v>
      </c>
      <c r="AP142">
        <v>472820.99</v>
      </c>
      <c r="AQ142">
        <v>224283.22</v>
      </c>
      <c r="AR142" t="s">
        <v>1049</v>
      </c>
      <c r="AT142" s="6">
        <f t="shared" si="11"/>
        <v>14.185945776255707</v>
      </c>
    </row>
    <row r="143" spans="1:46" x14ac:dyDescent="0.5500000000000000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f t="shared" si="8"/>
        <v>0</v>
      </c>
      <c r="L143">
        <f t="shared" si="9"/>
        <v>0</v>
      </c>
      <c r="M143">
        <f t="shared" si="10"/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T143" s="6">
        <f t="shared" si="11"/>
        <v>0</v>
      </c>
    </row>
    <row r="144" spans="1:46" x14ac:dyDescent="0.55000000000000004">
      <c r="A144">
        <v>0</v>
      </c>
      <c r="B144">
        <v>8.1</v>
      </c>
      <c r="C144">
        <v>1593.83</v>
      </c>
      <c r="D144">
        <v>7.8</v>
      </c>
      <c r="E144" t="s">
        <v>2517</v>
      </c>
      <c r="F144" t="s">
        <v>2602</v>
      </c>
      <c r="G144" t="s">
        <v>2199</v>
      </c>
      <c r="H144" t="s">
        <v>2702</v>
      </c>
      <c r="I144">
        <v>0</v>
      </c>
      <c r="J144">
        <v>2067.16</v>
      </c>
      <c r="K144">
        <f t="shared" si="8"/>
        <v>51.2</v>
      </c>
      <c r="L144">
        <f t="shared" si="9"/>
        <v>51.95</v>
      </c>
      <c r="M144">
        <f t="shared" si="10"/>
        <v>-0.75</v>
      </c>
      <c r="N144">
        <v>7.2</v>
      </c>
      <c r="O144">
        <v>0</v>
      </c>
      <c r="P144">
        <v>56</v>
      </c>
      <c r="Q144">
        <v>17.7</v>
      </c>
      <c r="R144">
        <v>8.1</v>
      </c>
      <c r="S144">
        <v>12.46</v>
      </c>
      <c r="T144">
        <v>-12.46</v>
      </c>
      <c r="U144">
        <v>0.77</v>
      </c>
      <c r="V144">
        <v>1020.05</v>
      </c>
      <c r="W144">
        <v>262.93</v>
      </c>
      <c r="X144">
        <v>154.65</v>
      </c>
      <c r="Y144">
        <v>207.82</v>
      </c>
      <c r="Z144">
        <v>5.42</v>
      </c>
      <c r="AA144">
        <v>-0.08</v>
      </c>
      <c r="AB144">
        <v>7.96</v>
      </c>
      <c r="AC144">
        <v>-185.83</v>
      </c>
      <c r="AD144">
        <v>980</v>
      </c>
      <c r="AE144">
        <v>8765</v>
      </c>
      <c r="AF144">
        <v>108.62</v>
      </c>
      <c r="AG144">
        <v>0.88</v>
      </c>
      <c r="AH144">
        <v>-474.4</v>
      </c>
      <c r="AI144">
        <v>71.91</v>
      </c>
      <c r="AJ144">
        <v>60</v>
      </c>
      <c r="AK144">
        <v>9</v>
      </c>
      <c r="AL144">
        <v>9</v>
      </c>
      <c r="AM144">
        <v>0.63</v>
      </c>
      <c r="AN144">
        <v>588</v>
      </c>
      <c r="AO144">
        <v>593.66999999999996</v>
      </c>
      <c r="AP144">
        <v>465800.45</v>
      </c>
      <c r="AQ144">
        <v>190517.28</v>
      </c>
      <c r="AR144" t="s">
        <v>1051</v>
      </c>
      <c r="AT144" s="6">
        <f t="shared" si="11"/>
        <v>15.71250970319635</v>
      </c>
    </row>
    <row r="145" spans="1:46" x14ac:dyDescent="0.5500000000000000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f t="shared" si="8"/>
        <v>0</v>
      </c>
      <c r="L145">
        <f t="shared" si="9"/>
        <v>0</v>
      </c>
      <c r="M145">
        <f t="shared" si="10"/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T145" s="6">
        <f t="shared" si="11"/>
        <v>0</v>
      </c>
    </row>
    <row r="146" spans="1:46" x14ac:dyDescent="0.55000000000000004">
      <c r="A146">
        <v>0</v>
      </c>
      <c r="B146">
        <v>8.1</v>
      </c>
      <c r="C146">
        <v>2335.23</v>
      </c>
      <c r="D146">
        <v>7.8</v>
      </c>
      <c r="E146" t="s">
        <v>2518</v>
      </c>
      <c r="F146" t="s">
        <v>2603</v>
      </c>
      <c r="G146" t="s">
        <v>2199</v>
      </c>
      <c r="H146" t="s">
        <v>2703</v>
      </c>
      <c r="I146">
        <v>0</v>
      </c>
      <c r="J146">
        <v>2075.98</v>
      </c>
      <c r="K146">
        <f t="shared" si="8"/>
        <v>48.13</v>
      </c>
      <c r="L146">
        <f t="shared" si="9"/>
        <v>50.23</v>
      </c>
      <c r="M146">
        <f t="shared" si="10"/>
        <v>-2.0999999999999943</v>
      </c>
      <c r="N146">
        <v>7.18</v>
      </c>
      <c r="O146">
        <v>0</v>
      </c>
      <c r="P146">
        <v>49</v>
      </c>
      <c r="Q146">
        <v>21.7</v>
      </c>
      <c r="R146">
        <v>8.1</v>
      </c>
      <c r="S146">
        <v>15.02</v>
      </c>
      <c r="T146">
        <v>-15.02</v>
      </c>
      <c r="U146">
        <v>1.1200000000000001</v>
      </c>
      <c r="V146">
        <v>1494.55</v>
      </c>
      <c r="W146">
        <v>384.04</v>
      </c>
      <c r="X146">
        <v>221.44</v>
      </c>
      <c r="Y146">
        <v>304.57</v>
      </c>
      <c r="Z146">
        <v>6.23</v>
      </c>
      <c r="AA146">
        <v>0.22</v>
      </c>
      <c r="AB146">
        <v>7.35</v>
      </c>
      <c r="AC146">
        <v>-117.06</v>
      </c>
      <c r="AD146">
        <v>980</v>
      </c>
      <c r="AE146">
        <v>8765</v>
      </c>
      <c r="AF146">
        <v>108.62</v>
      </c>
      <c r="AG146">
        <v>0.88</v>
      </c>
      <c r="AH146">
        <v>869.82</v>
      </c>
      <c r="AI146">
        <v>87.89</v>
      </c>
      <c r="AJ146">
        <v>60</v>
      </c>
      <c r="AK146">
        <v>9</v>
      </c>
      <c r="AL146">
        <v>9</v>
      </c>
      <c r="AM146">
        <v>0.52</v>
      </c>
      <c r="AN146">
        <v>588</v>
      </c>
      <c r="AO146">
        <v>592.64</v>
      </c>
      <c r="AP146">
        <v>436493.8</v>
      </c>
      <c r="AQ146">
        <v>251909.9</v>
      </c>
      <c r="AR146" t="s">
        <v>1053</v>
      </c>
      <c r="AT146" s="6">
        <f t="shared" si="11"/>
        <v>10.535610730593607</v>
      </c>
    </row>
    <row r="147" spans="1:46" x14ac:dyDescent="0.5500000000000000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f t="shared" si="8"/>
        <v>0</v>
      </c>
      <c r="L147">
        <f t="shared" si="9"/>
        <v>0</v>
      </c>
      <c r="M147">
        <f t="shared" si="10"/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T147" s="6">
        <f t="shared" si="11"/>
        <v>0</v>
      </c>
    </row>
    <row r="148" spans="1:46" x14ac:dyDescent="0.5500000000000000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f t="shared" si="8"/>
        <v>0</v>
      </c>
      <c r="L148">
        <f t="shared" si="9"/>
        <v>0</v>
      </c>
      <c r="M148">
        <f t="shared" si="10"/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T148" s="6">
        <f t="shared" si="11"/>
        <v>0</v>
      </c>
    </row>
    <row r="149" spans="1:46" x14ac:dyDescent="0.5500000000000000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f t="shared" si="8"/>
        <v>0</v>
      </c>
      <c r="L149">
        <f t="shared" si="9"/>
        <v>0</v>
      </c>
      <c r="M149">
        <f t="shared" si="10"/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T149" s="6">
        <f t="shared" si="11"/>
        <v>0</v>
      </c>
    </row>
    <row r="150" spans="1:46" x14ac:dyDescent="0.5500000000000000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f t="shared" si="8"/>
        <v>0</v>
      </c>
      <c r="L150">
        <f t="shared" si="9"/>
        <v>0</v>
      </c>
      <c r="M150">
        <f t="shared" si="10"/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T150" s="6">
        <f t="shared" si="11"/>
        <v>0</v>
      </c>
    </row>
    <row r="151" spans="1:46" x14ac:dyDescent="0.55000000000000004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f t="shared" si="8"/>
        <v>0</v>
      </c>
      <c r="L151">
        <f t="shared" si="9"/>
        <v>0</v>
      </c>
      <c r="M151">
        <f t="shared" si="10"/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T151" s="6">
        <f t="shared" si="11"/>
        <v>0</v>
      </c>
    </row>
    <row r="152" spans="1:46" x14ac:dyDescent="0.55000000000000004">
      <c r="A152">
        <v>0</v>
      </c>
      <c r="B152">
        <v>8.1</v>
      </c>
      <c r="C152">
        <v>3331.97</v>
      </c>
      <c r="D152">
        <v>7.8</v>
      </c>
      <c r="E152" t="s">
        <v>2519</v>
      </c>
      <c r="F152" t="s">
        <v>2604</v>
      </c>
      <c r="G152" t="s">
        <v>2199</v>
      </c>
      <c r="H152" t="s">
        <v>2704</v>
      </c>
      <c r="I152">
        <v>0</v>
      </c>
      <c r="J152">
        <v>2077.89</v>
      </c>
      <c r="K152">
        <f t="shared" si="8"/>
        <v>46.33</v>
      </c>
      <c r="L152">
        <f t="shared" si="9"/>
        <v>50.23</v>
      </c>
      <c r="M152">
        <f t="shared" si="10"/>
        <v>-3.8999999999999986</v>
      </c>
      <c r="N152">
        <v>7.16</v>
      </c>
      <c r="O152">
        <v>0</v>
      </c>
      <c r="P152">
        <v>58</v>
      </c>
      <c r="Q152">
        <v>18</v>
      </c>
      <c r="R152">
        <v>8.1</v>
      </c>
      <c r="S152">
        <v>12.97</v>
      </c>
      <c r="T152">
        <v>-12.97</v>
      </c>
      <c r="U152">
        <v>1.6</v>
      </c>
      <c r="V152">
        <v>2132.46</v>
      </c>
      <c r="W152">
        <v>546.79</v>
      </c>
      <c r="X152">
        <v>310.93</v>
      </c>
      <c r="Y152">
        <v>434.65</v>
      </c>
      <c r="Z152">
        <v>5.99</v>
      </c>
      <c r="AA152">
        <v>0.51</v>
      </c>
      <c r="AB152">
        <v>6.78</v>
      </c>
      <c r="AC152">
        <v>-166.36</v>
      </c>
      <c r="AD152">
        <v>980</v>
      </c>
      <c r="AE152">
        <v>8765</v>
      </c>
      <c r="AF152">
        <v>108.62</v>
      </c>
      <c r="AG152">
        <v>0.88</v>
      </c>
      <c r="AH152">
        <v>179.98</v>
      </c>
      <c r="AI152">
        <v>87.89</v>
      </c>
      <c r="AJ152">
        <v>60</v>
      </c>
      <c r="AK152">
        <v>9</v>
      </c>
      <c r="AL152">
        <v>9</v>
      </c>
      <c r="AM152">
        <v>0.52</v>
      </c>
      <c r="AN152">
        <v>588</v>
      </c>
      <c r="AO152">
        <v>592.64</v>
      </c>
      <c r="AP152">
        <v>422224.01</v>
      </c>
      <c r="AQ152">
        <v>251909.9</v>
      </c>
      <c r="AR152" t="s">
        <v>1059</v>
      </c>
      <c r="AT152" s="6">
        <f t="shared" si="11"/>
        <v>9.7211250000000007</v>
      </c>
    </row>
    <row r="153" spans="1:46" x14ac:dyDescent="0.55000000000000004">
      <c r="A153">
        <v>0</v>
      </c>
      <c r="B153">
        <v>8.1</v>
      </c>
      <c r="C153">
        <v>663.77</v>
      </c>
      <c r="D153">
        <v>7.8</v>
      </c>
      <c r="E153" t="s">
        <v>2520</v>
      </c>
      <c r="F153" t="s">
        <v>2605</v>
      </c>
      <c r="G153" t="s">
        <v>2199</v>
      </c>
      <c r="H153" t="s">
        <v>2705</v>
      </c>
      <c r="I153">
        <v>0</v>
      </c>
      <c r="J153">
        <v>1982.76</v>
      </c>
      <c r="K153">
        <f t="shared" si="8"/>
        <v>71.02000000000001</v>
      </c>
      <c r="L153">
        <f t="shared" si="9"/>
        <v>50.23</v>
      </c>
      <c r="M153">
        <f t="shared" si="10"/>
        <v>20.790000000000013</v>
      </c>
      <c r="N153">
        <v>7.28</v>
      </c>
      <c r="O153">
        <v>0</v>
      </c>
      <c r="P153">
        <v>53</v>
      </c>
      <c r="Q153">
        <v>20.9</v>
      </c>
      <c r="R153">
        <v>8.1</v>
      </c>
      <c r="S153">
        <v>14.88</v>
      </c>
      <c r="T153">
        <v>-14.88</v>
      </c>
      <c r="U153">
        <v>0.33</v>
      </c>
      <c r="V153">
        <v>424.81</v>
      </c>
      <c r="W153">
        <v>111.11</v>
      </c>
      <c r="X153">
        <v>71.459999999999994</v>
      </c>
      <c r="Y153">
        <v>86.42</v>
      </c>
      <c r="Z153">
        <v>9.19</v>
      </c>
      <c r="AA153">
        <v>-0.75</v>
      </c>
      <c r="AB153">
        <v>9.3000000000000007</v>
      </c>
      <c r="AC153">
        <v>-119.41</v>
      </c>
      <c r="AD153">
        <v>980</v>
      </c>
      <c r="AE153">
        <v>8765</v>
      </c>
      <c r="AF153">
        <v>108.62</v>
      </c>
      <c r="AG153">
        <v>0.88</v>
      </c>
      <c r="AH153">
        <v>-163.29</v>
      </c>
      <c r="AI153">
        <v>87.89</v>
      </c>
      <c r="AJ153">
        <v>60</v>
      </c>
      <c r="AK153">
        <v>9</v>
      </c>
      <c r="AL153">
        <v>9</v>
      </c>
      <c r="AM153">
        <v>0.52</v>
      </c>
      <c r="AN153">
        <v>588</v>
      </c>
      <c r="AO153">
        <v>592.64</v>
      </c>
      <c r="AP153">
        <v>693608.28</v>
      </c>
      <c r="AQ153">
        <v>251909.9</v>
      </c>
      <c r="AR153" t="s">
        <v>1060</v>
      </c>
      <c r="AT153" s="6">
        <f t="shared" si="11"/>
        <v>25.211094748858446</v>
      </c>
    </row>
    <row r="154" spans="1:46" x14ac:dyDescent="0.5500000000000000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f t="shared" si="8"/>
        <v>0</v>
      </c>
      <c r="L154">
        <f t="shared" si="9"/>
        <v>0</v>
      </c>
      <c r="M154">
        <f t="shared" si="10"/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T154" s="6">
        <f t="shared" si="11"/>
        <v>0</v>
      </c>
    </row>
    <row r="155" spans="1:46" x14ac:dyDescent="0.5500000000000000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f t="shared" si="8"/>
        <v>0</v>
      </c>
      <c r="L155">
        <f t="shared" si="9"/>
        <v>0</v>
      </c>
      <c r="M155">
        <f t="shared" si="10"/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T155" s="6">
        <f t="shared" si="11"/>
        <v>0</v>
      </c>
    </row>
    <row r="156" spans="1:46" x14ac:dyDescent="0.5500000000000000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f t="shared" si="8"/>
        <v>0</v>
      </c>
      <c r="L156">
        <f t="shared" si="9"/>
        <v>0</v>
      </c>
      <c r="M156">
        <f t="shared" si="10"/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T156" s="6">
        <f t="shared" si="11"/>
        <v>0</v>
      </c>
    </row>
    <row r="157" spans="1:46" x14ac:dyDescent="0.5500000000000000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f t="shared" si="8"/>
        <v>0</v>
      </c>
      <c r="L157">
        <f t="shared" si="9"/>
        <v>0</v>
      </c>
      <c r="M157">
        <f t="shared" si="10"/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T157" s="6">
        <f t="shared" si="11"/>
        <v>0</v>
      </c>
    </row>
    <row r="158" spans="1:46" x14ac:dyDescent="0.55000000000000004">
      <c r="A158">
        <v>0</v>
      </c>
      <c r="B158">
        <v>8.1</v>
      </c>
      <c r="C158">
        <v>620.41999999999996</v>
      </c>
      <c r="D158">
        <v>7.8</v>
      </c>
      <c r="E158" t="s">
        <v>2521</v>
      </c>
      <c r="F158" t="s">
        <v>2599</v>
      </c>
      <c r="G158" t="s">
        <v>2199</v>
      </c>
      <c r="H158" t="s">
        <v>2706</v>
      </c>
      <c r="I158">
        <v>0</v>
      </c>
      <c r="J158">
        <v>1976.76</v>
      </c>
      <c r="K158">
        <f t="shared" si="8"/>
        <v>74.63</v>
      </c>
      <c r="L158">
        <f t="shared" si="9"/>
        <v>51</v>
      </c>
      <c r="M158">
        <f t="shared" si="10"/>
        <v>23.629999999999995</v>
      </c>
      <c r="N158">
        <v>7.29</v>
      </c>
      <c r="O158">
        <v>0</v>
      </c>
      <c r="P158">
        <v>57</v>
      </c>
      <c r="Q158">
        <v>19.7</v>
      </c>
      <c r="R158">
        <v>8.1</v>
      </c>
      <c r="S158">
        <v>14.36</v>
      </c>
      <c r="T158">
        <v>-14.36</v>
      </c>
      <c r="U158">
        <v>0.31</v>
      </c>
      <c r="V158">
        <v>397.07</v>
      </c>
      <c r="W158">
        <v>104.14</v>
      </c>
      <c r="X158">
        <v>68.03</v>
      </c>
      <c r="Y158">
        <v>80.75</v>
      </c>
      <c r="Z158">
        <v>8.7799999999999994</v>
      </c>
      <c r="AA158">
        <v>-0.8</v>
      </c>
      <c r="AB158">
        <v>9.39</v>
      </c>
      <c r="AC158">
        <v>-129.47999999999999</v>
      </c>
      <c r="AD158">
        <v>980</v>
      </c>
      <c r="AE158">
        <v>8765</v>
      </c>
      <c r="AF158">
        <v>108.62</v>
      </c>
      <c r="AG158">
        <v>0.88</v>
      </c>
      <c r="AH158">
        <v>-158.31</v>
      </c>
      <c r="AI158">
        <v>79.900000000000006</v>
      </c>
      <c r="AJ158">
        <v>60</v>
      </c>
      <c r="AK158">
        <v>9</v>
      </c>
      <c r="AL158">
        <v>9</v>
      </c>
      <c r="AM158">
        <v>0.56999999999999995</v>
      </c>
      <c r="AN158">
        <v>588</v>
      </c>
      <c r="AO158">
        <v>593.1</v>
      </c>
      <c r="AP158">
        <v>727853.37</v>
      </c>
      <c r="AQ158">
        <v>224283.22</v>
      </c>
      <c r="AR158" t="s">
        <v>1065</v>
      </c>
      <c r="AT158" s="6">
        <f t="shared" si="11"/>
        <v>28.742588470319635</v>
      </c>
    </row>
    <row r="159" spans="1:46" x14ac:dyDescent="0.5500000000000000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f t="shared" si="8"/>
        <v>0</v>
      </c>
      <c r="L159">
        <f t="shared" si="9"/>
        <v>0</v>
      </c>
      <c r="M159">
        <f t="shared" si="10"/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T159" s="6">
        <f t="shared" si="11"/>
        <v>0</v>
      </c>
    </row>
    <row r="160" spans="1:46" x14ac:dyDescent="0.5500000000000000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f t="shared" si="8"/>
        <v>0</v>
      </c>
      <c r="L160">
        <f t="shared" si="9"/>
        <v>0</v>
      </c>
      <c r="M160">
        <f t="shared" si="10"/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T160" s="6">
        <f t="shared" si="11"/>
        <v>0</v>
      </c>
    </row>
    <row r="161" spans="1:46" x14ac:dyDescent="0.55000000000000004">
      <c r="A161">
        <v>0</v>
      </c>
      <c r="B161">
        <v>8.1</v>
      </c>
      <c r="C161">
        <v>937.75</v>
      </c>
      <c r="D161">
        <v>7.8</v>
      </c>
      <c r="E161" t="s">
        <v>2522</v>
      </c>
      <c r="F161" t="s">
        <v>2606</v>
      </c>
      <c r="G161" t="s">
        <v>2199</v>
      </c>
      <c r="H161" t="s">
        <v>2707</v>
      </c>
      <c r="I161">
        <v>0</v>
      </c>
      <c r="J161">
        <v>2013.81</v>
      </c>
      <c r="K161">
        <f t="shared" si="8"/>
        <v>59.43</v>
      </c>
      <c r="L161">
        <f t="shared" si="9"/>
        <v>51.95</v>
      </c>
      <c r="M161">
        <f t="shared" si="10"/>
        <v>7.4799999999999969</v>
      </c>
      <c r="N161">
        <v>7.22</v>
      </c>
      <c r="O161">
        <v>0</v>
      </c>
      <c r="P161">
        <v>59</v>
      </c>
      <c r="Q161">
        <v>19.100000000000001</v>
      </c>
      <c r="R161">
        <v>8.1</v>
      </c>
      <c r="S161">
        <v>14.08</v>
      </c>
      <c r="T161">
        <v>-14.08</v>
      </c>
      <c r="U161">
        <v>0.47</v>
      </c>
      <c r="V161">
        <v>600.16</v>
      </c>
      <c r="W161">
        <v>155.54</v>
      </c>
      <c r="X161">
        <v>94.77</v>
      </c>
      <c r="Y161">
        <v>122.19</v>
      </c>
      <c r="Z161">
        <v>6.29</v>
      </c>
      <c r="AA161">
        <v>-0.5</v>
      </c>
      <c r="AB161">
        <v>8.7899999999999991</v>
      </c>
      <c r="AC161">
        <v>-135.56</v>
      </c>
      <c r="AD161">
        <v>980</v>
      </c>
      <c r="AE161">
        <v>8765</v>
      </c>
      <c r="AF161">
        <v>108.62</v>
      </c>
      <c r="AG161">
        <v>0.88</v>
      </c>
      <c r="AH161">
        <v>-203.29</v>
      </c>
      <c r="AI161">
        <v>71.91</v>
      </c>
      <c r="AJ161">
        <v>60</v>
      </c>
      <c r="AK161">
        <v>9</v>
      </c>
      <c r="AL161">
        <v>9</v>
      </c>
      <c r="AM161">
        <v>0.63</v>
      </c>
      <c r="AN161">
        <v>588</v>
      </c>
      <c r="AO161">
        <v>593.66999999999996</v>
      </c>
      <c r="AP161">
        <v>574815.01</v>
      </c>
      <c r="AQ161">
        <v>190517.28</v>
      </c>
      <c r="AR161" t="s">
        <v>1068</v>
      </c>
      <c r="AT161" s="6">
        <f t="shared" si="11"/>
        <v>21.934801940639268</v>
      </c>
    </row>
    <row r="162" spans="1:46" x14ac:dyDescent="0.5500000000000000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f t="shared" si="8"/>
        <v>0</v>
      </c>
      <c r="L162">
        <f t="shared" si="9"/>
        <v>0</v>
      </c>
      <c r="M162">
        <f t="shared" si="10"/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T162" s="6">
        <f t="shared" si="11"/>
        <v>0</v>
      </c>
    </row>
    <row r="163" spans="1:46" x14ac:dyDescent="0.5500000000000000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f t="shared" si="8"/>
        <v>0</v>
      </c>
      <c r="L163">
        <f t="shared" si="9"/>
        <v>0</v>
      </c>
      <c r="M163">
        <f t="shared" si="10"/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T163" s="6">
        <f t="shared" si="11"/>
        <v>0</v>
      </c>
    </row>
    <row r="164" spans="1:46" x14ac:dyDescent="0.55000000000000004">
      <c r="A164">
        <v>0</v>
      </c>
      <c r="B164">
        <v>8.1</v>
      </c>
      <c r="C164">
        <v>3939</v>
      </c>
      <c r="D164">
        <v>7.8</v>
      </c>
      <c r="E164" t="s">
        <v>2523</v>
      </c>
      <c r="F164" t="s">
        <v>2607</v>
      </c>
      <c r="G164" t="s">
        <v>2199</v>
      </c>
      <c r="H164" t="s">
        <v>2708</v>
      </c>
      <c r="I164">
        <v>0</v>
      </c>
      <c r="J164">
        <v>2104.91</v>
      </c>
      <c r="K164">
        <f t="shared" si="8"/>
        <v>45.7</v>
      </c>
      <c r="L164">
        <f t="shared" si="9"/>
        <v>50.23</v>
      </c>
      <c r="M164">
        <f t="shared" si="10"/>
        <v>-4.529999999999994</v>
      </c>
      <c r="N164">
        <v>7.18</v>
      </c>
      <c r="O164">
        <v>0</v>
      </c>
      <c r="P164">
        <v>54</v>
      </c>
      <c r="Q164">
        <v>16.5</v>
      </c>
      <c r="R164">
        <v>8.1</v>
      </c>
      <c r="S164">
        <v>11.16</v>
      </c>
      <c r="T164">
        <v>-11.16</v>
      </c>
      <c r="U164">
        <v>1.87</v>
      </c>
      <c r="V164">
        <v>2520.96</v>
      </c>
      <c r="W164">
        <v>647.14</v>
      </c>
      <c r="X164">
        <v>370.4</v>
      </c>
      <c r="Y164">
        <v>513.84</v>
      </c>
      <c r="Z164">
        <v>5.91</v>
      </c>
      <c r="AA164">
        <v>0.65</v>
      </c>
      <c r="AB164">
        <v>6.5</v>
      </c>
      <c r="AC164">
        <v>-264.41000000000003</v>
      </c>
      <c r="AD164">
        <v>980</v>
      </c>
      <c r="AE164">
        <v>8765</v>
      </c>
      <c r="AF164">
        <v>108.62</v>
      </c>
      <c r="AG164">
        <v>0.88</v>
      </c>
      <c r="AH164">
        <v>124.66</v>
      </c>
      <c r="AI164">
        <v>87.89</v>
      </c>
      <c r="AJ164">
        <v>60</v>
      </c>
      <c r="AK164">
        <v>9</v>
      </c>
      <c r="AL164">
        <v>9</v>
      </c>
      <c r="AM164">
        <v>0.52</v>
      </c>
      <c r="AN164">
        <v>588</v>
      </c>
      <c r="AO164">
        <v>592.64</v>
      </c>
      <c r="AP164">
        <v>394825.65</v>
      </c>
      <c r="AQ164">
        <v>251909.9</v>
      </c>
      <c r="AR164" t="s">
        <v>1071</v>
      </c>
      <c r="AT164" s="6">
        <f t="shared" si="11"/>
        <v>8.1572916666666675</v>
      </c>
    </row>
    <row r="165" spans="1:46" x14ac:dyDescent="0.5500000000000000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f t="shared" si="8"/>
        <v>0</v>
      </c>
      <c r="L165">
        <f t="shared" si="9"/>
        <v>0</v>
      </c>
      <c r="M165">
        <f t="shared" si="10"/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T165" s="6">
        <f t="shared" si="11"/>
        <v>0</v>
      </c>
    </row>
    <row r="166" spans="1:46" x14ac:dyDescent="0.55000000000000004">
      <c r="A166">
        <v>0</v>
      </c>
      <c r="B166">
        <v>8.1</v>
      </c>
      <c r="C166">
        <v>1333.37</v>
      </c>
      <c r="D166">
        <v>7.8</v>
      </c>
      <c r="E166" t="s">
        <v>2524</v>
      </c>
      <c r="F166" t="s">
        <v>2608</v>
      </c>
      <c r="G166" t="s">
        <v>2199</v>
      </c>
      <c r="H166" t="s">
        <v>2709</v>
      </c>
      <c r="I166">
        <v>0</v>
      </c>
      <c r="J166">
        <v>2061.85</v>
      </c>
      <c r="K166">
        <f t="shared" si="8"/>
        <v>53.269999999999996</v>
      </c>
      <c r="L166">
        <f t="shared" si="9"/>
        <v>51.95</v>
      </c>
      <c r="M166">
        <f t="shared" si="10"/>
        <v>1.3199999999999932</v>
      </c>
      <c r="N166">
        <v>7.21</v>
      </c>
      <c r="O166">
        <v>0</v>
      </c>
      <c r="P166">
        <v>54</v>
      </c>
      <c r="Q166">
        <v>16.600000000000001</v>
      </c>
      <c r="R166">
        <v>8.1</v>
      </c>
      <c r="S166">
        <v>11.25</v>
      </c>
      <c r="T166">
        <v>-11.25</v>
      </c>
      <c r="U166">
        <v>0.65</v>
      </c>
      <c r="V166">
        <v>853.36</v>
      </c>
      <c r="W166">
        <v>220.41</v>
      </c>
      <c r="X166">
        <v>131.30000000000001</v>
      </c>
      <c r="Y166">
        <v>173.82</v>
      </c>
      <c r="Z166">
        <v>5.64</v>
      </c>
      <c r="AA166">
        <v>-0.22</v>
      </c>
      <c r="AB166">
        <v>8.24</v>
      </c>
      <c r="AC166">
        <v>-257.05</v>
      </c>
      <c r="AD166">
        <v>980</v>
      </c>
      <c r="AE166">
        <v>8765</v>
      </c>
      <c r="AF166">
        <v>108.62</v>
      </c>
      <c r="AG166">
        <v>0.88</v>
      </c>
      <c r="AH166">
        <v>-307.45</v>
      </c>
      <c r="AI166">
        <v>71.91</v>
      </c>
      <c r="AJ166">
        <v>60</v>
      </c>
      <c r="AK166">
        <v>9</v>
      </c>
      <c r="AL166">
        <v>9</v>
      </c>
      <c r="AM166">
        <v>0.63</v>
      </c>
      <c r="AN166">
        <v>588</v>
      </c>
      <c r="AO166">
        <v>593.66999999999996</v>
      </c>
      <c r="AP166">
        <v>485212.06</v>
      </c>
      <c r="AQ166">
        <v>190517.28</v>
      </c>
      <c r="AR166" t="s">
        <v>1073</v>
      </c>
      <c r="AT166" s="6">
        <f t="shared" si="11"/>
        <v>16.820478310502285</v>
      </c>
    </row>
    <row r="167" spans="1:46" x14ac:dyDescent="0.55000000000000004">
      <c r="A167">
        <v>0</v>
      </c>
      <c r="B167">
        <v>8.1</v>
      </c>
      <c r="C167">
        <v>4050.79</v>
      </c>
      <c r="D167">
        <v>7.8</v>
      </c>
      <c r="E167" t="s">
        <v>2525</v>
      </c>
      <c r="F167" t="s">
        <v>2118</v>
      </c>
      <c r="G167" t="s">
        <v>2199</v>
      </c>
      <c r="H167" t="s">
        <v>2710</v>
      </c>
      <c r="I167">
        <v>0</v>
      </c>
      <c r="J167">
        <v>2214.9699999999998</v>
      </c>
      <c r="K167">
        <f t="shared" si="8"/>
        <v>45.61</v>
      </c>
      <c r="L167">
        <f t="shared" si="9"/>
        <v>45.61</v>
      </c>
      <c r="M167">
        <f t="shared" si="10"/>
        <v>0</v>
      </c>
      <c r="N167">
        <v>7.29</v>
      </c>
      <c r="O167">
        <v>0</v>
      </c>
      <c r="P167">
        <v>42</v>
      </c>
      <c r="Q167">
        <v>21.2</v>
      </c>
      <c r="R167">
        <v>8.1</v>
      </c>
      <c r="S167">
        <v>13.59</v>
      </c>
      <c r="T167">
        <v>-13.59</v>
      </c>
      <c r="U167">
        <v>1.83</v>
      </c>
      <c r="V167">
        <v>2592.5100000000002</v>
      </c>
      <c r="W167">
        <v>670.33</v>
      </c>
      <c r="X167">
        <v>400.43</v>
      </c>
      <c r="Y167">
        <v>528.27</v>
      </c>
      <c r="Z167">
        <v>14.68</v>
      </c>
      <c r="AA167">
        <v>0.7</v>
      </c>
      <c r="AB167">
        <v>6.4</v>
      </c>
      <c r="AC167">
        <v>-147.53</v>
      </c>
      <c r="AD167">
        <v>980</v>
      </c>
      <c r="AE167">
        <v>8765</v>
      </c>
      <c r="AF167">
        <v>108.62</v>
      </c>
      <c r="AG167">
        <v>0.88</v>
      </c>
      <c r="AH167">
        <v>131.06</v>
      </c>
      <c r="AI167">
        <v>218.66</v>
      </c>
      <c r="AJ167">
        <v>60</v>
      </c>
      <c r="AK167">
        <v>9</v>
      </c>
      <c r="AL167">
        <v>9</v>
      </c>
      <c r="AM167">
        <v>0.21</v>
      </c>
      <c r="AN167">
        <v>588</v>
      </c>
      <c r="AO167">
        <v>589.86</v>
      </c>
      <c r="AP167">
        <v>300412.31</v>
      </c>
      <c r="AQ167">
        <v>300412.31</v>
      </c>
      <c r="AR167" t="s">
        <v>1074</v>
      </c>
      <c r="AT167" s="6">
        <f t="shared" si="11"/>
        <v>0</v>
      </c>
    </row>
    <row r="168" spans="1:46" x14ac:dyDescent="0.5500000000000000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f t="shared" si="8"/>
        <v>0</v>
      </c>
      <c r="L168">
        <f t="shared" si="9"/>
        <v>0</v>
      </c>
      <c r="M168">
        <f t="shared" si="10"/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T168" s="6">
        <f t="shared" si="11"/>
        <v>0</v>
      </c>
    </row>
    <row r="169" spans="1:46" x14ac:dyDescent="0.55000000000000004">
      <c r="A169">
        <v>0</v>
      </c>
      <c r="B169">
        <v>8.1</v>
      </c>
      <c r="C169">
        <v>7961.77</v>
      </c>
      <c r="D169">
        <v>7.8</v>
      </c>
      <c r="E169" t="s">
        <v>2526</v>
      </c>
      <c r="F169" t="s">
        <v>2609</v>
      </c>
      <c r="G169" t="s">
        <v>2199</v>
      </c>
      <c r="H169" t="s">
        <v>2711</v>
      </c>
      <c r="I169">
        <v>0</v>
      </c>
      <c r="J169">
        <v>2144.5500000000002</v>
      </c>
      <c r="K169">
        <f t="shared" si="8"/>
        <v>44.04</v>
      </c>
      <c r="L169">
        <f t="shared" si="9"/>
        <v>51.95</v>
      </c>
      <c r="M169">
        <f t="shared" si="10"/>
        <v>-7.9100000000000037</v>
      </c>
      <c r="N169">
        <v>7.2</v>
      </c>
      <c r="O169">
        <v>0</v>
      </c>
      <c r="P169">
        <v>52</v>
      </c>
      <c r="Q169">
        <v>16.7</v>
      </c>
      <c r="R169">
        <v>8.1</v>
      </c>
      <c r="S169">
        <v>11.1</v>
      </c>
      <c r="T169">
        <v>-11.1</v>
      </c>
      <c r="U169">
        <v>3.71</v>
      </c>
      <c r="V169">
        <v>5095.53</v>
      </c>
      <c r="W169">
        <v>1308.8499999999999</v>
      </c>
      <c r="X169">
        <v>751.33</v>
      </c>
      <c r="Y169">
        <v>1038.67</v>
      </c>
      <c r="Z169">
        <v>4.66</v>
      </c>
      <c r="AA169">
        <v>1.23</v>
      </c>
      <c r="AB169">
        <v>5.33</v>
      </c>
      <c r="AC169">
        <v>-269.89999999999998</v>
      </c>
      <c r="AD169">
        <v>980</v>
      </c>
      <c r="AE169">
        <v>8765</v>
      </c>
      <c r="AF169">
        <v>108.62</v>
      </c>
      <c r="AG169">
        <v>0.88</v>
      </c>
      <c r="AH169">
        <v>40.049999999999997</v>
      </c>
      <c r="AI169">
        <v>71.91</v>
      </c>
      <c r="AJ169">
        <v>60</v>
      </c>
      <c r="AK169">
        <v>9</v>
      </c>
      <c r="AL169">
        <v>9</v>
      </c>
      <c r="AM169">
        <v>0.63</v>
      </c>
      <c r="AN169">
        <v>588</v>
      </c>
      <c r="AO169">
        <v>593.66999999999996</v>
      </c>
      <c r="AP169">
        <v>350276.53</v>
      </c>
      <c r="AQ169">
        <v>190517.28</v>
      </c>
      <c r="AR169" t="s">
        <v>1076</v>
      </c>
      <c r="AT169" s="6">
        <f t="shared" si="11"/>
        <v>9.1186786529680379</v>
      </c>
    </row>
    <row r="170" spans="1:46" x14ac:dyDescent="0.55000000000000004">
      <c r="A170">
        <v>0</v>
      </c>
      <c r="B170">
        <v>8.1</v>
      </c>
      <c r="C170">
        <v>1248.3900000000001</v>
      </c>
      <c r="D170">
        <v>7.8</v>
      </c>
      <c r="E170" t="s">
        <v>2527</v>
      </c>
      <c r="F170" t="s">
        <v>2610</v>
      </c>
      <c r="G170" t="s">
        <v>2199</v>
      </c>
      <c r="H170" t="s">
        <v>2712</v>
      </c>
      <c r="I170">
        <v>0</v>
      </c>
      <c r="J170">
        <v>2041.79</v>
      </c>
      <c r="K170">
        <f t="shared" si="8"/>
        <v>54.18</v>
      </c>
      <c r="L170">
        <f t="shared" si="9"/>
        <v>51.95</v>
      </c>
      <c r="M170">
        <f t="shared" si="10"/>
        <v>2.2299999999999969</v>
      </c>
      <c r="N170">
        <v>7.2</v>
      </c>
      <c r="O170">
        <v>0</v>
      </c>
      <c r="P170">
        <v>54</v>
      </c>
      <c r="Q170">
        <v>16.7</v>
      </c>
      <c r="R170">
        <v>8.1</v>
      </c>
      <c r="S170">
        <v>11.34</v>
      </c>
      <c r="T170">
        <v>-11.34</v>
      </c>
      <c r="U170">
        <v>0.61</v>
      </c>
      <c r="V170">
        <v>798.97</v>
      </c>
      <c r="W170">
        <v>206.29</v>
      </c>
      <c r="X170">
        <v>122.7</v>
      </c>
      <c r="Y170">
        <v>162.74</v>
      </c>
      <c r="Z170">
        <v>5.74</v>
      </c>
      <c r="AA170">
        <v>-0.27</v>
      </c>
      <c r="AB170">
        <v>8.35</v>
      </c>
      <c r="AC170">
        <v>-250.1</v>
      </c>
      <c r="AD170">
        <v>980</v>
      </c>
      <c r="AE170">
        <v>8765</v>
      </c>
      <c r="AF170">
        <v>108.62</v>
      </c>
      <c r="AG170">
        <v>0.88</v>
      </c>
      <c r="AH170">
        <v>-279.54000000000002</v>
      </c>
      <c r="AI170">
        <v>71.91</v>
      </c>
      <c r="AJ170">
        <v>60</v>
      </c>
      <c r="AK170">
        <v>9</v>
      </c>
      <c r="AL170">
        <v>9</v>
      </c>
      <c r="AM170">
        <v>0.63</v>
      </c>
      <c r="AN170">
        <v>588</v>
      </c>
      <c r="AO170">
        <v>593.66999999999996</v>
      </c>
      <c r="AP170">
        <v>510039.69</v>
      </c>
      <c r="AQ170">
        <v>190517.28</v>
      </c>
      <c r="AR170" t="s">
        <v>1077</v>
      </c>
      <c r="AT170" s="6">
        <f t="shared" si="11"/>
        <v>18.237580479452056</v>
      </c>
    </row>
    <row r="171" spans="1:46" x14ac:dyDescent="0.5500000000000000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f t="shared" si="8"/>
        <v>0</v>
      </c>
      <c r="L171">
        <f t="shared" si="9"/>
        <v>0</v>
      </c>
      <c r="M171">
        <f t="shared" si="10"/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T171" s="6">
        <f t="shared" si="11"/>
        <v>0</v>
      </c>
    </row>
    <row r="172" spans="1:46" x14ac:dyDescent="0.5500000000000000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f t="shared" si="8"/>
        <v>0</v>
      </c>
      <c r="L172">
        <f t="shared" si="9"/>
        <v>0</v>
      </c>
      <c r="M172">
        <f t="shared" si="10"/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T172" s="6">
        <f t="shared" si="11"/>
        <v>0</v>
      </c>
    </row>
    <row r="173" spans="1:46" x14ac:dyDescent="0.5500000000000000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f t="shared" si="8"/>
        <v>0</v>
      </c>
      <c r="L173">
        <f t="shared" si="9"/>
        <v>0</v>
      </c>
      <c r="M173">
        <f t="shared" si="10"/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T173" s="6">
        <f t="shared" si="11"/>
        <v>0</v>
      </c>
    </row>
    <row r="174" spans="1:46" x14ac:dyDescent="0.5500000000000000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f t="shared" si="8"/>
        <v>0</v>
      </c>
      <c r="L174">
        <f t="shared" si="9"/>
        <v>0</v>
      </c>
      <c r="M174">
        <f t="shared" si="10"/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T174" s="6">
        <f t="shared" si="11"/>
        <v>0</v>
      </c>
    </row>
    <row r="175" spans="1:46" x14ac:dyDescent="0.5500000000000000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f t="shared" si="8"/>
        <v>0</v>
      </c>
      <c r="L175">
        <f t="shared" si="9"/>
        <v>0</v>
      </c>
      <c r="M175">
        <f t="shared" si="10"/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T175" s="6">
        <f t="shared" si="11"/>
        <v>0</v>
      </c>
    </row>
    <row r="176" spans="1:46" x14ac:dyDescent="0.55000000000000004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f t="shared" si="8"/>
        <v>0</v>
      </c>
      <c r="L176">
        <f t="shared" si="9"/>
        <v>0</v>
      </c>
      <c r="M176">
        <f t="shared" si="10"/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T176" s="6">
        <f t="shared" si="11"/>
        <v>0</v>
      </c>
    </row>
    <row r="177" spans="1:46" x14ac:dyDescent="0.5500000000000000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f t="shared" si="8"/>
        <v>0</v>
      </c>
      <c r="L177">
        <f t="shared" si="9"/>
        <v>0</v>
      </c>
      <c r="M177">
        <f t="shared" si="10"/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T177" s="6">
        <f t="shared" si="11"/>
        <v>0</v>
      </c>
    </row>
    <row r="178" spans="1:46" x14ac:dyDescent="0.5500000000000000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f t="shared" si="8"/>
        <v>0</v>
      </c>
      <c r="L178">
        <f t="shared" si="9"/>
        <v>0</v>
      </c>
      <c r="M178">
        <f t="shared" si="10"/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T178" s="6">
        <f t="shared" si="11"/>
        <v>0</v>
      </c>
    </row>
    <row r="179" spans="1:46" x14ac:dyDescent="0.5500000000000000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f t="shared" si="8"/>
        <v>0</v>
      </c>
      <c r="L179">
        <f t="shared" si="9"/>
        <v>0</v>
      </c>
      <c r="M179">
        <f t="shared" si="10"/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T179" s="6">
        <f t="shared" si="11"/>
        <v>0</v>
      </c>
    </row>
    <row r="180" spans="1:46" x14ac:dyDescent="0.55000000000000004">
      <c r="A180">
        <v>0</v>
      </c>
      <c r="B180">
        <v>8.1</v>
      </c>
      <c r="C180">
        <v>7661.7</v>
      </c>
      <c r="D180">
        <v>7.8</v>
      </c>
      <c r="E180" t="s">
        <v>2528</v>
      </c>
      <c r="F180" t="s">
        <v>2611</v>
      </c>
      <c r="G180" t="s">
        <v>2199</v>
      </c>
      <c r="H180" t="s">
        <v>2713</v>
      </c>
      <c r="I180">
        <v>0</v>
      </c>
      <c r="J180">
        <v>2087.3200000000002</v>
      </c>
      <c r="K180">
        <f t="shared" si="8"/>
        <v>44.1</v>
      </c>
      <c r="L180">
        <f t="shared" si="9"/>
        <v>44.1</v>
      </c>
      <c r="M180">
        <f t="shared" si="10"/>
        <v>0</v>
      </c>
      <c r="N180">
        <v>7.15</v>
      </c>
      <c r="O180">
        <v>0</v>
      </c>
      <c r="P180">
        <v>54</v>
      </c>
      <c r="Q180">
        <v>16.5</v>
      </c>
      <c r="R180">
        <v>8.1</v>
      </c>
      <c r="S180">
        <v>11.16</v>
      </c>
      <c r="T180">
        <v>-11.16</v>
      </c>
      <c r="U180">
        <v>3.67</v>
      </c>
      <c r="V180">
        <v>4903.49</v>
      </c>
      <c r="W180">
        <v>1254.53</v>
      </c>
      <c r="X180">
        <v>702.82</v>
      </c>
      <c r="Y180">
        <v>999.68</v>
      </c>
      <c r="Z180">
        <v>27.59</v>
      </c>
      <c r="AA180">
        <v>1.19</v>
      </c>
      <c r="AB180">
        <v>5.42</v>
      </c>
      <c r="AC180">
        <v>-264.41000000000003</v>
      </c>
      <c r="AD180">
        <v>980</v>
      </c>
      <c r="AE180">
        <v>8765</v>
      </c>
      <c r="AF180">
        <v>108.62</v>
      </c>
      <c r="AG180">
        <v>0.88</v>
      </c>
      <c r="AH180">
        <v>40.67</v>
      </c>
      <c r="AI180">
        <v>424.91</v>
      </c>
      <c r="AJ180">
        <v>60</v>
      </c>
      <c r="AK180">
        <v>9</v>
      </c>
      <c r="AL180">
        <v>9</v>
      </c>
      <c r="AM180">
        <v>0.11</v>
      </c>
      <c r="AN180">
        <v>588</v>
      </c>
      <c r="AO180">
        <v>588.96</v>
      </c>
      <c r="AP180">
        <v>398790.01</v>
      </c>
      <c r="AQ180">
        <v>398790.01</v>
      </c>
      <c r="AR180" t="s">
        <v>1087</v>
      </c>
      <c r="AT180" s="6">
        <f t="shared" si="11"/>
        <v>0</v>
      </c>
    </row>
    <row r="181" spans="1:46" x14ac:dyDescent="0.5500000000000000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f t="shared" si="8"/>
        <v>0</v>
      </c>
      <c r="L181">
        <f t="shared" si="9"/>
        <v>0</v>
      </c>
      <c r="M181">
        <f t="shared" si="10"/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T181" s="6">
        <f t="shared" si="11"/>
        <v>0</v>
      </c>
    </row>
    <row r="182" spans="1:46" x14ac:dyDescent="0.55000000000000004">
      <c r="A182">
        <v>0</v>
      </c>
      <c r="B182">
        <v>8.1</v>
      </c>
      <c r="C182">
        <v>1470.32</v>
      </c>
      <c r="D182">
        <v>7.8</v>
      </c>
      <c r="E182" t="s">
        <v>2529</v>
      </c>
      <c r="F182" t="s">
        <v>2612</v>
      </c>
      <c r="G182" t="s">
        <v>2199</v>
      </c>
      <c r="H182" t="s">
        <v>2714</v>
      </c>
      <c r="I182">
        <v>0</v>
      </c>
      <c r="J182">
        <v>2054.46</v>
      </c>
      <c r="K182">
        <f t="shared" si="8"/>
        <v>52.07</v>
      </c>
      <c r="L182">
        <f t="shared" si="9"/>
        <v>46.980000000000004</v>
      </c>
      <c r="M182">
        <f t="shared" si="10"/>
        <v>5.0899999999999963</v>
      </c>
      <c r="N182">
        <v>7.19</v>
      </c>
      <c r="O182">
        <v>0</v>
      </c>
      <c r="P182">
        <v>38</v>
      </c>
      <c r="Q182">
        <v>25</v>
      </c>
      <c r="R182">
        <v>8.1</v>
      </c>
      <c r="S182">
        <v>16.04</v>
      </c>
      <c r="T182">
        <v>-16.04</v>
      </c>
      <c r="U182">
        <v>0.72</v>
      </c>
      <c r="V182">
        <v>941</v>
      </c>
      <c r="W182">
        <v>242.58</v>
      </c>
      <c r="X182">
        <v>142.86000000000001</v>
      </c>
      <c r="Y182">
        <v>191.7</v>
      </c>
      <c r="Z182">
        <v>11.64</v>
      </c>
      <c r="AA182">
        <v>-0.15</v>
      </c>
      <c r="AB182">
        <v>8.09</v>
      </c>
      <c r="AC182">
        <v>-101.98</v>
      </c>
      <c r="AD182">
        <v>980</v>
      </c>
      <c r="AE182">
        <v>8765</v>
      </c>
      <c r="AF182">
        <v>108.62</v>
      </c>
      <c r="AG182">
        <v>0.88</v>
      </c>
      <c r="AH182">
        <v>-382.04</v>
      </c>
      <c r="AI182">
        <v>151.80000000000001</v>
      </c>
      <c r="AJ182">
        <v>60</v>
      </c>
      <c r="AK182">
        <v>9</v>
      </c>
      <c r="AL182">
        <v>9</v>
      </c>
      <c r="AM182">
        <v>0.3</v>
      </c>
      <c r="AN182">
        <v>588</v>
      </c>
      <c r="AO182">
        <v>590.67999999999995</v>
      </c>
      <c r="AP182">
        <v>483385.71</v>
      </c>
      <c r="AQ182">
        <v>368232.77</v>
      </c>
      <c r="AR182" t="s">
        <v>1089</v>
      </c>
      <c r="AT182" s="6">
        <f t="shared" si="11"/>
        <v>6.5726563926940642</v>
      </c>
    </row>
    <row r="183" spans="1:46" x14ac:dyDescent="0.5500000000000000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f t="shared" si="8"/>
        <v>0</v>
      </c>
      <c r="L183">
        <f t="shared" si="9"/>
        <v>0</v>
      </c>
      <c r="M183">
        <f t="shared" si="10"/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T183" s="6">
        <f t="shared" si="11"/>
        <v>0</v>
      </c>
    </row>
    <row r="184" spans="1:46" x14ac:dyDescent="0.5500000000000000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f t="shared" si="8"/>
        <v>0</v>
      </c>
      <c r="L184">
        <f t="shared" si="9"/>
        <v>0</v>
      </c>
      <c r="M184">
        <f t="shared" si="10"/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T184" s="6">
        <f t="shared" si="11"/>
        <v>0</v>
      </c>
    </row>
    <row r="185" spans="1:46" x14ac:dyDescent="0.55000000000000004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f t="shared" si="8"/>
        <v>0</v>
      </c>
      <c r="L185">
        <f t="shared" si="9"/>
        <v>0</v>
      </c>
      <c r="M185">
        <f t="shared" si="10"/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T185" s="6">
        <f t="shared" si="11"/>
        <v>0</v>
      </c>
    </row>
    <row r="186" spans="1:46" x14ac:dyDescent="0.55000000000000004">
      <c r="A186">
        <v>0</v>
      </c>
      <c r="B186">
        <v>8.1</v>
      </c>
      <c r="C186">
        <v>2260.3000000000002</v>
      </c>
      <c r="D186">
        <v>7.8</v>
      </c>
      <c r="E186" t="s">
        <v>2530</v>
      </c>
      <c r="F186" t="s">
        <v>2613</v>
      </c>
      <c r="G186" t="s">
        <v>2199</v>
      </c>
      <c r="H186" t="s">
        <v>2715</v>
      </c>
      <c r="I186">
        <v>0</v>
      </c>
      <c r="J186">
        <v>2081.54</v>
      </c>
      <c r="K186">
        <f t="shared" si="8"/>
        <v>48.34</v>
      </c>
      <c r="L186">
        <f t="shared" si="9"/>
        <v>46.980000000000004</v>
      </c>
      <c r="M186">
        <f t="shared" si="10"/>
        <v>1.3599999999999994</v>
      </c>
      <c r="N186">
        <v>7.18</v>
      </c>
      <c r="O186">
        <v>0</v>
      </c>
      <c r="P186">
        <v>45</v>
      </c>
      <c r="Q186">
        <v>23.5</v>
      </c>
      <c r="R186">
        <v>8.1</v>
      </c>
      <c r="S186">
        <v>15.95</v>
      </c>
      <c r="T186">
        <v>-15.95</v>
      </c>
      <c r="U186">
        <v>1.0900000000000001</v>
      </c>
      <c r="V186">
        <v>1446.59</v>
      </c>
      <c r="W186">
        <v>371.96</v>
      </c>
      <c r="X186">
        <v>215.34</v>
      </c>
      <c r="Y186">
        <v>294.79000000000002</v>
      </c>
      <c r="Z186">
        <v>10.81</v>
      </c>
      <c r="AA186">
        <v>0.2</v>
      </c>
      <c r="AB186">
        <v>7.4</v>
      </c>
      <c r="AC186">
        <v>-103.16</v>
      </c>
      <c r="AD186">
        <v>980</v>
      </c>
      <c r="AE186">
        <v>8765</v>
      </c>
      <c r="AF186">
        <v>108.62</v>
      </c>
      <c r="AG186">
        <v>0.88</v>
      </c>
      <c r="AH186">
        <v>1264.8399999999999</v>
      </c>
      <c r="AI186">
        <v>151.80000000000001</v>
      </c>
      <c r="AJ186">
        <v>60</v>
      </c>
      <c r="AK186">
        <v>9</v>
      </c>
      <c r="AL186">
        <v>9</v>
      </c>
      <c r="AM186">
        <v>0.3</v>
      </c>
      <c r="AN186">
        <v>588</v>
      </c>
      <c r="AO186">
        <v>590.67999999999995</v>
      </c>
      <c r="AP186">
        <v>433094.11</v>
      </c>
      <c r="AQ186">
        <v>368232.77</v>
      </c>
      <c r="AR186" t="s">
        <v>1093</v>
      </c>
      <c r="AT186" s="6">
        <f t="shared" si="11"/>
        <v>3.7021312785388107</v>
      </c>
    </row>
    <row r="187" spans="1:46" x14ac:dyDescent="0.55000000000000004">
      <c r="A187">
        <v>0</v>
      </c>
      <c r="B187">
        <v>8.1</v>
      </c>
      <c r="C187">
        <v>1754.13</v>
      </c>
      <c r="D187">
        <v>7.8</v>
      </c>
      <c r="E187" t="s">
        <v>2531</v>
      </c>
      <c r="F187" t="s">
        <v>2614</v>
      </c>
      <c r="G187" t="s">
        <v>2199</v>
      </c>
      <c r="H187" t="s">
        <v>2716</v>
      </c>
      <c r="I187">
        <v>0</v>
      </c>
      <c r="J187">
        <v>2194.4699999999998</v>
      </c>
      <c r="K187">
        <f t="shared" si="8"/>
        <v>50.28</v>
      </c>
      <c r="L187">
        <f t="shared" si="9"/>
        <v>48.58</v>
      </c>
      <c r="M187">
        <f t="shared" si="10"/>
        <v>1.7000000000000028</v>
      </c>
      <c r="N187">
        <v>7.32</v>
      </c>
      <c r="O187">
        <v>0</v>
      </c>
      <c r="P187">
        <v>42</v>
      </c>
      <c r="Q187">
        <v>21.6</v>
      </c>
      <c r="R187">
        <v>8.1</v>
      </c>
      <c r="S187">
        <v>13.92</v>
      </c>
      <c r="T187">
        <v>-13.92</v>
      </c>
      <c r="U187">
        <v>0.8</v>
      </c>
      <c r="V187">
        <v>1122.6400000000001</v>
      </c>
      <c r="W187">
        <v>291.48</v>
      </c>
      <c r="X187">
        <v>178.66</v>
      </c>
      <c r="Y187">
        <v>228.67</v>
      </c>
      <c r="Z187">
        <v>8.2799999999999994</v>
      </c>
      <c r="AA187">
        <v>0.02</v>
      </c>
      <c r="AB187">
        <v>7.75</v>
      </c>
      <c r="AC187">
        <v>-139.18</v>
      </c>
      <c r="AD187">
        <v>980</v>
      </c>
      <c r="AE187">
        <v>8765</v>
      </c>
      <c r="AF187">
        <v>108.62</v>
      </c>
      <c r="AG187">
        <v>0.88</v>
      </c>
      <c r="AH187">
        <v>-541.33000000000004</v>
      </c>
      <c r="AI187">
        <v>111.86</v>
      </c>
      <c r="AJ187">
        <v>60</v>
      </c>
      <c r="AK187">
        <v>9</v>
      </c>
      <c r="AL187">
        <v>9</v>
      </c>
      <c r="AM187">
        <v>0.4</v>
      </c>
      <c r="AN187">
        <v>588</v>
      </c>
      <c r="AO187">
        <v>591.64</v>
      </c>
      <c r="AP187">
        <v>346344.44</v>
      </c>
      <c r="AQ187">
        <v>311109.93</v>
      </c>
      <c r="AR187" t="s">
        <v>1094</v>
      </c>
      <c r="AT187" s="6">
        <f t="shared" si="11"/>
        <v>2.0111021689497721</v>
      </c>
    </row>
    <row r="188" spans="1:46" x14ac:dyDescent="0.55000000000000004">
      <c r="A188">
        <v>0</v>
      </c>
      <c r="B188">
        <v>8.1</v>
      </c>
      <c r="C188">
        <v>1859.09</v>
      </c>
      <c r="D188">
        <v>7.8</v>
      </c>
      <c r="E188" t="s">
        <v>2532</v>
      </c>
      <c r="F188" t="s">
        <v>2615</v>
      </c>
      <c r="G188" t="s">
        <v>2199</v>
      </c>
      <c r="H188" t="s">
        <v>2717</v>
      </c>
      <c r="I188">
        <v>0</v>
      </c>
      <c r="J188">
        <v>2202.44</v>
      </c>
      <c r="K188">
        <f t="shared" si="8"/>
        <v>49.78</v>
      </c>
      <c r="L188">
        <f t="shared" si="9"/>
        <v>48.58</v>
      </c>
      <c r="M188">
        <f t="shared" si="10"/>
        <v>1.2000000000000028</v>
      </c>
      <c r="N188">
        <v>7.32</v>
      </c>
      <c r="O188">
        <v>0</v>
      </c>
      <c r="P188">
        <v>40</v>
      </c>
      <c r="Q188">
        <v>23.1</v>
      </c>
      <c r="R188">
        <v>8.1</v>
      </c>
      <c r="S188">
        <v>14.84</v>
      </c>
      <c r="T188">
        <v>-14.84</v>
      </c>
      <c r="U188">
        <v>0.84</v>
      </c>
      <c r="V188">
        <v>1189.82</v>
      </c>
      <c r="W188">
        <v>308.89999999999998</v>
      </c>
      <c r="X188">
        <v>189.22</v>
      </c>
      <c r="Y188">
        <v>242.36</v>
      </c>
      <c r="Z188">
        <v>8.1999999999999993</v>
      </c>
      <c r="AA188">
        <v>7.0000000000000007E-2</v>
      </c>
      <c r="AB188">
        <v>7.66</v>
      </c>
      <c r="AC188">
        <v>-120.19</v>
      </c>
      <c r="AD188">
        <v>980</v>
      </c>
      <c r="AE188">
        <v>8765</v>
      </c>
      <c r="AF188">
        <v>108.62</v>
      </c>
      <c r="AG188">
        <v>0.88</v>
      </c>
      <c r="AH188">
        <v>-696.77</v>
      </c>
      <c r="AI188">
        <v>111.86</v>
      </c>
      <c r="AJ188">
        <v>60</v>
      </c>
      <c r="AK188">
        <v>9</v>
      </c>
      <c r="AL188">
        <v>9</v>
      </c>
      <c r="AM188">
        <v>0.4</v>
      </c>
      <c r="AN188">
        <v>588</v>
      </c>
      <c r="AO188">
        <v>591.64</v>
      </c>
      <c r="AP188">
        <v>336243.22</v>
      </c>
      <c r="AQ188">
        <v>311109.93</v>
      </c>
      <c r="AR188" t="s">
        <v>1095</v>
      </c>
      <c r="AT188" s="6">
        <f t="shared" si="11"/>
        <v>1.4345485159817339</v>
      </c>
    </row>
    <row r="189" spans="1:46" x14ac:dyDescent="0.55000000000000004">
      <c r="A189">
        <v>0</v>
      </c>
      <c r="B189">
        <v>8.1</v>
      </c>
      <c r="C189">
        <v>1665.32</v>
      </c>
      <c r="D189">
        <v>7.8</v>
      </c>
      <c r="E189" t="s">
        <v>2533</v>
      </c>
      <c r="F189" t="s">
        <v>2616</v>
      </c>
      <c r="G189" t="s">
        <v>2199</v>
      </c>
      <c r="H189" t="s">
        <v>2718</v>
      </c>
      <c r="I189">
        <v>0</v>
      </c>
      <c r="J189">
        <v>2184.12</v>
      </c>
      <c r="K189">
        <f t="shared" si="8"/>
        <v>50.769999999999996</v>
      </c>
      <c r="L189">
        <f t="shared" si="9"/>
        <v>49.589999999999996</v>
      </c>
      <c r="M189">
        <f t="shared" si="10"/>
        <v>1.1799999999999997</v>
      </c>
      <c r="N189">
        <v>7.31</v>
      </c>
      <c r="O189">
        <v>0</v>
      </c>
      <c r="P189">
        <v>40</v>
      </c>
      <c r="Q189">
        <v>23.8</v>
      </c>
      <c r="R189">
        <v>8.1</v>
      </c>
      <c r="S189">
        <v>15.41</v>
      </c>
      <c r="T189">
        <v>-15.41</v>
      </c>
      <c r="U189">
        <v>0.76</v>
      </c>
      <c r="V189">
        <v>1065.8</v>
      </c>
      <c r="W189">
        <v>276.7</v>
      </c>
      <c r="X189">
        <v>169.54</v>
      </c>
      <c r="Y189">
        <v>217.08</v>
      </c>
      <c r="Z189">
        <v>7.17</v>
      </c>
      <c r="AA189">
        <v>-0.02</v>
      </c>
      <c r="AB189">
        <v>7.84</v>
      </c>
      <c r="AC189">
        <v>-110.83</v>
      </c>
      <c r="AD189">
        <v>980</v>
      </c>
      <c r="AE189">
        <v>8765</v>
      </c>
      <c r="AF189">
        <v>108.62</v>
      </c>
      <c r="AG189">
        <v>0.88</v>
      </c>
      <c r="AH189">
        <v>-457.3</v>
      </c>
      <c r="AI189">
        <v>95.88</v>
      </c>
      <c r="AJ189">
        <v>60</v>
      </c>
      <c r="AK189">
        <v>9</v>
      </c>
      <c r="AL189">
        <v>9</v>
      </c>
      <c r="AM189">
        <v>0.47</v>
      </c>
      <c r="AN189">
        <v>588</v>
      </c>
      <c r="AO189">
        <v>592.25</v>
      </c>
      <c r="AP189">
        <v>358508.08</v>
      </c>
      <c r="AQ189">
        <v>274932.14</v>
      </c>
      <c r="AR189" t="s">
        <v>1096</v>
      </c>
      <c r="AT189" s="6">
        <f t="shared" si="11"/>
        <v>4.770316210045662</v>
      </c>
    </row>
    <row r="190" spans="1:46" x14ac:dyDescent="0.55000000000000004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f t="shared" si="8"/>
        <v>0</v>
      </c>
      <c r="L190">
        <f t="shared" si="9"/>
        <v>0</v>
      </c>
      <c r="M190">
        <f t="shared" si="10"/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T190" s="6">
        <f t="shared" si="11"/>
        <v>0</v>
      </c>
    </row>
    <row r="191" spans="1:46" x14ac:dyDescent="0.55000000000000004">
      <c r="A191">
        <v>0</v>
      </c>
      <c r="B191">
        <v>8.1</v>
      </c>
      <c r="C191">
        <v>1786.64</v>
      </c>
      <c r="D191">
        <v>7.8</v>
      </c>
      <c r="E191" t="s">
        <v>2534</v>
      </c>
      <c r="F191" t="s">
        <v>2617</v>
      </c>
      <c r="G191" t="s">
        <v>2199</v>
      </c>
      <c r="H191" t="s">
        <v>2719</v>
      </c>
      <c r="I191">
        <v>0</v>
      </c>
      <c r="J191">
        <v>2196.67</v>
      </c>
      <c r="K191">
        <f t="shared" si="8"/>
        <v>50.120000000000005</v>
      </c>
      <c r="L191">
        <f t="shared" si="9"/>
        <v>49.04</v>
      </c>
      <c r="M191">
        <f t="shared" si="10"/>
        <v>1.0800000000000054</v>
      </c>
      <c r="N191">
        <v>7.32</v>
      </c>
      <c r="O191">
        <v>0</v>
      </c>
      <c r="P191">
        <v>41</v>
      </c>
      <c r="Q191">
        <v>22.1</v>
      </c>
      <c r="R191">
        <v>8.1</v>
      </c>
      <c r="S191">
        <v>14.18</v>
      </c>
      <c r="T191">
        <v>-14.18</v>
      </c>
      <c r="U191">
        <v>0.81</v>
      </c>
      <c r="V191">
        <v>1143.45</v>
      </c>
      <c r="W191">
        <v>296.87</v>
      </c>
      <c r="X191">
        <v>181.9</v>
      </c>
      <c r="Y191">
        <v>232.91</v>
      </c>
      <c r="Z191">
        <v>7.67</v>
      </c>
      <c r="AA191">
        <v>0.04</v>
      </c>
      <c r="AB191">
        <v>7.72</v>
      </c>
      <c r="AC191">
        <v>-133.24</v>
      </c>
      <c r="AD191">
        <v>980</v>
      </c>
      <c r="AE191">
        <v>8765</v>
      </c>
      <c r="AF191">
        <v>108.62</v>
      </c>
      <c r="AG191">
        <v>0.88</v>
      </c>
      <c r="AH191">
        <v>-581.94000000000005</v>
      </c>
      <c r="AI191">
        <v>103.87</v>
      </c>
      <c r="AJ191">
        <v>60</v>
      </c>
      <c r="AK191">
        <v>9</v>
      </c>
      <c r="AL191">
        <v>9</v>
      </c>
      <c r="AM191">
        <v>0.44</v>
      </c>
      <c r="AN191">
        <v>588</v>
      </c>
      <c r="AO191">
        <v>591.91999999999996</v>
      </c>
      <c r="AP191">
        <v>343407.08</v>
      </c>
      <c r="AQ191">
        <v>294412.49</v>
      </c>
      <c r="AR191" t="s">
        <v>1098</v>
      </c>
      <c r="AT191" s="6">
        <f t="shared" si="11"/>
        <v>2.7964948630137001</v>
      </c>
    </row>
    <row r="192" spans="1:46" x14ac:dyDescent="0.55000000000000004">
      <c r="A192">
        <v>0</v>
      </c>
      <c r="B192">
        <v>8.1</v>
      </c>
      <c r="C192">
        <v>1605.96</v>
      </c>
      <c r="D192">
        <v>7.8</v>
      </c>
      <c r="E192" t="s">
        <v>2535</v>
      </c>
      <c r="F192" t="s">
        <v>2618</v>
      </c>
      <c r="G192" t="s">
        <v>2199</v>
      </c>
      <c r="H192" t="s">
        <v>2720</v>
      </c>
      <c r="I192">
        <v>0</v>
      </c>
      <c r="J192">
        <v>2124.84</v>
      </c>
      <c r="K192">
        <f t="shared" si="8"/>
        <v>51.129999999999995</v>
      </c>
      <c r="L192">
        <f t="shared" si="9"/>
        <v>47.81</v>
      </c>
      <c r="M192">
        <f t="shared" si="10"/>
        <v>3.3199999999999932</v>
      </c>
      <c r="N192">
        <v>7.25</v>
      </c>
      <c r="O192">
        <v>0</v>
      </c>
      <c r="P192">
        <v>38</v>
      </c>
      <c r="Q192">
        <v>24.8</v>
      </c>
      <c r="R192">
        <v>8.1</v>
      </c>
      <c r="S192">
        <v>15.88</v>
      </c>
      <c r="T192">
        <v>-15.88</v>
      </c>
      <c r="U192">
        <v>0.76</v>
      </c>
      <c r="V192">
        <v>1027.82</v>
      </c>
      <c r="W192">
        <v>265.94</v>
      </c>
      <c r="X192">
        <v>159.88999999999999</v>
      </c>
      <c r="Y192">
        <v>209.37</v>
      </c>
      <c r="Z192">
        <v>9.6199999999999992</v>
      </c>
      <c r="AA192">
        <v>-0.06</v>
      </c>
      <c r="AB192">
        <v>7.92</v>
      </c>
      <c r="AC192">
        <v>-104.08</v>
      </c>
      <c r="AD192">
        <v>980</v>
      </c>
      <c r="AE192">
        <v>8765</v>
      </c>
      <c r="AF192">
        <v>108.62</v>
      </c>
      <c r="AG192">
        <v>0.88</v>
      </c>
      <c r="AH192">
        <v>-444.83</v>
      </c>
      <c r="AI192">
        <v>127.83</v>
      </c>
      <c r="AJ192">
        <v>60</v>
      </c>
      <c r="AK192">
        <v>9</v>
      </c>
      <c r="AL192">
        <v>9</v>
      </c>
      <c r="AM192">
        <v>0.35</v>
      </c>
      <c r="AN192">
        <v>588</v>
      </c>
      <c r="AO192">
        <v>591.19000000000005</v>
      </c>
      <c r="AP192">
        <v>413704.33</v>
      </c>
      <c r="AQ192">
        <v>338243.28</v>
      </c>
      <c r="AR192" t="s">
        <v>1099</v>
      </c>
      <c r="AT192" s="6">
        <f t="shared" si="11"/>
        <v>4.3071375570776249</v>
      </c>
    </row>
    <row r="193" spans="1:46" x14ac:dyDescent="0.55000000000000004">
      <c r="A193">
        <v>0</v>
      </c>
      <c r="B193">
        <v>8.1</v>
      </c>
      <c r="C193">
        <v>953.57</v>
      </c>
      <c r="D193">
        <v>7.8</v>
      </c>
      <c r="E193" t="s">
        <v>2536</v>
      </c>
      <c r="F193" t="s">
        <v>2619</v>
      </c>
      <c r="G193" t="s">
        <v>2199</v>
      </c>
      <c r="H193" t="s">
        <v>2721</v>
      </c>
      <c r="I193">
        <v>0</v>
      </c>
      <c r="J193">
        <v>2209.87</v>
      </c>
      <c r="K193">
        <f t="shared" si="8"/>
        <v>59.05</v>
      </c>
      <c r="L193">
        <f t="shared" si="9"/>
        <v>51</v>
      </c>
      <c r="M193">
        <f t="shared" si="10"/>
        <v>8.0499999999999972</v>
      </c>
      <c r="N193">
        <v>7.41</v>
      </c>
      <c r="O193">
        <v>0</v>
      </c>
      <c r="P193">
        <v>56</v>
      </c>
      <c r="Q193">
        <v>19.7</v>
      </c>
      <c r="R193">
        <v>8.1</v>
      </c>
      <c r="S193">
        <v>14.23</v>
      </c>
      <c r="T193">
        <v>-14.23</v>
      </c>
      <c r="U193">
        <v>0.43</v>
      </c>
      <c r="V193">
        <v>610.28</v>
      </c>
      <c r="W193">
        <v>160.04</v>
      </c>
      <c r="X193">
        <v>103.86</v>
      </c>
      <c r="Y193">
        <v>124.21</v>
      </c>
      <c r="Z193">
        <v>6.95</v>
      </c>
      <c r="AA193">
        <v>-0.45</v>
      </c>
      <c r="AB193">
        <v>8.69</v>
      </c>
      <c r="AC193">
        <v>-132.21</v>
      </c>
      <c r="AD193">
        <v>980</v>
      </c>
      <c r="AE193">
        <v>8765</v>
      </c>
      <c r="AF193">
        <v>108.62</v>
      </c>
      <c r="AG193">
        <v>0.88</v>
      </c>
      <c r="AH193">
        <v>-191.07</v>
      </c>
      <c r="AI193">
        <v>79.900000000000006</v>
      </c>
      <c r="AJ193">
        <v>60</v>
      </c>
      <c r="AK193">
        <v>9</v>
      </c>
      <c r="AL193">
        <v>9</v>
      </c>
      <c r="AM193">
        <v>0.56999999999999995</v>
      </c>
      <c r="AN193">
        <v>588</v>
      </c>
      <c r="AO193">
        <v>593.1</v>
      </c>
      <c r="AP193">
        <v>384979.45</v>
      </c>
      <c r="AQ193">
        <v>224283.22</v>
      </c>
      <c r="AR193" t="s">
        <v>1100</v>
      </c>
      <c r="AT193" s="6">
        <f t="shared" si="11"/>
        <v>9.1721592465753439</v>
      </c>
    </row>
    <row r="194" spans="1:46" x14ac:dyDescent="0.55000000000000004">
      <c r="A194">
        <v>0</v>
      </c>
      <c r="B194">
        <v>8.1</v>
      </c>
      <c r="C194">
        <v>1418.27</v>
      </c>
      <c r="D194">
        <v>7.8</v>
      </c>
      <c r="E194" t="s">
        <v>2537</v>
      </c>
      <c r="F194" t="s">
        <v>2620</v>
      </c>
      <c r="G194" t="s">
        <v>2199</v>
      </c>
      <c r="H194" t="s">
        <v>2722</v>
      </c>
      <c r="I194">
        <v>0</v>
      </c>
      <c r="J194">
        <v>2047.6</v>
      </c>
      <c r="K194">
        <f t="shared" si="8"/>
        <v>52.5</v>
      </c>
      <c r="L194">
        <f t="shared" si="9"/>
        <v>46.980000000000004</v>
      </c>
      <c r="M194">
        <f t="shared" si="10"/>
        <v>5.519999999999996</v>
      </c>
      <c r="N194">
        <v>7.19</v>
      </c>
      <c r="O194">
        <v>0</v>
      </c>
      <c r="P194">
        <v>40</v>
      </c>
      <c r="Q194">
        <v>25</v>
      </c>
      <c r="R194">
        <v>8.1</v>
      </c>
      <c r="S194">
        <v>16.38</v>
      </c>
      <c r="T194">
        <v>-16.38</v>
      </c>
      <c r="U194">
        <v>0.69</v>
      </c>
      <c r="V194">
        <v>907.69</v>
      </c>
      <c r="W194">
        <v>234</v>
      </c>
      <c r="X194">
        <v>137.84</v>
      </c>
      <c r="Y194">
        <v>184.91</v>
      </c>
      <c r="Z194">
        <v>11.73</v>
      </c>
      <c r="AA194">
        <v>-0.17</v>
      </c>
      <c r="AB194">
        <v>8.15</v>
      </c>
      <c r="AC194">
        <v>-97.78</v>
      </c>
      <c r="AD194">
        <v>980</v>
      </c>
      <c r="AE194">
        <v>8765</v>
      </c>
      <c r="AF194">
        <v>108.62</v>
      </c>
      <c r="AG194">
        <v>0.88</v>
      </c>
      <c r="AH194">
        <v>-353.42</v>
      </c>
      <c r="AI194">
        <v>151.80000000000001</v>
      </c>
      <c r="AJ194">
        <v>60</v>
      </c>
      <c r="AK194">
        <v>9</v>
      </c>
      <c r="AL194">
        <v>9</v>
      </c>
      <c r="AM194">
        <v>0.3</v>
      </c>
      <c r="AN194">
        <v>588</v>
      </c>
      <c r="AO194">
        <v>590.67999999999995</v>
      </c>
      <c r="AP194">
        <v>492598.6</v>
      </c>
      <c r="AQ194">
        <v>368232.77</v>
      </c>
      <c r="AR194" t="s">
        <v>1101</v>
      </c>
      <c r="AT194" s="6">
        <f t="shared" si="11"/>
        <v>7.0985062785388102</v>
      </c>
    </row>
    <row r="195" spans="1:46" x14ac:dyDescent="0.55000000000000004">
      <c r="A195">
        <v>0</v>
      </c>
      <c r="B195">
        <v>8.1</v>
      </c>
      <c r="C195">
        <v>1343.95</v>
      </c>
      <c r="D195">
        <v>7.8</v>
      </c>
      <c r="E195" t="s">
        <v>2538</v>
      </c>
      <c r="F195" t="s">
        <v>2621</v>
      </c>
      <c r="G195" t="s">
        <v>2199</v>
      </c>
      <c r="H195" t="s">
        <v>2723</v>
      </c>
      <c r="I195">
        <v>0</v>
      </c>
      <c r="J195">
        <v>2038.5</v>
      </c>
      <c r="K195">
        <f t="shared" ref="K195:K251" si="12">IF(E195=0,0,
VALUE(MID(E195,2,FIND(",",E195)-2))+
VALUE(MID(F195,2,FIND(",",F195)-2))+
VALUE(MID(G195,2,FIND(",",G195)-2))
)</f>
        <v>53.17</v>
      </c>
      <c r="L195">
        <f t="shared" ref="L195:L251" si="13">IF(E195=0,0,
VALUE(MID(E195,FIND(",",E195)+1,FIND("]",E195)-FIND(",",E195)-1))+
VALUE(MID(F195,FIND(",",F195)+1,FIND("]",F195)-FIND(",",F195)-1))+
VALUE(MID(G195,FIND(",",G195)+1,FIND("]",G195)-FIND(",",G195)-1))
)</f>
        <v>47.22</v>
      </c>
      <c r="M195">
        <f t="shared" ref="M195:M251" si="14">(K195-L195)</f>
        <v>5.9500000000000028</v>
      </c>
      <c r="N195">
        <v>7.19</v>
      </c>
      <c r="O195">
        <v>0</v>
      </c>
      <c r="P195">
        <v>43</v>
      </c>
      <c r="Q195">
        <v>24.3</v>
      </c>
      <c r="R195">
        <v>8.1</v>
      </c>
      <c r="S195">
        <v>16.3</v>
      </c>
      <c r="T195">
        <v>-16.3</v>
      </c>
      <c r="U195">
        <v>0.66</v>
      </c>
      <c r="V195">
        <v>860.13</v>
      </c>
      <c r="W195">
        <v>221.77</v>
      </c>
      <c r="X195">
        <v>130.78</v>
      </c>
      <c r="Y195">
        <v>175.21</v>
      </c>
      <c r="Z195">
        <v>11.26</v>
      </c>
      <c r="AA195">
        <v>-0.22</v>
      </c>
      <c r="AB195">
        <v>8.24</v>
      </c>
      <c r="AC195">
        <v>-98.74</v>
      </c>
      <c r="AD195">
        <v>980</v>
      </c>
      <c r="AE195">
        <v>8765</v>
      </c>
      <c r="AF195">
        <v>108.62</v>
      </c>
      <c r="AG195">
        <v>0.88</v>
      </c>
      <c r="AH195">
        <v>-318.81</v>
      </c>
      <c r="AI195">
        <v>143.81</v>
      </c>
      <c r="AJ195">
        <v>60</v>
      </c>
      <c r="AK195">
        <v>9</v>
      </c>
      <c r="AL195">
        <v>9</v>
      </c>
      <c r="AM195">
        <v>0.31</v>
      </c>
      <c r="AN195">
        <v>588</v>
      </c>
      <c r="AO195">
        <v>590.83000000000004</v>
      </c>
      <c r="AP195">
        <v>505710.85</v>
      </c>
      <c r="AQ195">
        <v>359347</v>
      </c>
      <c r="AR195" t="s">
        <v>1102</v>
      </c>
      <c r="AT195" s="6">
        <f t="shared" ref="AT195:AT251" si="15">(AP195-AQ195)/(365*24*2)</f>
        <v>8.3541010273972596</v>
      </c>
    </row>
    <row r="196" spans="1:46" x14ac:dyDescent="0.55000000000000004">
      <c r="A196">
        <v>0</v>
      </c>
      <c r="B196">
        <v>8.1</v>
      </c>
      <c r="C196">
        <v>1817.53</v>
      </c>
      <c r="D196">
        <v>7.8</v>
      </c>
      <c r="E196" t="s">
        <v>2539</v>
      </c>
      <c r="F196" t="s">
        <v>2622</v>
      </c>
      <c r="G196" t="s">
        <v>2199</v>
      </c>
      <c r="H196" t="s">
        <v>2724</v>
      </c>
      <c r="I196">
        <v>0</v>
      </c>
      <c r="J196">
        <v>2198.79</v>
      </c>
      <c r="K196">
        <f t="shared" si="12"/>
        <v>49.97</v>
      </c>
      <c r="L196">
        <f t="shared" si="13"/>
        <v>49.04</v>
      </c>
      <c r="M196">
        <f t="shared" si="14"/>
        <v>0.92999999999999972</v>
      </c>
      <c r="N196">
        <v>7.32</v>
      </c>
      <c r="O196">
        <v>0</v>
      </c>
      <c r="P196">
        <v>39</v>
      </c>
      <c r="Q196">
        <v>24.2</v>
      </c>
      <c r="R196">
        <v>8.1</v>
      </c>
      <c r="S196">
        <v>15.57</v>
      </c>
      <c r="T196">
        <v>-15.57</v>
      </c>
      <c r="U196">
        <v>0.83</v>
      </c>
      <c r="V196">
        <v>1163.22</v>
      </c>
      <c r="W196">
        <v>301.99</v>
      </c>
      <c r="X196">
        <v>184.99</v>
      </c>
      <c r="Y196">
        <v>236.94</v>
      </c>
      <c r="Z196">
        <v>7.64</v>
      </c>
      <c r="AA196">
        <v>0.05</v>
      </c>
      <c r="AB196">
        <v>7.69</v>
      </c>
      <c r="AC196">
        <v>-108.46</v>
      </c>
      <c r="AD196">
        <v>980</v>
      </c>
      <c r="AE196">
        <v>8765</v>
      </c>
      <c r="AF196">
        <v>108.62</v>
      </c>
      <c r="AG196">
        <v>0.88</v>
      </c>
      <c r="AH196">
        <v>-626.46</v>
      </c>
      <c r="AI196">
        <v>103.87</v>
      </c>
      <c r="AJ196">
        <v>60</v>
      </c>
      <c r="AK196">
        <v>9</v>
      </c>
      <c r="AL196">
        <v>9</v>
      </c>
      <c r="AM196">
        <v>0.44</v>
      </c>
      <c r="AN196">
        <v>588</v>
      </c>
      <c r="AO196">
        <v>591.91999999999996</v>
      </c>
      <c r="AP196">
        <v>340628.3</v>
      </c>
      <c r="AQ196">
        <v>294412.49</v>
      </c>
      <c r="AR196" t="s">
        <v>1103</v>
      </c>
      <c r="AT196" s="6">
        <f t="shared" si="15"/>
        <v>2.6378886986301366</v>
      </c>
    </row>
    <row r="197" spans="1:46" x14ac:dyDescent="0.55000000000000004">
      <c r="A197">
        <v>0</v>
      </c>
      <c r="B197">
        <v>8.1</v>
      </c>
      <c r="C197">
        <v>1433.03</v>
      </c>
      <c r="D197">
        <v>7.8</v>
      </c>
      <c r="E197" t="s">
        <v>2529</v>
      </c>
      <c r="F197" t="s">
        <v>2623</v>
      </c>
      <c r="G197" t="s">
        <v>2199</v>
      </c>
      <c r="H197" t="s">
        <v>2725</v>
      </c>
      <c r="I197">
        <v>0</v>
      </c>
      <c r="J197">
        <v>2049.39</v>
      </c>
      <c r="K197">
        <f t="shared" si="12"/>
        <v>52.370000000000005</v>
      </c>
      <c r="L197">
        <f t="shared" si="13"/>
        <v>46.980000000000004</v>
      </c>
      <c r="M197">
        <f t="shared" si="14"/>
        <v>5.3900000000000006</v>
      </c>
      <c r="N197">
        <v>7.19</v>
      </c>
      <c r="O197">
        <v>0</v>
      </c>
      <c r="P197">
        <v>38</v>
      </c>
      <c r="Q197">
        <v>24.9</v>
      </c>
      <c r="R197">
        <v>8.1</v>
      </c>
      <c r="S197">
        <v>15.96</v>
      </c>
      <c r="T197">
        <v>-15.96</v>
      </c>
      <c r="U197">
        <v>0.7</v>
      </c>
      <c r="V197">
        <v>917.14</v>
      </c>
      <c r="W197">
        <v>236.43</v>
      </c>
      <c r="X197">
        <v>139.25</v>
      </c>
      <c r="Y197">
        <v>186.84</v>
      </c>
      <c r="Z197">
        <v>11.71</v>
      </c>
      <c r="AA197">
        <v>-0.17</v>
      </c>
      <c r="AB197">
        <v>8.1300000000000008</v>
      </c>
      <c r="AC197">
        <v>-103.02</v>
      </c>
      <c r="AD197">
        <v>980</v>
      </c>
      <c r="AE197">
        <v>8765</v>
      </c>
      <c r="AF197">
        <v>108.62</v>
      </c>
      <c r="AG197">
        <v>0.88</v>
      </c>
      <c r="AH197">
        <v>-361.18</v>
      </c>
      <c r="AI197">
        <v>151.80000000000001</v>
      </c>
      <c r="AJ197">
        <v>60</v>
      </c>
      <c r="AK197">
        <v>9</v>
      </c>
      <c r="AL197">
        <v>9</v>
      </c>
      <c r="AM197">
        <v>0.3</v>
      </c>
      <c r="AN197">
        <v>588</v>
      </c>
      <c r="AO197">
        <v>590.67999999999995</v>
      </c>
      <c r="AP197">
        <v>490097.65</v>
      </c>
      <c r="AQ197">
        <v>368232.77</v>
      </c>
      <c r="AR197" t="s">
        <v>1104</v>
      </c>
      <c r="AT197" s="6">
        <f t="shared" si="15"/>
        <v>6.9557579908675802</v>
      </c>
    </row>
    <row r="198" spans="1:46" x14ac:dyDescent="0.55000000000000004">
      <c r="A198">
        <v>0</v>
      </c>
      <c r="B198">
        <v>8.1</v>
      </c>
      <c r="C198">
        <v>1492.1</v>
      </c>
      <c r="D198">
        <v>7.8</v>
      </c>
      <c r="E198" t="s">
        <v>2540</v>
      </c>
      <c r="F198" t="s">
        <v>2624</v>
      </c>
      <c r="G198" t="s">
        <v>2199</v>
      </c>
      <c r="H198" t="s">
        <v>2726</v>
      </c>
      <c r="I198">
        <v>0</v>
      </c>
      <c r="J198">
        <v>2057.71</v>
      </c>
      <c r="K198">
        <f t="shared" si="12"/>
        <v>51.91</v>
      </c>
      <c r="L198">
        <f t="shared" si="13"/>
        <v>46.980000000000004</v>
      </c>
      <c r="M198">
        <f t="shared" si="14"/>
        <v>4.9299999999999926</v>
      </c>
      <c r="N198">
        <v>7.19</v>
      </c>
      <c r="O198">
        <v>0</v>
      </c>
      <c r="P198">
        <v>41</v>
      </c>
      <c r="Q198">
        <v>24.8</v>
      </c>
      <c r="R198">
        <v>8.1</v>
      </c>
      <c r="S198">
        <v>16.39</v>
      </c>
      <c r="T198">
        <v>-16.39</v>
      </c>
      <c r="U198">
        <v>0.73</v>
      </c>
      <c r="V198">
        <v>954.94</v>
      </c>
      <c r="W198">
        <v>246.19</v>
      </c>
      <c r="X198">
        <v>144.99</v>
      </c>
      <c r="Y198">
        <v>194.54</v>
      </c>
      <c r="Z198">
        <v>11.6</v>
      </c>
      <c r="AA198">
        <v>-0.13</v>
      </c>
      <c r="AB198">
        <v>8.07</v>
      </c>
      <c r="AC198">
        <v>-97.73</v>
      </c>
      <c r="AD198">
        <v>980</v>
      </c>
      <c r="AE198">
        <v>8765</v>
      </c>
      <c r="AF198">
        <v>108.62</v>
      </c>
      <c r="AG198">
        <v>0.88</v>
      </c>
      <c r="AH198">
        <v>-395.18</v>
      </c>
      <c r="AI198">
        <v>151.80000000000001</v>
      </c>
      <c r="AJ198">
        <v>60</v>
      </c>
      <c r="AK198">
        <v>9</v>
      </c>
      <c r="AL198">
        <v>9</v>
      </c>
      <c r="AM198">
        <v>0.3</v>
      </c>
      <c r="AN198">
        <v>588</v>
      </c>
      <c r="AO198">
        <v>590.67999999999995</v>
      </c>
      <c r="AP198">
        <v>479274.54</v>
      </c>
      <c r="AQ198">
        <v>368232.77</v>
      </c>
      <c r="AR198" t="s">
        <v>1105</v>
      </c>
      <c r="AT198" s="6">
        <f t="shared" si="15"/>
        <v>6.338000570776253</v>
      </c>
    </row>
    <row r="199" spans="1:46" x14ac:dyDescent="0.55000000000000004">
      <c r="A199">
        <v>0</v>
      </c>
      <c r="B199">
        <v>8.1</v>
      </c>
      <c r="C199">
        <v>759.24</v>
      </c>
      <c r="D199">
        <v>7.8</v>
      </c>
      <c r="E199" t="s">
        <v>2541</v>
      </c>
      <c r="F199" t="s">
        <v>2625</v>
      </c>
      <c r="G199" t="s">
        <v>2199</v>
      </c>
      <c r="H199" t="s">
        <v>2727</v>
      </c>
      <c r="I199">
        <v>0</v>
      </c>
      <c r="J199">
        <v>2176.3200000000002</v>
      </c>
      <c r="K199">
        <f t="shared" si="12"/>
        <v>65.459999999999994</v>
      </c>
      <c r="L199">
        <f t="shared" si="13"/>
        <v>51.95</v>
      </c>
      <c r="M199">
        <f t="shared" si="14"/>
        <v>13.509999999999991</v>
      </c>
      <c r="N199">
        <v>7.43</v>
      </c>
      <c r="O199">
        <v>0</v>
      </c>
      <c r="P199">
        <v>56</v>
      </c>
      <c r="Q199">
        <v>19.5</v>
      </c>
      <c r="R199">
        <v>8.1</v>
      </c>
      <c r="S199">
        <v>14.05</v>
      </c>
      <c r="T199">
        <v>-14.05</v>
      </c>
      <c r="U199">
        <v>0.35</v>
      </c>
      <c r="V199">
        <v>485.92</v>
      </c>
      <c r="W199">
        <v>127.93</v>
      </c>
      <c r="X199">
        <v>84.93</v>
      </c>
      <c r="Y199">
        <v>98.85</v>
      </c>
      <c r="Z199">
        <v>6.93</v>
      </c>
      <c r="AA199">
        <v>-0.62</v>
      </c>
      <c r="AB199">
        <v>9.0399999999999991</v>
      </c>
      <c r="AC199">
        <v>-136.13999999999999</v>
      </c>
      <c r="AD199">
        <v>980</v>
      </c>
      <c r="AE199">
        <v>8765</v>
      </c>
      <c r="AF199">
        <v>108.62</v>
      </c>
      <c r="AG199">
        <v>0.88</v>
      </c>
      <c r="AH199">
        <v>-166.82</v>
      </c>
      <c r="AI199">
        <v>71.91</v>
      </c>
      <c r="AJ199">
        <v>60</v>
      </c>
      <c r="AK199">
        <v>9</v>
      </c>
      <c r="AL199">
        <v>9</v>
      </c>
      <c r="AM199">
        <v>0.63</v>
      </c>
      <c r="AN199">
        <v>588</v>
      </c>
      <c r="AO199">
        <v>593.66999999999996</v>
      </c>
      <c r="AP199">
        <v>456866.76</v>
      </c>
      <c r="AQ199">
        <v>190517.28</v>
      </c>
      <c r="AR199" t="s">
        <v>1106</v>
      </c>
      <c r="AT199" s="6">
        <f t="shared" si="15"/>
        <v>15.202595890410958</v>
      </c>
    </row>
    <row r="200" spans="1:46" x14ac:dyDescent="0.55000000000000004">
      <c r="A200">
        <v>0</v>
      </c>
      <c r="B200">
        <v>8.1</v>
      </c>
      <c r="C200">
        <v>1706.41</v>
      </c>
      <c r="D200">
        <v>7.8</v>
      </c>
      <c r="E200" t="s">
        <v>2542</v>
      </c>
      <c r="F200" t="s">
        <v>2626</v>
      </c>
      <c r="G200" t="s">
        <v>2199</v>
      </c>
      <c r="H200" t="s">
        <v>2728</v>
      </c>
      <c r="I200">
        <v>0</v>
      </c>
      <c r="J200">
        <v>2189.23</v>
      </c>
      <c r="K200">
        <f t="shared" si="12"/>
        <v>50.54</v>
      </c>
      <c r="L200">
        <f t="shared" si="13"/>
        <v>48.58</v>
      </c>
      <c r="M200">
        <f t="shared" si="14"/>
        <v>1.9600000000000009</v>
      </c>
      <c r="N200">
        <v>7.31</v>
      </c>
      <c r="O200">
        <v>0</v>
      </c>
      <c r="P200">
        <v>41</v>
      </c>
      <c r="Q200">
        <v>22.8</v>
      </c>
      <c r="R200">
        <v>8.1</v>
      </c>
      <c r="S200">
        <v>14.75</v>
      </c>
      <c r="T200">
        <v>-14.75</v>
      </c>
      <c r="U200">
        <v>0.78</v>
      </c>
      <c r="V200">
        <v>1092.0999999999999</v>
      </c>
      <c r="W200">
        <v>283.54000000000002</v>
      </c>
      <c r="X200">
        <v>173.77</v>
      </c>
      <c r="Y200">
        <v>222.44</v>
      </c>
      <c r="Z200">
        <v>8.32</v>
      </c>
      <c r="AA200">
        <v>0</v>
      </c>
      <c r="AB200">
        <v>7.8</v>
      </c>
      <c r="AC200">
        <v>-121.77</v>
      </c>
      <c r="AD200">
        <v>980</v>
      </c>
      <c r="AE200">
        <v>8765</v>
      </c>
      <c r="AF200">
        <v>108.62</v>
      </c>
      <c r="AG200">
        <v>0.88</v>
      </c>
      <c r="AH200">
        <v>-492.54</v>
      </c>
      <c r="AI200">
        <v>111.86</v>
      </c>
      <c r="AJ200">
        <v>60</v>
      </c>
      <c r="AK200">
        <v>9</v>
      </c>
      <c r="AL200">
        <v>9</v>
      </c>
      <c r="AM200">
        <v>0.4</v>
      </c>
      <c r="AN200">
        <v>588</v>
      </c>
      <c r="AO200">
        <v>591.64</v>
      </c>
      <c r="AP200">
        <v>352544.67</v>
      </c>
      <c r="AQ200">
        <v>311109.93</v>
      </c>
      <c r="AR200" t="s">
        <v>1107</v>
      </c>
      <c r="AT200" s="6">
        <f t="shared" si="15"/>
        <v>2.3649965753424653</v>
      </c>
    </row>
    <row r="201" spans="1:46" x14ac:dyDescent="0.5500000000000000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f t="shared" si="12"/>
        <v>0</v>
      </c>
      <c r="L201">
        <f t="shared" si="13"/>
        <v>0</v>
      </c>
      <c r="M201">
        <f t="shared" si="14"/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T201" s="6">
        <f t="shared" si="15"/>
        <v>0</v>
      </c>
    </row>
    <row r="202" spans="1:46" x14ac:dyDescent="0.5500000000000000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f t="shared" si="12"/>
        <v>0</v>
      </c>
      <c r="L202">
        <f t="shared" si="13"/>
        <v>0</v>
      </c>
      <c r="M202">
        <f t="shared" si="14"/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T202" s="6">
        <f t="shared" si="15"/>
        <v>0</v>
      </c>
    </row>
    <row r="203" spans="1:46" x14ac:dyDescent="0.5500000000000000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f t="shared" si="12"/>
        <v>0</v>
      </c>
      <c r="L203">
        <f t="shared" si="13"/>
        <v>0</v>
      </c>
      <c r="M203">
        <f t="shared" si="14"/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T203" s="6">
        <f t="shared" si="15"/>
        <v>0</v>
      </c>
    </row>
    <row r="204" spans="1:46" x14ac:dyDescent="0.5500000000000000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f t="shared" si="12"/>
        <v>0</v>
      </c>
      <c r="L204">
        <f t="shared" si="13"/>
        <v>0</v>
      </c>
      <c r="M204">
        <f t="shared" si="14"/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T204" s="6">
        <f t="shared" si="15"/>
        <v>0</v>
      </c>
    </row>
    <row r="205" spans="1:46" x14ac:dyDescent="0.55000000000000004">
      <c r="A205">
        <v>0</v>
      </c>
      <c r="B205">
        <v>8.1</v>
      </c>
      <c r="C205">
        <v>2420.12</v>
      </c>
      <c r="D205">
        <v>7.8</v>
      </c>
      <c r="E205" t="s">
        <v>2543</v>
      </c>
      <c r="F205" t="s">
        <v>2627</v>
      </c>
      <c r="G205" t="s">
        <v>2199</v>
      </c>
      <c r="H205" t="s">
        <v>2729</v>
      </c>
      <c r="I205">
        <v>0</v>
      </c>
      <c r="J205">
        <v>2298.33</v>
      </c>
      <c r="K205">
        <f t="shared" si="12"/>
        <v>47.92</v>
      </c>
      <c r="L205">
        <f t="shared" si="13"/>
        <v>47.92</v>
      </c>
      <c r="M205">
        <f t="shared" si="14"/>
        <v>0</v>
      </c>
      <c r="N205">
        <v>7.4</v>
      </c>
      <c r="O205">
        <v>0</v>
      </c>
      <c r="P205">
        <v>45</v>
      </c>
      <c r="Q205">
        <v>18.399999999999999</v>
      </c>
      <c r="R205">
        <v>8.1</v>
      </c>
      <c r="S205">
        <v>11.68</v>
      </c>
      <c r="T205">
        <v>-11.68</v>
      </c>
      <c r="U205">
        <v>1.05</v>
      </c>
      <c r="V205">
        <v>1548.88</v>
      </c>
      <c r="W205">
        <v>403.57</v>
      </c>
      <c r="X205">
        <v>251.97</v>
      </c>
      <c r="Y205">
        <v>315.48</v>
      </c>
      <c r="Z205">
        <v>8.85</v>
      </c>
      <c r="AA205">
        <v>0.3</v>
      </c>
      <c r="AB205">
        <v>7.2</v>
      </c>
      <c r="AC205">
        <v>-226.24</v>
      </c>
      <c r="AD205">
        <v>980</v>
      </c>
      <c r="AE205">
        <v>8765</v>
      </c>
      <c r="AF205">
        <v>108.62</v>
      </c>
      <c r="AG205">
        <v>0.88</v>
      </c>
      <c r="AH205">
        <v>2049.83</v>
      </c>
      <c r="AI205">
        <v>125.42</v>
      </c>
      <c r="AJ205">
        <v>60</v>
      </c>
      <c r="AK205">
        <v>9</v>
      </c>
      <c r="AL205">
        <v>9</v>
      </c>
      <c r="AM205">
        <v>0.36</v>
      </c>
      <c r="AN205">
        <v>588</v>
      </c>
      <c r="AO205">
        <v>591.25</v>
      </c>
      <c r="AP205">
        <v>241627.48</v>
      </c>
      <c r="AQ205">
        <v>241627.48</v>
      </c>
      <c r="AR205" t="s">
        <v>1112</v>
      </c>
      <c r="AT205" s="6">
        <f t="shared" si="15"/>
        <v>0</v>
      </c>
    </row>
    <row r="206" spans="1:46" x14ac:dyDescent="0.55000000000000004">
      <c r="A206">
        <v>0</v>
      </c>
      <c r="B206">
        <v>8.1</v>
      </c>
      <c r="C206">
        <v>1311.39</v>
      </c>
      <c r="D206">
        <v>7.8</v>
      </c>
      <c r="E206" t="s">
        <v>2544</v>
      </c>
      <c r="F206" t="s">
        <v>2628</v>
      </c>
      <c r="G206" t="s">
        <v>2199</v>
      </c>
      <c r="H206" t="s">
        <v>2730</v>
      </c>
      <c r="I206">
        <v>0</v>
      </c>
      <c r="J206">
        <v>2164.56</v>
      </c>
      <c r="K206">
        <f t="shared" si="12"/>
        <v>53.49</v>
      </c>
      <c r="L206">
        <f t="shared" si="13"/>
        <v>49.589999999999996</v>
      </c>
      <c r="M206">
        <f t="shared" si="14"/>
        <v>3.9000000000000057</v>
      </c>
      <c r="N206">
        <v>7.32</v>
      </c>
      <c r="O206">
        <v>0</v>
      </c>
      <c r="P206">
        <v>46</v>
      </c>
      <c r="Q206">
        <v>18.399999999999999</v>
      </c>
      <c r="R206">
        <v>8.1</v>
      </c>
      <c r="S206">
        <v>11.81</v>
      </c>
      <c r="T206">
        <v>-11.81</v>
      </c>
      <c r="U206">
        <v>0.61</v>
      </c>
      <c r="V206">
        <v>839.29</v>
      </c>
      <c r="W206">
        <v>218.28</v>
      </c>
      <c r="X206">
        <v>135.22</v>
      </c>
      <c r="Y206">
        <v>170.91</v>
      </c>
      <c r="Z206">
        <v>7.55</v>
      </c>
      <c r="AA206">
        <v>-0.21</v>
      </c>
      <c r="AB206">
        <v>8.2200000000000006</v>
      </c>
      <c r="AC206">
        <v>-218.31</v>
      </c>
      <c r="AD206">
        <v>980</v>
      </c>
      <c r="AE206">
        <v>8765</v>
      </c>
      <c r="AF206">
        <v>108.62</v>
      </c>
      <c r="AG206">
        <v>0.88</v>
      </c>
      <c r="AH206">
        <v>-275.58999999999997</v>
      </c>
      <c r="AI206">
        <v>95.88</v>
      </c>
      <c r="AJ206">
        <v>60</v>
      </c>
      <c r="AK206">
        <v>9</v>
      </c>
      <c r="AL206">
        <v>9</v>
      </c>
      <c r="AM206">
        <v>0.47</v>
      </c>
      <c r="AN206">
        <v>588</v>
      </c>
      <c r="AO206">
        <v>592.25</v>
      </c>
      <c r="AP206">
        <v>393130.5</v>
      </c>
      <c r="AQ206">
        <v>274932.14</v>
      </c>
      <c r="AR206" t="s">
        <v>1113</v>
      </c>
      <c r="AT206" s="6">
        <f t="shared" si="15"/>
        <v>6.7464817351598168</v>
      </c>
    </row>
    <row r="207" spans="1:46" x14ac:dyDescent="0.55000000000000004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f t="shared" si="12"/>
        <v>0</v>
      </c>
      <c r="L207">
        <f t="shared" si="13"/>
        <v>0</v>
      </c>
      <c r="M207">
        <f t="shared" si="14"/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T207" s="6">
        <f t="shared" si="15"/>
        <v>0</v>
      </c>
    </row>
    <row r="208" spans="1:46" x14ac:dyDescent="0.5500000000000000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f t="shared" si="12"/>
        <v>0</v>
      </c>
      <c r="L208">
        <f t="shared" si="13"/>
        <v>0</v>
      </c>
      <c r="M208">
        <f t="shared" si="14"/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T208" s="6">
        <f t="shared" si="15"/>
        <v>0</v>
      </c>
    </row>
    <row r="209" spans="1:46" x14ac:dyDescent="0.55000000000000004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f t="shared" si="12"/>
        <v>0</v>
      </c>
      <c r="L209">
        <f t="shared" si="13"/>
        <v>0</v>
      </c>
      <c r="M209">
        <f t="shared" si="14"/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T209" s="6">
        <f t="shared" si="15"/>
        <v>0</v>
      </c>
    </row>
    <row r="210" spans="1:46" x14ac:dyDescent="0.55000000000000004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f t="shared" si="12"/>
        <v>0</v>
      </c>
      <c r="L210">
        <f t="shared" si="13"/>
        <v>0</v>
      </c>
      <c r="M210">
        <f t="shared" si="14"/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T210" s="6">
        <f t="shared" si="15"/>
        <v>0</v>
      </c>
    </row>
    <row r="211" spans="1:46" x14ac:dyDescent="0.55000000000000004">
      <c r="A211">
        <v>0</v>
      </c>
      <c r="B211">
        <v>8.1</v>
      </c>
      <c r="C211">
        <v>3571.13</v>
      </c>
      <c r="D211">
        <v>7.8</v>
      </c>
      <c r="E211" t="s">
        <v>2545</v>
      </c>
      <c r="F211" t="s">
        <v>2629</v>
      </c>
      <c r="G211" t="s">
        <v>2199</v>
      </c>
      <c r="H211" t="s">
        <v>2731</v>
      </c>
      <c r="I211">
        <v>0</v>
      </c>
      <c r="J211">
        <v>2274.88</v>
      </c>
      <c r="K211">
        <f t="shared" si="12"/>
        <v>46.05</v>
      </c>
      <c r="L211">
        <f t="shared" si="13"/>
        <v>46.05</v>
      </c>
      <c r="M211">
        <f t="shared" si="14"/>
        <v>0</v>
      </c>
      <c r="N211">
        <v>7.35</v>
      </c>
      <c r="O211">
        <v>0</v>
      </c>
      <c r="P211">
        <v>45</v>
      </c>
      <c r="Q211">
        <v>19.399999999999999</v>
      </c>
      <c r="R211">
        <v>8.1</v>
      </c>
      <c r="S211">
        <v>12.52</v>
      </c>
      <c r="T211">
        <v>-12.52</v>
      </c>
      <c r="U211">
        <v>1.57</v>
      </c>
      <c r="V211">
        <v>2285.52</v>
      </c>
      <c r="W211">
        <v>593.44000000000005</v>
      </c>
      <c r="X211">
        <v>363.15</v>
      </c>
      <c r="Y211">
        <v>465.63</v>
      </c>
      <c r="Z211">
        <v>12.97</v>
      </c>
      <c r="AA211">
        <v>0.61</v>
      </c>
      <c r="AB211">
        <v>6.58</v>
      </c>
      <c r="AC211">
        <v>-183.35</v>
      </c>
      <c r="AD211">
        <v>980</v>
      </c>
      <c r="AE211">
        <v>8765</v>
      </c>
      <c r="AF211">
        <v>108.62</v>
      </c>
      <c r="AG211">
        <v>0.88</v>
      </c>
      <c r="AH211">
        <v>190.63</v>
      </c>
      <c r="AI211">
        <v>191.24</v>
      </c>
      <c r="AJ211">
        <v>60</v>
      </c>
      <c r="AK211">
        <v>9</v>
      </c>
      <c r="AL211">
        <v>9</v>
      </c>
      <c r="AM211">
        <v>0.24</v>
      </c>
      <c r="AN211">
        <v>588</v>
      </c>
      <c r="AO211">
        <v>590.13</v>
      </c>
      <c r="AP211">
        <v>251802.76</v>
      </c>
      <c r="AQ211">
        <v>251802.76</v>
      </c>
      <c r="AR211" t="s">
        <v>1118</v>
      </c>
      <c r="AT211" s="6">
        <f t="shared" si="15"/>
        <v>0</v>
      </c>
    </row>
    <row r="212" spans="1:46" x14ac:dyDescent="0.55000000000000004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f t="shared" si="12"/>
        <v>0</v>
      </c>
      <c r="L212">
        <f t="shared" si="13"/>
        <v>0</v>
      </c>
      <c r="M212">
        <f t="shared" si="14"/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T212" s="6">
        <f t="shared" si="15"/>
        <v>0</v>
      </c>
    </row>
    <row r="213" spans="1:46" x14ac:dyDescent="0.55000000000000004">
      <c r="A213">
        <v>0</v>
      </c>
      <c r="B213">
        <v>8.1</v>
      </c>
      <c r="C213">
        <v>3901.67</v>
      </c>
      <c r="D213">
        <v>7.8</v>
      </c>
      <c r="E213" t="s">
        <v>2546</v>
      </c>
      <c r="F213" t="s">
        <v>2630</v>
      </c>
      <c r="G213" t="s">
        <v>2199</v>
      </c>
      <c r="H213" t="s">
        <v>2732</v>
      </c>
      <c r="I213">
        <v>0</v>
      </c>
      <c r="J213">
        <v>2342.38</v>
      </c>
      <c r="K213">
        <f t="shared" si="12"/>
        <v>45.73</v>
      </c>
      <c r="L213">
        <f t="shared" si="13"/>
        <v>45.73</v>
      </c>
      <c r="M213">
        <f t="shared" si="14"/>
        <v>0</v>
      </c>
      <c r="N213">
        <v>7.42</v>
      </c>
      <c r="O213">
        <v>0</v>
      </c>
      <c r="P213">
        <v>46</v>
      </c>
      <c r="Q213">
        <v>18</v>
      </c>
      <c r="R213">
        <v>8.1</v>
      </c>
      <c r="S213">
        <v>11.47</v>
      </c>
      <c r="T213">
        <v>-11.47</v>
      </c>
      <c r="U213">
        <v>1.67</v>
      </c>
      <c r="V213">
        <v>2497.0700000000002</v>
      </c>
      <c r="W213">
        <v>650.66</v>
      </c>
      <c r="X213">
        <v>405.99</v>
      </c>
      <c r="Y213">
        <v>508.67</v>
      </c>
      <c r="Z213">
        <v>14.15</v>
      </c>
      <c r="AA213">
        <v>0.69</v>
      </c>
      <c r="AB213">
        <v>6.41</v>
      </c>
      <c r="AC213">
        <v>-240.11</v>
      </c>
      <c r="AD213">
        <v>980</v>
      </c>
      <c r="AE213">
        <v>8765</v>
      </c>
      <c r="AF213">
        <v>108.62</v>
      </c>
      <c r="AG213">
        <v>0.88</v>
      </c>
      <c r="AH213">
        <v>163.18</v>
      </c>
      <c r="AI213">
        <v>210.13</v>
      </c>
      <c r="AJ213">
        <v>60</v>
      </c>
      <c r="AK213">
        <v>9</v>
      </c>
      <c r="AL213">
        <v>9</v>
      </c>
      <c r="AM213">
        <v>0.22</v>
      </c>
      <c r="AN213">
        <v>588</v>
      </c>
      <c r="AO213">
        <v>589.94000000000005</v>
      </c>
      <c r="AP213">
        <v>192477.74</v>
      </c>
      <c r="AQ213">
        <v>192477.74</v>
      </c>
      <c r="AR213" t="s">
        <v>1120</v>
      </c>
      <c r="AT213" s="6">
        <f t="shared" si="15"/>
        <v>0</v>
      </c>
    </row>
    <row r="214" spans="1:46" x14ac:dyDescent="0.5500000000000000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f t="shared" si="12"/>
        <v>0</v>
      </c>
      <c r="L214">
        <f t="shared" si="13"/>
        <v>0</v>
      </c>
      <c r="M214">
        <f t="shared" si="14"/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T214" s="6">
        <f t="shared" si="15"/>
        <v>0</v>
      </c>
    </row>
    <row r="215" spans="1:46" x14ac:dyDescent="0.55000000000000004">
      <c r="A215">
        <v>0</v>
      </c>
      <c r="B215">
        <v>8.1</v>
      </c>
      <c r="C215">
        <v>1658.88</v>
      </c>
      <c r="D215">
        <v>7.8</v>
      </c>
      <c r="E215" t="s">
        <v>2547</v>
      </c>
      <c r="F215" t="s">
        <v>2631</v>
      </c>
      <c r="G215" t="s">
        <v>2199</v>
      </c>
      <c r="H215" t="s">
        <v>2733</v>
      </c>
      <c r="I215">
        <v>0</v>
      </c>
      <c r="J215">
        <v>2243.96</v>
      </c>
      <c r="K215">
        <f t="shared" si="12"/>
        <v>50.8</v>
      </c>
      <c r="L215">
        <f t="shared" si="13"/>
        <v>49.589999999999996</v>
      </c>
      <c r="M215">
        <f t="shared" si="14"/>
        <v>1.2100000000000009</v>
      </c>
      <c r="N215">
        <v>7.37</v>
      </c>
      <c r="O215">
        <v>0</v>
      </c>
      <c r="P215">
        <v>55</v>
      </c>
      <c r="Q215">
        <v>19.600000000000001</v>
      </c>
      <c r="R215">
        <v>8.1</v>
      </c>
      <c r="S215">
        <v>14.01</v>
      </c>
      <c r="T215">
        <v>-14.01</v>
      </c>
      <c r="U215">
        <v>0.74</v>
      </c>
      <c r="V215">
        <v>1061.68</v>
      </c>
      <c r="W215">
        <v>276.63</v>
      </c>
      <c r="X215">
        <v>172.95</v>
      </c>
      <c r="Y215">
        <v>216.22</v>
      </c>
      <c r="Z215">
        <v>7.17</v>
      </c>
      <c r="AA215">
        <v>-0.01</v>
      </c>
      <c r="AB215">
        <v>7.82</v>
      </c>
      <c r="AC215">
        <v>-137.08000000000001</v>
      </c>
      <c r="AD215">
        <v>980</v>
      </c>
      <c r="AE215">
        <v>8765</v>
      </c>
      <c r="AF215">
        <v>108.62</v>
      </c>
      <c r="AG215">
        <v>0.88</v>
      </c>
      <c r="AH215">
        <v>-416.61</v>
      </c>
      <c r="AI215">
        <v>95.88</v>
      </c>
      <c r="AJ215">
        <v>60</v>
      </c>
      <c r="AK215">
        <v>9</v>
      </c>
      <c r="AL215">
        <v>9</v>
      </c>
      <c r="AM215">
        <v>0.47</v>
      </c>
      <c r="AN215">
        <v>588</v>
      </c>
      <c r="AO215">
        <v>592.25</v>
      </c>
      <c r="AP215">
        <v>305396.98</v>
      </c>
      <c r="AQ215">
        <v>274932.14</v>
      </c>
      <c r="AR215" t="s">
        <v>1122</v>
      </c>
      <c r="AT215" s="6">
        <f t="shared" si="15"/>
        <v>1.7388607305936055</v>
      </c>
    </row>
    <row r="216" spans="1:46" x14ac:dyDescent="0.55000000000000004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f t="shared" si="12"/>
        <v>0</v>
      </c>
      <c r="L216">
        <f t="shared" si="13"/>
        <v>0</v>
      </c>
      <c r="M216">
        <f t="shared" si="14"/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T216" s="6">
        <f t="shared" si="15"/>
        <v>0</v>
      </c>
    </row>
    <row r="217" spans="1:46" x14ac:dyDescent="0.5500000000000000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f t="shared" si="12"/>
        <v>0</v>
      </c>
      <c r="L217">
        <f t="shared" si="13"/>
        <v>0</v>
      </c>
      <c r="M217">
        <f t="shared" si="14"/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T217" s="6">
        <f t="shared" si="15"/>
        <v>0</v>
      </c>
    </row>
    <row r="218" spans="1:46" x14ac:dyDescent="0.55000000000000004">
      <c r="A218">
        <v>0</v>
      </c>
      <c r="B218">
        <v>8.1</v>
      </c>
      <c r="C218">
        <v>1229.25</v>
      </c>
      <c r="D218">
        <v>7.8</v>
      </c>
      <c r="E218" t="s">
        <v>2548</v>
      </c>
      <c r="F218" t="s">
        <v>2632</v>
      </c>
      <c r="G218" t="s">
        <v>2199</v>
      </c>
      <c r="H218" t="s">
        <v>2734</v>
      </c>
      <c r="I218">
        <v>0</v>
      </c>
      <c r="J218">
        <v>2177.2199999999998</v>
      </c>
      <c r="K218">
        <f t="shared" si="12"/>
        <v>54.400000000000006</v>
      </c>
      <c r="L218">
        <f t="shared" si="13"/>
        <v>49.589999999999996</v>
      </c>
      <c r="M218">
        <f t="shared" si="14"/>
        <v>4.8100000000000094</v>
      </c>
      <c r="N218">
        <v>7.34</v>
      </c>
      <c r="O218">
        <v>0</v>
      </c>
      <c r="P218">
        <v>46</v>
      </c>
      <c r="Q218">
        <v>18.2</v>
      </c>
      <c r="R218">
        <v>8.1</v>
      </c>
      <c r="S218">
        <v>11.64</v>
      </c>
      <c r="T218">
        <v>-11.64</v>
      </c>
      <c r="U218">
        <v>0.56000000000000005</v>
      </c>
      <c r="V218">
        <v>786.72</v>
      </c>
      <c r="W218">
        <v>204.96</v>
      </c>
      <c r="X218">
        <v>128.24</v>
      </c>
      <c r="Y218">
        <v>160.19</v>
      </c>
      <c r="Z218">
        <v>7.68</v>
      </c>
      <c r="AA218">
        <v>-0.26</v>
      </c>
      <c r="AB218">
        <v>8.31</v>
      </c>
      <c r="AC218">
        <v>-228.69</v>
      </c>
      <c r="AD218">
        <v>980</v>
      </c>
      <c r="AE218">
        <v>8765</v>
      </c>
      <c r="AF218">
        <v>108.62</v>
      </c>
      <c r="AG218">
        <v>0.88</v>
      </c>
      <c r="AH218">
        <v>-249.48</v>
      </c>
      <c r="AI218">
        <v>95.88</v>
      </c>
      <c r="AJ218">
        <v>60</v>
      </c>
      <c r="AK218">
        <v>9</v>
      </c>
      <c r="AL218">
        <v>9</v>
      </c>
      <c r="AM218">
        <v>0.47</v>
      </c>
      <c r="AN218">
        <v>588</v>
      </c>
      <c r="AO218">
        <v>592.25</v>
      </c>
      <c r="AP218">
        <v>387269.43</v>
      </c>
      <c r="AQ218">
        <v>274932.14</v>
      </c>
      <c r="AR218" t="s">
        <v>1125</v>
      </c>
      <c r="AT218" s="6">
        <f t="shared" si="15"/>
        <v>6.4119457762557062</v>
      </c>
    </row>
    <row r="219" spans="1:46" x14ac:dyDescent="0.5500000000000000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f t="shared" si="12"/>
        <v>0</v>
      </c>
      <c r="L219">
        <f t="shared" si="13"/>
        <v>0</v>
      </c>
      <c r="M219">
        <f t="shared" si="14"/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T219" s="6">
        <f t="shared" si="15"/>
        <v>0</v>
      </c>
    </row>
    <row r="220" spans="1:46" x14ac:dyDescent="0.55000000000000004">
      <c r="A220">
        <v>0</v>
      </c>
      <c r="B220">
        <v>8.1</v>
      </c>
      <c r="C220">
        <v>836.38</v>
      </c>
      <c r="D220">
        <v>7.8</v>
      </c>
      <c r="E220" t="s">
        <v>2549</v>
      </c>
      <c r="F220" t="s">
        <v>2633</v>
      </c>
      <c r="G220" t="s">
        <v>2199</v>
      </c>
      <c r="H220" t="s">
        <v>2735</v>
      </c>
      <c r="I220">
        <v>0</v>
      </c>
      <c r="J220">
        <v>2192.62</v>
      </c>
      <c r="K220">
        <f t="shared" si="12"/>
        <v>62.38</v>
      </c>
      <c r="L220">
        <f t="shared" si="13"/>
        <v>51.95</v>
      </c>
      <c r="M220">
        <f t="shared" si="14"/>
        <v>10.43</v>
      </c>
      <c r="N220">
        <v>7.42</v>
      </c>
      <c r="O220">
        <v>0</v>
      </c>
      <c r="P220">
        <v>48</v>
      </c>
      <c r="Q220">
        <v>19.100000000000001</v>
      </c>
      <c r="R220">
        <v>8.1</v>
      </c>
      <c r="S220">
        <v>12.66</v>
      </c>
      <c r="T220">
        <v>-12.66</v>
      </c>
      <c r="U220">
        <v>0.38</v>
      </c>
      <c r="V220">
        <v>535.28</v>
      </c>
      <c r="W220">
        <v>140.66999999999999</v>
      </c>
      <c r="X220">
        <v>92.42</v>
      </c>
      <c r="Y220">
        <v>108.92</v>
      </c>
      <c r="Z220">
        <v>6.6</v>
      </c>
      <c r="AA220">
        <v>-0.55000000000000004</v>
      </c>
      <c r="AB220">
        <v>8.89</v>
      </c>
      <c r="AC220">
        <v>-177.47</v>
      </c>
      <c r="AD220">
        <v>980</v>
      </c>
      <c r="AE220">
        <v>8765</v>
      </c>
      <c r="AF220">
        <v>108.62</v>
      </c>
      <c r="AG220">
        <v>0.88</v>
      </c>
      <c r="AH220">
        <v>-175.61</v>
      </c>
      <c r="AI220">
        <v>71.91</v>
      </c>
      <c r="AJ220">
        <v>60</v>
      </c>
      <c r="AK220">
        <v>9</v>
      </c>
      <c r="AL220">
        <v>9</v>
      </c>
      <c r="AM220">
        <v>0.63</v>
      </c>
      <c r="AN220">
        <v>588</v>
      </c>
      <c r="AO220">
        <v>593.66999999999996</v>
      </c>
      <c r="AP220">
        <v>421764.16</v>
      </c>
      <c r="AQ220">
        <v>190517.28</v>
      </c>
      <c r="AR220" t="s">
        <v>1127</v>
      </c>
      <c r="AT220" s="6">
        <f t="shared" si="15"/>
        <v>13.199022831050227</v>
      </c>
    </row>
    <row r="221" spans="1:46" x14ac:dyDescent="0.55000000000000004">
      <c r="A221">
        <v>0</v>
      </c>
      <c r="B221">
        <v>8.1</v>
      </c>
      <c r="C221">
        <v>754.45</v>
      </c>
      <c r="D221">
        <v>7.8</v>
      </c>
      <c r="E221" t="s">
        <v>2550</v>
      </c>
      <c r="F221" t="s">
        <v>2634</v>
      </c>
      <c r="G221" t="s">
        <v>2199</v>
      </c>
      <c r="H221" t="s">
        <v>2736</v>
      </c>
      <c r="I221">
        <v>0</v>
      </c>
      <c r="J221">
        <v>2159.36</v>
      </c>
      <c r="K221">
        <f t="shared" si="12"/>
        <v>65.680000000000007</v>
      </c>
      <c r="L221">
        <f t="shared" si="13"/>
        <v>51.95</v>
      </c>
      <c r="M221">
        <f t="shared" si="14"/>
        <v>13.730000000000004</v>
      </c>
      <c r="N221">
        <v>7.41</v>
      </c>
      <c r="O221">
        <v>0</v>
      </c>
      <c r="P221">
        <v>49</v>
      </c>
      <c r="Q221">
        <v>19.2</v>
      </c>
      <c r="R221">
        <v>8.1</v>
      </c>
      <c r="S221">
        <v>12.88</v>
      </c>
      <c r="T221">
        <v>-12.88</v>
      </c>
      <c r="U221">
        <v>0.35</v>
      </c>
      <c r="V221">
        <v>482.85</v>
      </c>
      <c r="W221">
        <v>127.03</v>
      </c>
      <c r="X221">
        <v>84.02</v>
      </c>
      <c r="Y221">
        <v>98.23</v>
      </c>
      <c r="Z221">
        <v>6.95</v>
      </c>
      <c r="AA221">
        <v>-0.63</v>
      </c>
      <c r="AB221">
        <v>9.06</v>
      </c>
      <c r="AC221">
        <v>-169.43</v>
      </c>
      <c r="AD221">
        <v>980</v>
      </c>
      <c r="AE221">
        <v>8765</v>
      </c>
      <c r="AF221">
        <v>108.62</v>
      </c>
      <c r="AG221">
        <v>0.88</v>
      </c>
      <c r="AH221">
        <v>-166.96</v>
      </c>
      <c r="AI221">
        <v>71.91</v>
      </c>
      <c r="AJ221">
        <v>60</v>
      </c>
      <c r="AK221">
        <v>9</v>
      </c>
      <c r="AL221">
        <v>9</v>
      </c>
      <c r="AM221">
        <v>0.63</v>
      </c>
      <c r="AN221">
        <v>588</v>
      </c>
      <c r="AO221">
        <v>593.66999999999996</v>
      </c>
      <c r="AP221">
        <v>475288.72</v>
      </c>
      <c r="AQ221">
        <v>190517.28</v>
      </c>
      <c r="AR221" t="s">
        <v>1128</v>
      </c>
      <c r="AT221" s="6">
        <f t="shared" si="15"/>
        <v>16.254077625570773</v>
      </c>
    </row>
    <row r="222" spans="1:46" x14ac:dyDescent="0.55000000000000004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f t="shared" si="12"/>
        <v>0</v>
      </c>
      <c r="L222">
        <f t="shared" si="13"/>
        <v>0</v>
      </c>
      <c r="M222">
        <f t="shared" si="14"/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T222" s="6">
        <f t="shared" si="15"/>
        <v>0</v>
      </c>
    </row>
    <row r="223" spans="1:46" x14ac:dyDescent="0.55000000000000004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f t="shared" si="12"/>
        <v>0</v>
      </c>
      <c r="L223">
        <f t="shared" si="13"/>
        <v>0</v>
      </c>
      <c r="M223">
        <f t="shared" si="14"/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T223" s="6">
        <f t="shared" si="15"/>
        <v>0</v>
      </c>
    </row>
    <row r="224" spans="1:46" x14ac:dyDescent="0.5500000000000000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f t="shared" si="12"/>
        <v>0</v>
      </c>
      <c r="L224">
        <f t="shared" si="13"/>
        <v>0</v>
      </c>
      <c r="M224">
        <f t="shared" si="14"/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T224" s="6">
        <f t="shared" si="15"/>
        <v>0</v>
      </c>
    </row>
    <row r="225" spans="1:46" x14ac:dyDescent="0.5500000000000000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f t="shared" si="12"/>
        <v>0</v>
      </c>
      <c r="L225">
        <f t="shared" si="13"/>
        <v>0</v>
      </c>
      <c r="M225">
        <f t="shared" si="14"/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T225" s="6">
        <f t="shared" si="15"/>
        <v>0</v>
      </c>
    </row>
    <row r="226" spans="1:46" x14ac:dyDescent="0.55000000000000004">
      <c r="A226">
        <v>0</v>
      </c>
      <c r="B226">
        <v>8.1</v>
      </c>
      <c r="C226">
        <v>4464.5200000000004</v>
      </c>
      <c r="D226">
        <v>7.8</v>
      </c>
      <c r="E226" t="s">
        <v>2551</v>
      </c>
      <c r="F226" t="s">
        <v>2630</v>
      </c>
      <c r="G226" t="s">
        <v>2199</v>
      </c>
      <c r="H226" t="s">
        <v>2737</v>
      </c>
      <c r="I226">
        <v>0</v>
      </c>
      <c r="J226">
        <v>2345.4499999999998</v>
      </c>
      <c r="K226">
        <f t="shared" si="12"/>
        <v>45.3</v>
      </c>
      <c r="L226">
        <f t="shared" si="13"/>
        <v>45.3</v>
      </c>
      <c r="M226">
        <f t="shared" si="14"/>
        <v>0</v>
      </c>
      <c r="N226">
        <v>7.42</v>
      </c>
      <c r="O226">
        <v>0</v>
      </c>
      <c r="P226">
        <v>49</v>
      </c>
      <c r="Q226">
        <v>24.5</v>
      </c>
      <c r="R226">
        <v>8.1</v>
      </c>
      <c r="S226">
        <v>17.41</v>
      </c>
      <c r="T226">
        <v>-17.41</v>
      </c>
      <c r="U226">
        <v>1.9</v>
      </c>
      <c r="V226">
        <v>2857.3</v>
      </c>
      <c r="W226">
        <v>744.29</v>
      </c>
      <c r="X226">
        <v>463.52</v>
      </c>
      <c r="Y226">
        <v>582.07000000000005</v>
      </c>
      <c r="Z226">
        <v>16.16</v>
      </c>
      <c r="AA226">
        <v>0.8</v>
      </c>
      <c r="AB226">
        <v>6.19</v>
      </c>
      <c r="AC226">
        <v>-86.96</v>
      </c>
      <c r="AD226">
        <v>980</v>
      </c>
      <c r="AE226">
        <v>8765</v>
      </c>
      <c r="AF226">
        <v>108.62</v>
      </c>
      <c r="AG226">
        <v>0.88</v>
      </c>
      <c r="AH226">
        <v>120.23</v>
      </c>
      <c r="AI226">
        <v>242.3</v>
      </c>
      <c r="AJ226">
        <v>60</v>
      </c>
      <c r="AK226">
        <v>9</v>
      </c>
      <c r="AL226">
        <v>9</v>
      </c>
      <c r="AM226">
        <v>0.19</v>
      </c>
      <c r="AN226">
        <v>588</v>
      </c>
      <c r="AO226">
        <v>589.67999999999995</v>
      </c>
      <c r="AP226">
        <v>187742.68</v>
      </c>
      <c r="AQ226">
        <v>187742.68</v>
      </c>
      <c r="AR226" t="s">
        <v>1133</v>
      </c>
      <c r="AT226" s="6">
        <f t="shared" si="15"/>
        <v>0</v>
      </c>
    </row>
    <row r="227" spans="1:46" x14ac:dyDescent="0.5500000000000000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f t="shared" si="12"/>
        <v>0</v>
      </c>
      <c r="L227">
        <f t="shared" si="13"/>
        <v>0</v>
      </c>
      <c r="M227">
        <f t="shared" si="14"/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T227" s="6">
        <f t="shared" si="15"/>
        <v>0</v>
      </c>
    </row>
    <row r="228" spans="1:46" x14ac:dyDescent="0.55000000000000004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f t="shared" si="12"/>
        <v>0</v>
      </c>
      <c r="L228">
        <f t="shared" si="13"/>
        <v>0</v>
      </c>
      <c r="M228">
        <f t="shared" si="14"/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T228" s="6">
        <f t="shared" si="15"/>
        <v>0</v>
      </c>
    </row>
    <row r="229" spans="1:46" x14ac:dyDescent="0.5500000000000000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f t="shared" si="12"/>
        <v>0</v>
      </c>
      <c r="L229">
        <f t="shared" si="13"/>
        <v>0</v>
      </c>
      <c r="M229">
        <f t="shared" si="14"/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T229" s="6">
        <f t="shared" si="15"/>
        <v>0</v>
      </c>
    </row>
    <row r="230" spans="1:46" x14ac:dyDescent="0.5500000000000000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f t="shared" si="12"/>
        <v>0</v>
      </c>
      <c r="L230">
        <f t="shared" si="13"/>
        <v>0</v>
      </c>
      <c r="M230">
        <f t="shared" si="14"/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T230" s="6">
        <f t="shared" si="15"/>
        <v>0</v>
      </c>
    </row>
    <row r="231" spans="1:46" x14ac:dyDescent="0.55000000000000004">
      <c r="A231">
        <v>0</v>
      </c>
      <c r="B231">
        <v>8.1</v>
      </c>
      <c r="C231">
        <v>7676.11</v>
      </c>
      <c r="D231">
        <v>7.8</v>
      </c>
      <c r="E231" t="s">
        <v>2552</v>
      </c>
      <c r="F231" t="s">
        <v>630</v>
      </c>
      <c r="G231" t="s">
        <v>2199</v>
      </c>
      <c r="H231" t="s">
        <v>2713</v>
      </c>
      <c r="I231">
        <v>0</v>
      </c>
      <c r="J231">
        <v>2352.85</v>
      </c>
      <c r="K231">
        <f t="shared" si="12"/>
        <v>44.1</v>
      </c>
      <c r="L231">
        <f t="shared" si="13"/>
        <v>44.1</v>
      </c>
      <c r="M231">
        <f t="shared" si="14"/>
        <v>0</v>
      </c>
      <c r="N231">
        <v>7.41</v>
      </c>
      <c r="O231">
        <v>0</v>
      </c>
      <c r="P231">
        <v>52</v>
      </c>
      <c r="Q231">
        <v>24.1</v>
      </c>
      <c r="R231">
        <v>8.1</v>
      </c>
      <c r="S231">
        <v>17.52</v>
      </c>
      <c r="T231">
        <v>-17.52</v>
      </c>
      <c r="U231">
        <v>3.26</v>
      </c>
      <c r="V231">
        <v>4912.71</v>
      </c>
      <c r="W231">
        <v>1278.46</v>
      </c>
      <c r="X231">
        <v>791.52</v>
      </c>
      <c r="Y231">
        <v>1000.89</v>
      </c>
      <c r="Z231">
        <v>27.64</v>
      </c>
      <c r="AA231">
        <v>1.25</v>
      </c>
      <c r="AB231">
        <v>5.3</v>
      </c>
      <c r="AC231">
        <v>-85.94</v>
      </c>
      <c r="AD231">
        <v>980</v>
      </c>
      <c r="AE231">
        <v>8765</v>
      </c>
      <c r="AF231">
        <v>108.62</v>
      </c>
      <c r="AG231">
        <v>0.88</v>
      </c>
      <c r="AH231">
        <v>48.01</v>
      </c>
      <c r="AI231">
        <v>425.74</v>
      </c>
      <c r="AJ231">
        <v>60</v>
      </c>
      <c r="AK231">
        <v>9</v>
      </c>
      <c r="AL231">
        <v>9</v>
      </c>
      <c r="AM231">
        <v>0.11</v>
      </c>
      <c r="AN231">
        <v>588</v>
      </c>
      <c r="AO231">
        <v>588.96</v>
      </c>
      <c r="AP231">
        <v>175551.11</v>
      </c>
      <c r="AQ231">
        <v>175551.11</v>
      </c>
      <c r="AR231" t="s">
        <v>1138</v>
      </c>
      <c r="AT231" s="6">
        <f t="shared" si="15"/>
        <v>0</v>
      </c>
    </row>
    <row r="232" spans="1:46" x14ac:dyDescent="0.55000000000000004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f t="shared" si="12"/>
        <v>0</v>
      </c>
      <c r="L232">
        <f t="shared" si="13"/>
        <v>0</v>
      </c>
      <c r="M232">
        <f t="shared" si="14"/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T232" s="6">
        <f t="shared" si="15"/>
        <v>0</v>
      </c>
    </row>
    <row r="233" spans="1:46" x14ac:dyDescent="0.5500000000000000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f t="shared" si="12"/>
        <v>0</v>
      </c>
      <c r="L233">
        <f t="shared" si="13"/>
        <v>0</v>
      </c>
      <c r="M233">
        <f t="shared" si="14"/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T233" s="6">
        <f t="shared" si="15"/>
        <v>0</v>
      </c>
    </row>
    <row r="234" spans="1:46" x14ac:dyDescent="0.55000000000000004">
      <c r="A234">
        <v>0</v>
      </c>
      <c r="B234">
        <v>8.1</v>
      </c>
      <c r="C234">
        <v>4682.62</v>
      </c>
      <c r="D234">
        <v>7.8</v>
      </c>
      <c r="E234" t="s">
        <v>2553</v>
      </c>
      <c r="F234" t="s">
        <v>629</v>
      </c>
      <c r="G234" t="s">
        <v>2199</v>
      </c>
      <c r="H234" t="s">
        <v>2738</v>
      </c>
      <c r="I234">
        <v>0</v>
      </c>
      <c r="J234">
        <v>2349.11</v>
      </c>
      <c r="K234">
        <f t="shared" si="12"/>
        <v>45.17</v>
      </c>
      <c r="L234">
        <f t="shared" si="13"/>
        <v>45.17</v>
      </c>
      <c r="M234">
        <f t="shared" si="14"/>
        <v>0</v>
      </c>
      <c r="N234">
        <v>7.42</v>
      </c>
      <c r="O234">
        <v>0</v>
      </c>
      <c r="P234">
        <v>35</v>
      </c>
      <c r="Q234">
        <v>25.5</v>
      </c>
      <c r="R234">
        <v>8.1</v>
      </c>
      <c r="S234">
        <v>15.91</v>
      </c>
      <c r="T234">
        <v>-15.91</v>
      </c>
      <c r="U234">
        <v>1.99</v>
      </c>
      <c r="V234">
        <v>2996.88</v>
      </c>
      <c r="W234">
        <v>780.69</v>
      </c>
      <c r="X234">
        <v>486.29</v>
      </c>
      <c r="Y234">
        <v>610.51</v>
      </c>
      <c r="Z234">
        <v>16.940000000000001</v>
      </c>
      <c r="AA234">
        <v>0.84</v>
      </c>
      <c r="AB234">
        <v>6.11</v>
      </c>
      <c r="AC234">
        <v>-103.72</v>
      </c>
      <c r="AD234">
        <v>980</v>
      </c>
      <c r="AE234">
        <v>8765</v>
      </c>
      <c r="AF234">
        <v>108.62</v>
      </c>
      <c r="AG234">
        <v>0.88</v>
      </c>
      <c r="AH234">
        <v>109.35</v>
      </c>
      <c r="AI234">
        <v>254.76</v>
      </c>
      <c r="AJ234">
        <v>60</v>
      </c>
      <c r="AK234">
        <v>9</v>
      </c>
      <c r="AL234">
        <v>9</v>
      </c>
      <c r="AM234">
        <v>0.18</v>
      </c>
      <c r="AN234">
        <v>588</v>
      </c>
      <c r="AO234">
        <v>589.6</v>
      </c>
      <c r="AP234">
        <v>183951.88</v>
      </c>
      <c r="AQ234">
        <v>183951.88</v>
      </c>
      <c r="AR234" t="s">
        <v>1141</v>
      </c>
      <c r="AT234" s="6">
        <f t="shared" si="15"/>
        <v>0</v>
      </c>
    </row>
    <row r="235" spans="1:46" x14ac:dyDescent="0.55000000000000004">
      <c r="A235">
        <v>0</v>
      </c>
      <c r="B235">
        <v>8.1</v>
      </c>
      <c r="C235">
        <v>4075.92</v>
      </c>
      <c r="D235">
        <v>7.8</v>
      </c>
      <c r="E235" t="s">
        <v>2554</v>
      </c>
      <c r="F235" t="s">
        <v>629</v>
      </c>
      <c r="G235" t="s">
        <v>2199</v>
      </c>
      <c r="H235" t="s">
        <v>2739</v>
      </c>
      <c r="I235">
        <v>0</v>
      </c>
      <c r="J235">
        <v>2346.1</v>
      </c>
      <c r="K235">
        <f t="shared" si="12"/>
        <v>45.59</v>
      </c>
      <c r="L235">
        <f t="shared" si="13"/>
        <v>45.59</v>
      </c>
      <c r="M235">
        <f t="shared" si="14"/>
        <v>0</v>
      </c>
      <c r="N235">
        <v>7.42</v>
      </c>
      <c r="O235">
        <v>0</v>
      </c>
      <c r="P235">
        <v>48</v>
      </c>
      <c r="Q235">
        <v>17.7</v>
      </c>
      <c r="R235">
        <v>8.1</v>
      </c>
      <c r="S235">
        <v>11.47</v>
      </c>
      <c r="T235">
        <v>-11.47</v>
      </c>
      <c r="U235">
        <v>1.74</v>
      </c>
      <c r="V235">
        <v>2608.59</v>
      </c>
      <c r="W235">
        <v>679.75</v>
      </c>
      <c r="X235">
        <v>424.21</v>
      </c>
      <c r="Y235">
        <v>531.39</v>
      </c>
      <c r="Z235">
        <v>14.77</v>
      </c>
      <c r="AA235">
        <v>0.73</v>
      </c>
      <c r="AB235">
        <v>6.34</v>
      </c>
      <c r="AC235">
        <v>-240.18</v>
      </c>
      <c r="AD235">
        <v>980</v>
      </c>
      <c r="AE235">
        <v>8765</v>
      </c>
      <c r="AF235">
        <v>108.62</v>
      </c>
      <c r="AG235">
        <v>0.88</v>
      </c>
      <c r="AH235">
        <v>147.32</v>
      </c>
      <c r="AI235">
        <v>220.09</v>
      </c>
      <c r="AJ235">
        <v>60</v>
      </c>
      <c r="AK235">
        <v>9</v>
      </c>
      <c r="AL235">
        <v>9</v>
      </c>
      <c r="AM235">
        <v>0.21</v>
      </c>
      <c r="AN235">
        <v>588</v>
      </c>
      <c r="AO235">
        <v>589.85</v>
      </c>
      <c r="AP235">
        <v>188586.27</v>
      </c>
      <c r="AQ235">
        <v>188586.27</v>
      </c>
      <c r="AR235" t="s">
        <v>1142</v>
      </c>
      <c r="AT235" s="6">
        <f t="shared" si="15"/>
        <v>0</v>
      </c>
    </row>
    <row r="236" spans="1:46" x14ac:dyDescent="0.5500000000000000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f t="shared" si="12"/>
        <v>0</v>
      </c>
      <c r="L236">
        <f t="shared" si="13"/>
        <v>0</v>
      </c>
      <c r="M236">
        <f t="shared" si="14"/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T236" s="6">
        <f t="shared" si="15"/>
        <v>0</v>
      </c>
    </row>
    <row r="237" spans="1:46" x14ac:dyDescent="0.5500000000000000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f t="shared" si="12"/>
        <v>0</v>
      </c>
      <c r="L237">
        <f t="shared" si="13"/>
        <v>0</v>
      </c>
      <c r="M237">
        <f t="shared" si="14"/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T237" s="6">
        <f t="shared" si="15"/>
        <v>0</v>
      </c>
    </row>
    <row r="238" spans="1:46" x14ac:dyDescent="0.5500000000000000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f t="shared" si="12"/>
        <v>0</v>
      </c>
      <c r="L238">
        <f t="shared" si="13"/>
        <v>0</v>
      </c>
      <c r="M238">
        <f t="shared" si="14"/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T238" s="6">
        <f t="shared" si="15"/>
        <v>0</v>
      </c>
    </row>
    <row r="239" spans="1:46" x14ac:dyDescent="0.5500000000000000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f t="shared" si="12"/>
        <v>0</v>
      </c>
      <c r="L239">
        <f t="shared" si="13"/>
        <v>0</v>
      </c>
      <c r="M239">
        <f t="shared" si="14"/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T239" s="6">
        <f t="shared" si="15"/>
        <v>0</v>
      </c>
    </row>
    <row r="240" spans="1:46" x14ac:dyDescent="0.55000000000000004">
      <c r="A240">
        <v>0</v>
      </c>
      <c r="B240">
        <v>8.1</v>
      </c>
      <c r="C240">
        <v>5473.84</v>
      </c>
      <c r="D240">
        <v>7.8</v>
      </c>
      <c r="E240" t="s">
        <v>2553</v>
      </c>
      <c r="F240" t="s">
        <v>664</v>
      </c>
      <c r="G240" t="s">
        <v>2199</v>
      </c>
      <c r="H240" t="s">
        <v>2740</v>
      </c>
      <c r="I240">
        <v>0</v>
      </c>
      <c r="J240">
        <v>2357.41</v>
      </c>
      <c r="K240">
        <f t="shared" si="12"/>
        <v>44.769999999999996</v>
      </c>
      <c r="L240">
        <f t="shared" si="13"/>
        <v>44.769999999999996</v>
      </c>
      <c r="M240">
        <f t="shared" si="14"/>
        <v>0</v>
      </c>
      <c r="N240">
        <v>7.42</v>
      </c>
      <c r="O240">
        <v>0</v>
      </c>
      <c r="P240">
        <v>42</v>
      </c>
      <c r="Q240">
        <v>25</v>
      </c>
      <c r="R240">
        <v>8.1</v>
      </c>
      <c r="S240">
        <v>16.72</v>
      </c>
      <c r="T240">
        <v>-16.72</v>
      </c>
      <c r="U240">
        <v>2.3199999999999998</v>
      </c>
      <c r="V240">
        <v>3503.26</v>
      </c>
      <c r="W240">
        <v>912.6</v>
      </c>
      <c r="X240">
        <v>568.39</v>
      </c>
      <c r="Y240">
        <v>713.68</v>
      </c>
      <c r="Z240">
        <v>19.77</v>
      </c>
      <c r="AA240">
        <v>0.97</v>
      </c>
      <c r="AB240">
        <v>5.85</v>
      </c>
      <c r="AC240">
        <v>-93.99</v>
      </c>
      <c r="AD240">
        <v>980</v>
      </c>
      <c r="AE240">
        <v>8765</v>
      </c>
      <c r="AF240">
        <v>108.62</v>
      </c>
      <c r="AG240">
        <v>0.88</v>
      </c>
      <c r="AH240">
        <v>82.17</v>
      </c>
      <c r="AI240">
        <v>299.95999999999998</v>
      </c>
      <c r="AJ240">
        <v>60</v>
      </c>
      <c r="AK240">
        <v>9</v>
      </c>
      <c r="AL240">
        <v>9</v>
      </c>
      <c r="AM240">
        <v>0.15</v>
      </c>
      <c r="AN240">
        <v>588</v>
      </c>
      <c r="AO240">
        <v>589.36</v>
      </c>
      <c r="AP240">
        <v>174962.82</v>
      </c>
      <c r="AQ240">
        <v>174962.82</v>
      </c>
      <c r="AR240" t="s">
        <v>1147</v>
      </c>
      <c r="AT240" s="6">
        <f t="shared" si="15"/>
        <v>0</v>
      </c>
    </row>
    <row r="241" spans="1:46" x14ac:dyDescent="0.5500000000000000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f t="shared" si="12"/>
        <v>0</v>
      </c>
      <c r="L241">
        <f t="shared" si="13"/>
        <v>0</v>
      </c>
      <c r="M241">
        <f t="shared" si="14"/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T241" s="6">
        <f t="shared" si="15"/>
        <v>0</v>
      </c>
    </row>
    <row r="242" spans="1:46" x14ac:dyDescent="0.5500000000000000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f t="shared" si="12"/>
        <v>0</v>
      </c>
      <c r="L242">
        <f t="shared" si="13"/>
        <v>0</v>
      </c>
      <c r="M242">
        <f t="shared" si="14"/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T242" s="6">
        <f t="shared" si="15"/>
        <v>0</v>
      </c>
    </row>
    <row r="243" spans="1:46" x14ac:dyDescent="0.5500000000000000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f t="shared" si="12"/>
        <v>0</v>
      </c>
      <c r="L243">
        <f t="shared" si="13"/>
        <v>0</v>
      </c>
      <c r="M243">
        <f t="shared" si="14"/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T243" s="6">
        <f t="shared" si="15"/>
        <v>0</v>
      </c>
    </row>
    <row r="244" spans="1:46" x14ac:dyDescent="0.5500000000000000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f t="shared" si="12"/>
        <v>0</v>
      </c>
      <c r="L244">
        <f t="shared" si="13"/>
        <v>0</v>
      </c>
      <c r="M244">
        <f t="shared" si="14"/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T244" s="6">
        <f t="shared" si="15"/>
        <v>0</v>
      </c>
    </row>
    <row r="245" spans="1:46" x14ac:dyDescent="0.5500000000000000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f t="shared" si="12"/>
        <v>0</v>
      </c>
      <c r="L245">
        <f t="shared" si="13"/>
        <v>0</v>
      </c>
      <c r="M245">
        <f t="shared" si="14"/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T245" s="6">
        <f t="shared" si="15"/>
        <v>0</v>
      </c>
    </row>
    <row r="246" spans="1:46" x14ac:dyDescent="0.5500000000000000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f t="shared" si="12"/>
        <v>0</v>
      </c>
      <c r="L246">
        <f t="shared" si="13"/>
        <v>0</v>
      </c>
      <c r="M246">
        <f t="shared" si="14"/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T246" s="6">
        <f t="shared" si="15"/>
        <v>0</v>
      </c>
    </row>
    <row r="247" spans="1:46" x14ac:dyDescent="0.5500000000000000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f t="shared" si="12"/>
        <v>0</v>
      </c>
      <c r="L247">
        <f t="shared" si="13"/>
        <v>0</v>
      </c>
      <c r="M247">
        <f t="shared" si="14"/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T247" s="6">
        <f t="shared" si="15"/>
        <v>0</v>
      </c>
    </row>
    <row r="248" spans="1:46" x14ac:dyDescent="0.5500000000000000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f t="shared" si="12"/>
        <v>0</v>
      </c>
      <c r="L248">
        <f t="shared" si="13"/>
        <v>0</v>
      </c>
      <c r="M248">
        <f t="shared" si="14"/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T248" s="6">
        <f t="shared" si="15"/>
        <v>0</v>
      </c>
    </row>
    <row r="249" spans="1:46" x14ac:dyDescent="0.5500000000000000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f t="shared" si="12"/>
        <v>0</v>
      </c>
      <c r="L249">
        <f t="shared" si="13"/>
        <v>0</v>
      </c>
      <c r="M249">
        <f t="shared" si="14"/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T249" s="6">
        <f t="shared" si="15"/>
        <v>0</v>
      </c>
    </row>
    <row r="250" spans="1:46" x14ac:dyDescent="0.5500000000000000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f t="shared" si="12"/>
        <v>0</v>
      </c>
      <c r="L250">
        <f t="shared" si="13"/>
        <v>0</v>
      </c>
      <c r="M250">
        <f t="shared" si="14"/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T250" s="6">
        <f t="shared" si="15"/>
        <v>0</v>
      </c>
    </row>
    <row r="251" spans="1:46" x14ac:dyDescent="0.5500000000000000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f t="shared" si="12"/>
        <v>0</v>
      </c>
      <c r="L251">
        <f t="shared" si="13"/>
        <v>0</v>
      </c>
      <c r="M251">
        <f t="shared" si="14"/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T251" s="6">
        <f t="shared" si="15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251"/>
  <sheetViews>
    <sheetView topLeftCell="S1" workbookViewId="0">
      <selection activeCell="AQ1" sqref="AQ1:AS1048576"/>
    </sheetView>
  </sheetViews>
  <sheetFormatPr defaultRowHeight="14.4" x14ac:dyDescent="0.55000000000000004"/>
  <cols>
    <col min="45" max="45" width="12.41796875" bestFit="1" customWidth="1"/>
  </cols>
  <sheetData>
    <row r="1" spans="1:4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2741</v>
      </c>
      <c r="AR1" s="2" t="s">
        <v>2742</v>
      </c>
      <c r="AS1" s="2" t="s">
        <v>2743</v>
      </c>
    </row>
    <row r="2" spans="1:45" x14ac:dyDescent="0.5500000000000000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R2" s="3">
        <f>(AN2-AO2)/(365*24*2)</f>
        <v>0</v>
      </c>
      <c r="AS2" s="3">
        <f>SUM(AR2:AR251)</f>
        <v>0</v>
      </c>
    </row>
    <row r="3" spans="1:45" x14ac:dyDescent="0.5500000000000000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R3" s="3">
        <f t="shared" ref="AR3:AR66" si="0">(AN3-AO3)/(365*24*2)</f>
        <v>0</v>
      </c>
    </row>
    <row r="4" spans="1:45" x14ac:dyDescent="0.5500000000000000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R4" s="3">
        <f t="shared" si="0"/>
        <v>0</v>
      </c>
    </row>
    <row r="5" spans="1:45" x14ac:dyDescent="0.5500000000000000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R5" s="3">
        <f t="shared" si="0"/>
        <v>0</v>
      </c>
    </row>
    <row r="6" spans="1:45" x14ac:dyDescent="0.5500000000000000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R6" s="3">
        <f t="shared" si="0"/>
        <v>0</v>
      </c>
    </row>
    <row r="7" spans="1:45" x14ac:dyDescent="0.5500000000000000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R7" s="3">
        <f t="shared" si="0"/>
        <v>0</v>
      </c>
    </row>
    <row r="8" spans="1:45" x14ac:dyDescent="0.5500000000000000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R8" s="3">
        <f t="shared" si="0"/>
        <v>0</v>
      </c>
    </row>
    <row r="9" spans="1:45" x14ac:dyDescent="0.5500000000000000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R9" s="3">
        <f t="shared" si="0"/>
        <v>0</v>
      </c>
    </row>
    <row r="10" spans="1:45" x14ac:dyDescent="0.5500000000000000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 s="3">
        <f t="shared" si="0"/>
        <v>0</v>
      </c>
    </row>
    <row r="11" spans="1:45" x14ac:dyDescent="0.5500000000000000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 s="3">
        <f t="shared" si="0"/>
        <v>0</v>
      </c>
    </row>
    <row r="12" spans="1:45" x14ac:dyDescent="0.5500000000000000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 s="3">
        <f t="shared" si="0"/>
        <v>0</v>
      </c>
    </row>
    <row r="13" spans="1:45" x14ac:dyDescent="0.5500000000000000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 s="3">
        <f t="shared" si="0"/>
        <v>0</v>
      </c>
    </row>
    <row r="14" spans="1:45" x14ac:dyDescent="0.5500000000000000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 s="3">
        <f t="shared" si="0"/>
        <v>0</v>
      </c>
    </row>
    <row r="15" spans="1:45" x14ac:dyDescent="0.5500000000000000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 s="3">
        <f t="shared" si="0"/>
        <v>0</v>
      </c>
    </row>
    <row r="16" spans="1:45" x14ac:dyDescent="0.5500000000000000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 s="3">
        <f t="shared" si="0"/>
        <v>0</v>
      </c>
    </row>
    <row r="17" spans="1:44" x14ac:dyDescent="0.5500000000000000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 s="3">
        <f t="shared" si="0"/>
        <v>0</v>
      </c>
    </row>
    <row r="18" spans="1:44" x14ac:dyDescent="0.5500000000000000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 s="3">
        <f t="shared" si="0"/>
        <v>0</v>
      </c>
    </row>
    <row r="19" spans="1:44" x14ac:dyDescent="0.5500000000000000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 s="3">
        <f t="shared" si="0"/>
        <v>0</v>
      </c>
    </row>
    <row r="20" spans="1:44" x14ac:dyDescent="0.5500000000000000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 s="3">
        <f t="shared" si="0"/>
        <v>0</v>
      </c>
    </row>
    <row r="21" spans="1:44" x14ac:dyDescent="0.5500000000000000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 s="3">
        <f t="shared" si="0"/>
        <v>0</v>
      </c>
    </row>
    <row r="22" spans="1:44" x14ac:dyDescent="0.5500000000000000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 s="3">
        <f t="shared" si="0"/>
        <v>0</v>
      </c>
    </row>
    <row r="23" spans="1:44" x14ac:dyDescent="0.5500000000000000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 s="3">
        <f t="shared" si="0"/>
        <v>0</v>
      </c>
    </row>
    <row r="24" spans="1:44" x14ac:dyDescent="0.5500000000000000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 s="3">
        <f t="shared" si="0"/>
        <v>0</v>
      </c>
    </row>
    <row r="25" spans="1:44" x14ac:dyDescent="0.5500000000000000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 s="3">
        <f t="shared" si="0"/>
        <v>0</v>
      </c>
    </row>
    <row r="26" spans="1:44" x14ac:dyDescent="0.5500000000000000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 s="3">
        <f t="shared" si="0"/>
        <v>0</v>
      </c>
    </row>
    <row r="27" spans="1:44" x14ac:dyDescent="0.5500000000000000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 s="3">
        <f t="shared" si="0"/>
        <v>0</v>
      </c>
    </row>
    <row r="28" spans="1:44" x14ac:dyDescent="0.5500000000000000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 s="3">
        <f t="shared" si="0"/>
        <v>0</v>
      </c>
    </row>
    <row r="29" spans="1:44" x14ac:dyDescent="0.5500000000000000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 s="3">
        <f t="shared" si="0"/>
        <v>0</v>
      </c>
    </row>
    <row r="30" spans="1:44" x14ac:dyDescent="0.5500000000000000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 s="3">
        <f t="shared" si="0"/>
        <v>0</v>
      </c>
    </row>
    <row r="31" spans="1:44" x14ac:dyDescent="0.5500000000000000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 s="3">
        <f t="shared" si="0"/>
        <v>0</v>
      </c>
    </row>
    <row r="32" spans="1:44" x14ac:dyDescent="0.5500000000000000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 s="3">
        <f t="shared" si="0"/>
        <v>0</v>
      </c>
    </row>
    <row r="33" spans="1:44" x14ac:dyDescent="0.5500000000000000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 s="3">
        <f t="shared" si="0"/>
        <v>0</v>
      </c>
    </row>
    <row r="34" spans="1:44" x14ac:dyDescent="0.5500000000000000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 s="3">
        <f t="shared" si="0"/>
        <v>0</v>
      </c>
    </row>
    <row r="35" spans="1:44" x14ac:dyDescent="0.5500000000000000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 s="3">
        <f t="shared" si="0"/>
        <v>0</v>
      </c>
    </row>
    <row r="36" spans="1:44" x14ac:dyDescent="0.5500000000000000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 s="3">
        <f t="shared" si="0"/>
        <v>0</v>
      </c>
    </row>
    <row r="37" spans="1:44" x14ac:dyDescent="0.55000000000000004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 s="3">
        <f t="shared" si="0"/>
        <v>0</v>
      </c>
    </row>
    <row r="38" spans="1:44" x14ac:dyDescent="0.5500000000000000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 s="3">
        <f t="shared" si="0"/>
        <v>0</v>
      </c>
    </row>
    <row r="39" spans="1:44" x14ac:dyDescent="0.5500000000000000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 s="3">
        <f t="shared" si="0"/>
        <v>0</v>
      </c>
    </row>
    <row r="40" spans="1:44" x14ac:dyDescent="0.5500000000000000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 s="3">
        <f t="shared" si="0"/>
        <v>0</v>
      </c>
    </row>
    <row r="41" spans="1:44" x14ac:dyDescent="0.5500000000000000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 s="3">
        <f t="shared" si="0"/>
        <v>0</v>
      </c>
    </row>
    <row r="42" spans="1:44" x14ac:dyDescent="0.5500000000000000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 s="3">
        <f t="shared" si="0"/>
        <v>0</v>
      </c>
    </row>
    <row r="43" spans="1:44" x14ac:dyDescent="0.5500000000000000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 s="3">
        <f t="shared" si="0"/>
        <v>0</v>
      </c>
    </row>
    <row r="44" spans="1:44" x14ac:dyDescent="0.5500000000000000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 s="3">
        <f t="shared" si="0"/>
        <v>0</v>
      </c>
    </row>
    <row r="45" spans="1:44" x14ac:dyDescent="0.5500000000000000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 s="3">
        <f t="shared" si="0"/>
        <v>0</v>
      </c>
    </row>
    <row r="46" spans="1:44" x14ac:dyDescent="0.5500000000000000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 s="3">
        <f t="shared" si="0"/>
        <v>0</v>
      </c>
    </row>
    <row r="47" spans="1:44" x14ac:dyDescent="0.5500000000000000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 s="3">
        <f t="shared" si="0"/>
        <v>0</v>
      </c>
    </row>
    <row r="48" spans="1:44" x14ac:dyDescent="0.5500000000000000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 s="3">
        <f t="shared" si="0"/>
        <v>0</v>
      </c>
    </row>
    <row r="49" spans="1:44" x14ac:dyDescent="0.5500000000000000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 s="3">
        <f t="shared" si="0"/>
        <v>0</v>
      </c>
    </row>
    <row r="50" spans="1:44" x14ac:dyDescent="0.5500000000000000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 s="3">
        <f t="shared" si="0"/>
        <v>0</v>
      </c>
    </row>
    <row r="51" spans="1:44" x14ac:dyDescent="0.5500000000000000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 s="3">
        <f t="shared" si="0"/>
        <v>0</v>
      </c>
    </row>
    <row r="52" spans="1:44" x14ac:dyDescent="0.5500000000000000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 s="3">
        <f t="shared" si="0"/>
        <v>0</v>
      </c>
    </row>
    <row r="53" spans="1:44" x14ac:dyDescent="0.5500000000000000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 s="3">
        <f t="shared" si="0"/>
        <v>0</v>
      </c>
    </row>
    <row r="54" spans="1:44" x14ac:dyDescent="0.5500000000000000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 s="3">
        <f t="shared" si="0"/>
        <v>0</v>
      </c>
    </row>
    <row r="55" spans="1:44" x14ac:dyDescent="0.55000000000000004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R55" s="3">
        <f t="shared" si="0"/>
        <v>0</v>
      </c>
    </row>
    <row r="56" spans="1:44" x14ac:dyDescent="0.5500000000000000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 s="3">
        <f t="shared" si="0"/>
        <v>0</v>
      </c>
    </row>
    <row r="57" spans="1:44" x14ac:dyDescent="0.55000000000000004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R57" s="3">
        <f t="shared" si="0"/>
        <v>0</v>
      </c>
    </row>
    <row r="58" spans="1:44" x14ac:dyDescent="0.5500000000000000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R58" s="3">
        <f t="shared" si="0"/>
        <v>0</v>
      </c>
    </row>
    <row r="59" spans="1:44" x14ac:dyDescent="0.5500000000000000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 s="3">
        <f t="shared" si="0"/>
        <v>0</v>
      </c>
    </row>
    <row r="60" spans="1:44" x14ac:dyDescent="0.5500000000000000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 s="3">
        <f t="shared" si="0"/>
        <v>0</v>
      </c>
    </row>
    <row r="61" spans="1:44" x14ac:dyDescent="0.5500000000000000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R61" s="3">
        <f t="shared" si="0"/>
        <v>0</v>
      </c>
    </row>
    <row r="62" spans="1:44" x14ac:dyDescent="0.55000000000000004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 s="3">
        <f t="shared" si="0"/>
        <v>0</v>
      </c>
    </row>
    <row r="63" spans="1:44" x14ac:dyDescent="0.5500000000000000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R63" s="3">
        <f t="shared" si="0"/>
        <v>0</v>
      </c>
    </row>
    <row r="64" spans="1:44" x14ac:dyDescent="0.5500000000000000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R64" s="3">
        <f t="shared" si="0"/>
        <v>0</v>
      </c>
    </row>
    <row r="65" spans="1:44" x14ac:dyDescent="0.5500000000000000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R65" s="3">
        <f t="shared" si="0"/>
        <v>0</v>
      </c>
    </row>
    <row r="66" spans="1:44" x14ac:dyDescent="0.5500000000000000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R66" s="3">
        <f t="shared" si="0"/>
        <v>0</v>
      </c>
    </row>
    <row r="67" spans="1:44" x14ac:dyDescent="0.5500000000000000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R67" s="3">
        <f t="shared" ref="AR67:AR130" si="1">(AN67-AO67)/(365*24*2)</f>
        <v>0</v>
      </c>
    </row>
    <row r="68" spans="1:44" x14ac:dyDescent="0.5500000000000000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R68" s="3">
        <f t="shared" si="1"/>
        <v>0</v>
      </c>
    </row>
    <row r="69" spans="1:44" x14ac:dyDescent="0.5500000000000000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R69" s="3">
        <f t="shared" si="1"/>
        <v>0</v>
      </c>
    </row>
    <row r="70" spans="1:44" x14ac:dyDescent="0.5500000000000000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R70" s="3">
        <f t="shared" si="1"/>
        <v>0</v>
      </c>
    </row>
    <row r="71" spans="1:44" x14ac:dyDescent="0.5500000000000000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R71" s="3">
        <f t="shared" si="1"/>
        <v>0</v>
      </c>
    </row>
    <row r="72" spans="1:44" x14ac:dyDescent="0.5500000000000000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R72" s="3">
        <f t="shared" si="1"/>
        <v>0</v>
      </c>
    </row>
    <row r="73" spans="1:44" x14ac:dyDescent="0.5500000000000000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R73" s="3">
        <f t="shared" si="1"/>
        <v>0</v>
      </c>
    </row>
    <row r="74" spans="1:44" x14ac:dyDescent="0.5500000000000000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R74" s="3">
        <f t="shared" si="1"/>
        <v>0</v>
      </c>
    </row>
    <row r="75" spans="1:44" x14ac:dyDescent="0.5500000000000000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R75" s="3">
        <f t="shared" si="1"/>
        <v>0</v>
      </c>
    </row>
    <row r="76" spans="1:44" x14ac:dyDescent="0.5500000000000000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R76" s="3">
        <f t="shared" si="1"/>
        <v>0</v>
      </c>
    </row>
    <row r="77" spans="1:44" x14ac:dyDescent="0.5500000000000000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R77" s="3">
        <f t="shared" si="1"/>
        <v>0</v>
      </c>
    </row>
    <row r="78" spans="1:44" x14ac:dyDescent="0.5500000000000000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R78" s="3">
        <f t="shared" si="1"/>
        <v>0</v>
      </c>
    </row>
    <row r="79" spans="1:44" x14ac:dyDescent="0.5500000000000000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R79" s="3">
        <f t="shared" si="1"/>
        <v>0</v>
      </c>
    </row>
    <row r="80" spans="1:44" x14ac:dyDescent="0.5500000000000000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R80" s="3">
        <f t="shared" si="1"/>
        <v>0</v>
      </c>
    </row>
    <row r="81" spans="1:44" x14ac:dyDescent="0.5500000000000000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R81" s="3">
        <f t="shared" si="1"/>
        <v>0</v>
      </c>
    </row>
    <row r="82" spans="1:44" x14ac:dyDescent="0.5500000000000000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R82" s="3">
        <f t="shared" si="1"/>
        <v>0</v>
      </c>
    </row>
    <row r="83" spans="1:44" x14ac:dyDescent="0.5500000000000000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R83" s="3">
        <f t="shared" si="1"/>
        <v>0</v>
      </c>
    </row>
    <row r="84" spans="1:44" x14ac:dyDescent="0.5500000000000000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R84" s="3">
        <f t="shared" si="1"/>
        <v>0</v>
      </c>
    </row>
    <row r="85" spans="1:44" x14ac:dyDescent="0.5500000000000000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R85" s="3">
        <f t="shared" si="1"/>
        <v>0</v>
      </c>
    </row>
    <row r="86" spans="1:44" x14ac:dyDescent="0.5500000000000000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R86" s="3">
        <f t="shared" si="1"/>
        <v>0</v>
      </c>
    </row>
    <row r="87" spans="1:44" x14ac:dyDescent="0.5500000000000000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R87" s="3">
        <f t="shared" si="1"/>
        <v>0</v>
      </c>
    </row>
    <row r="88" spans="1:44" x14ac:dyDescent="0.5500000000000000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R88" s="3">
        <f t="shared" si="1"/>
        <v>0</v>
      </c>
    </row>
    <row r="89" spans="1:44" x14ac:dyDescent="0.5500000000000000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R89" s="3">
        <f t="shared" si="1"/>
        <v>0</v>
      </c>
    </row>
    <row r="90" spans="1:44" x14ac:dyDescent="0.55000000000000004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R90" s="3">
        <f t="shared" si="1"/>
        <v>0</v>
      </c>
    </row>
    <row r="91" spans="1:44" x14ac:dyDescent="0.55000000000000004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R91" s="3">
        <f t="shared" si="1"/>
        <v>0</v>
      </c>
    </row>
    <row r="92" spans="1:44" x14ac:dyDescent="0.5500000000000000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R92" s="3">
        <f t="shared" si="1"/>
        <v>0</v>
      </c>
    </row>
    <row r="93" spans="1:44" x14ac:dyDescent="0.5500000000000000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R93" s="3">
        <f t="shared" si="1"/>
        <v>0</v>
      </c>
    </row>
    <row r="94" spans="1:44" x14ac:dyDescent="0.5500000000000000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R94" s="3">
        <f t="shared" si="1"/>
        <v>0</v>
      </c>
    </row>
    <row r="95" spans="1:44" x14ac:dyDescent="0.5500000000000000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R95" s="3">
        <f t="shared" si="1"/>
        <v>0</v>
      </c>
    </row>
    <row r="96" spans="1:44" x14ac:dyDescent="0.5500000000000000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R96" s="3">
        <f t="shared" si="1"/>
        <v>0</v>
      </c>
    </row>
    <row r="97" spans="1:44" x14ac:dyDescent="0.5500000000000000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R97" s="3">
        <f t="shared" si="1"/>
        <v>0</v>
      </c>
    </row>
    <row r="98" spans="1:44" x14ac:dyDescent="0.5500000000000000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R98" s="3">
        <f t="shared" si="1"/>
        <v>0</v>
      </c>
    </row>
    <row r="99" spans="1:44" x14ac:dyDescent="0.5500000000000000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R99" s="3">
        <f t="shared" si="1"/>
        <v>0</v>
      </c>
    </row>
    <row r="100" spans="1:44" x14ac:dyDescent="0.5500000000000000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R100" s="3">
        <f t="shared" si="1"/>
        <v>0</v>
      </c>
    </row>
    <row r="101" spans="1:44" x14ac:dyDescent="0.5500000000000000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R101" s="3">
        <f t="shared" si="1"/>
        <v>0</v>
      </c>
    </row>
    <row r="102" spans="1:44" x14ac:dyDescent="0.5500000000000000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R102" s="3">
        <f t="shared" si="1"/>
        <v>0</v>
      </c>
    </row>
    <row r="103" spans="1:44" x14ac:dyDescent="0.5500000000000000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R103" s="3">
        <f t="shared" si="1"/>
        <v>0</v>
      </c>
    </row>
    <row r="104" spans="1:44" x14ac:dyDescent="0.5500000000000000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R104" s="3">
        <f t="shared" si="1"/>
        <v>0</v>
      </c>
    </row>
    <row r="105" spans="1:44" x14ac:dyDescent="0.5500000000000000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R105" s="3">
        <f t="shared" si="1"/>
        <v>0</v>
      </c>
    </row>
    <row r="106" spans="1:44" x14ac:dyDescent="0.5500000000000000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R106" s="3">
        <f t="shared" si="1"/>
        <v>0</v>
      </c>
    </row>
    <row r="107" spans="1:44" x14ac:dyDescent="0.5500000000000000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R107" s="3">
        <f t="shared" si="1"/>
        <v>0</v>
      </c>
    </row>
    <row r="108" spans="1:44" x14ac:dyDescent="0.5500000000000000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R108" s="3">
        <f t="shared" si="1"/>
        <v>0</v>
      </c>
    </row>
    <row r="109" spans="1:44" x14ac:dyDescent="0.5500000000000000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R109" s="3">
        <f t="shared" si="1"/>
        <v>0</v>
      </c>
    </row>
    <row r="110" spans="1:44" x14ac:dyDescent="0.5500000000000000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R110" s="3">
        <f t="shared" si="1"/>
        <v>0</v>
      </c>
    </row>
    <row r="111" spans="1:44" x14ac:dyDescent="0.5500000000000000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R111" s="3">
        <f t="shared" si="1"/>
        <v>0</v>
      </c>
    </row>
    <row r="112" spans="1:44" x14ac:dyDescent="0.5500000000000000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R112" s="3">
        <f t="shared" si="1"/>
        <v>0</v>
      </c>
    </row>
    <row r="113" spans="1:44" x14ac:dyDescent="0.5500000000000000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R113" s="3">
        <f t="shared" si="1"/>
        <v>0</v>
      </c>
    </row>
    <row r="114" spans="1:44" x14ac:dyDescent="0.5500000000000000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R114" s="3">
        <f t="shared" si="1"/>
        <v>0</v>
      </c>
    </row>
    <row r="115" spans="1:44" x14ac:dyDescent="0.5500000000000000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R115" s="3">
        <f t="shared" si="1"/>
        <v>0</v>
      </c>
    </row>
    <row r="116" spans="1:44" x14ac:dyDescent="0.5500000000000000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R116" s="3">
        <f t="shared" si="1"/>
        <v>0</v>
      </c>
    </row>
    <row r="117" spans="1:44" x14ac:dyDescent="0.5500000000000000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R117" s="3">
        <f t="shared" si="1"/>
        <v>0</v>
      </c>
    </row>
    <row r="118" spans="1:44" x14ac:dyDescent="0.5500000000000000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R118" s="3">
        <f t="shared" si="1"/>
        <v>0</v>
      </c>
    </row>
    <row r="119" spans="1:44" x14ac:dyDescent="0.5500000000000000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R119" s="3">
        <f t="shared" si="1"/>
        <v>0</v>
      </c>
    </row>
    <row r="120" spans="1:44" x14ac:dyDescent="0.5500000000000000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R120" s="3">
        <f t="shared" si="1"/>
        <v>0</v>
      </c>
    </row>
    <row r="121" spans="1:44" x14ac:dyDescent="0.5500000000000000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R121" s="3">
        <f t="shared" si="1"/>
        <v>0</v>
      </c>
    </row>
    <row r="122" spans="1:44" x14ac:dyDescent="0.5500000000000000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R122" s="3">
        <f t="shared" si="1"/>
        <v>0</v>
      </c>
    </row>
    <row r="123" spans="1:44" x14ac:dyDescent="0.55000000000000004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R123" s="3">
        <f t="shared" si="1"/>
        <v>0</v>
      </c>
    </row>
    <row r="124" spans="1:44" x14ac:dyDescent="0.5500000000000000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R124" s="3">
        <f t="shared" si="1"/>
        <v>0</v>
      </c>
    </row>
    <row r="125" spans="1:44" x14ac:dyDescent="0.5500000000000000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R125" s="3">
        <f t="shared" si="1"/>
        <v>0</v>
      </c>
    </row>
    <row r="126" spans="1:44" x14ac:dyDescent="0.5500000000000000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R126" s="3">
        <f t="shared" si="1"/>
        <v>0</v>
      </c>
    </row>
    <row r="127" spans="1:44" x14ac:dyDescent="0.5500000000000000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R127" s="3">
        <f t="shared" si="1"/>
        <v>0</v>
      </c>
    </row>
    <row r="128" spans="1:44" x14ac:dyDescent="0.5500000000000000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R128" s="3">
        <f t="shared" si="1"/>
        <v>0</v>
      </c>
    </row>
    <row r="129" spans="1:44" x14ac:dyDescent="0.55000000000000004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R129" s="3">
        <f t="shared" si="1"/>
        <v>0</v>
      </c>
    </row>
    <row r="130" spans="1:44" x14ac:dyDescent="0.5500000000000000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R130" s="3">
        <f t="shared" si="1"/>
        <v>0</v>
      </c>
    </row>
    <row r="131" spans="1:44" x14ac:dyDescent="0.5500000000000000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R131" s="3">
        <f t="shared" ref="AR131:AR194" si="2">(AN131-AO131)/(365*24*2)</f>
        <v>0</v>
      </c>
    </row>
    <row r="132" spans="1:44" x14ac:dyDescent="0.5500000000000000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R132" s="3">
        <f t="shared" si="2"/>
        <v>0</v>
      </c>
    </row>
    <row r="133" spans="1:44" x14ac:dyDescent="0.5500000000000000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R133" s="3">
        <f t="shared" si="2"/>
        <v>0</v>
      </c>
    </row>
    <row r="134" spans="1:44" x14ac:dyDescent="0.5500000000000000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R134" s="3">
        <f t="shared" si="2"/>
        <v>0</v>
      </c>
    </row>
    <row r="135" spans="1:44" x14ac:dyDescent="0.5500000000000000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R135" s="3">
        <f t="shared" si="2"/>
        <v>0</v>
      </c>
    </row>
    <row r="136" spans="1:44" x14ac:dyDescent="0.5500000000000000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R136" s="3">
        <f t="shared" si="2"/>
        <v>0</v>
      </c>
    </row>
    <row r="137" spans="1:44" x14ac:dyDescent="0.5500000000000000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R137" s="3">
        <f t="shared" si="2"/>
        <v>0</v>
      </c>
    </row>
    <row r="138" spans="1:44" x14ac:dyDescent="0.5500000000000000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R138" s="3">
        <f t="shared" si="2"/>
        <v>0</v>
      </c>
    </row>
    <row r="139" spans="1:44" x14ac:dyDescent="0.5500000000000000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R139" s="3">
        <f t="shared" si="2"/>
        <v>0</v>
      </c>
    </row>
    <row r="140" spans="1:44" x14ac:dyDescent="0.5500000000000000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R140" s="3">
        <f t="shared" si="2"/>
        <v>0</v>
      </c>
    </row>
    <row r="141" spans="1:44" x14ac:dyDescent="0.5500000000000000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R141" s="3">
        <f t="shared" si="2"/>
        <v>0</v>
      </c>
    </row>
    <row r="142" spans="1:44" x14ac:dyDescent="0.5500000000000000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R142" s="3">
        <f t="shared" si="2"/>
        <v>0</v>
      </c>
    </row>
    <row r="143" spans="1:44" x14ac:dyDescent="0.5500000000000000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R143" s="3">
        <f t="shared" si="2"/>
        <v>0</v>
      </c>
    </row>
    <row r="144" spans="1:44" x14ac:dyDescent="0.5500000000000000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R144" s="3">
        <f t="shared" si="2"/>
        <v>0</v>
      </c>
    </row>
    <row r="145" spans="1:44" x14ac:dyDescent="0.5500000000000000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R145" s="3">
        <f t="shared" si="2"/>
        <v>0</v>
      </c>
    </row>
    <row r="146" spans="1:44" x14ac:dyDescent="0.5500000000000000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R146" s="3">
        <f t="shared" si="2"/>
        <v>0</v>
      </c>
    </row>
    <row r="147" spans="1:44" x14ac:dyDescent="0.5500000000000000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R147" s="3">
        <f t="shared" si="2"/>
        <v>0</v>
      </c>
    </row>
    <row r="148" spans="1:44" x14ac:dyDescent="0.5500000000000000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R148" s="3">
        <f t="shared" si="2"/>
        <v>0</v>
      </c>
    </row>
    <row r="149" spans="1:44" x14ac:dyDescent="0.5500000000000000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R149" s="3">
        <f t="shared" si="2"/>
        <v>0</v>
      </c>
    </row>
    <row r="150" spans="1:44" x14ac:dyDescent="0.5500000000000000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R150" s="3">
        <f t="shared" si="2"/>
        <v>0</v>
      </c>
    </row>
    <row r="151" spans="1:44" x14ac:dyDescent="0.55000000000000004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R151" s="3">
        <f t="shared" si="2"/>
        <v>0</v>
      </c>
    </row>
    <row r="152" spans="1:44" x14ac:dyDescent="0.5500000000000000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R152" s="3">
        <f t="shared" si="2"/>
        <v>0</v>
      </c>
    </row>
    <row r="153" spans="1:44" x14ac:dyDescent="0.5500000000000000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R153" s="3">
        <f t="shared" si="2"/>
        <v>0</v>
      </c>
    </row>
    <row r="154" spans="1:44" x14ac:dyDescent="0.5500000000000000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R154" s="3">
        <f t="shared" si="2"/>
        <v>0</v>
      </c>
    </row>
    <row r="155" spans="1:44" x14ac:dyDescent="0.5500000000000000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R155" s="3">
        <f t="shared" si="2"/>
        <v>0</v>
      </c>
    </row>
    <row r="156" spans="1:44" x14ac:dyDescent="0.5500000000000000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R156" s="3">
        <f t="shared" si="2"/>
        <v>0</v>
      </c>
    </row>
    <row r="157" spans="1:44" x14ac:dyDescent="0.5500000000000000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R157" s="3">
        <f t="shared" si="2"/>
        <v>0</v>
      </c>
    </row>
    <row r="158" spans="1:44" x14ac:dyDescent="0.55000000000000004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R158" s="3">
        <f t="shared" si="2"/>
        <v>0</v>
      </c>
    </row>
    <row r="159" spans="1:44" x14ac:dyDescent="0.5500000000000000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R159" s="3">
        <f t="shared" si="2"/>
        <v>0</v>
      </c>
    </row>
    <row r="160" spans="1:44" x14ac:dyDescent="0.5500000000000000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R160" s="3">
        <f t="shared" si="2"/>
        <v>0</v>
      </c>
    </row>
    <row r="161" spans="1:44" x14ac:dyDescent="0.5500000000000000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R161" s="3">
        <f t="shared" si="2"/>
        <v>0</v>
      </c>
    </row>
    <row r="162" spans="1:44" x14ac:dyDescent="0.5500000000000000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R162" s="3">
        <f t="shared" si="2"/>
        <v>0</v>
      </c>
    </row>
    <row r="163" spans="1:44" x14ac:dyDescent="0.5500000000000000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R163" s="3">
        <f t="shared" si="2"/>
        <v>0</v>
      </c>
    </row>
    <row r="164" spans="1:44" x14ac:dyDescent="0.5500000000000000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R164" s="3">
        <f t="shared" si="2"/>
        <v>0</v>
      </c>
    </row>
    <row r="165" spans="1:44" x14ac:dyDescent="0.5500000000000000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R165" s="3">
        <f t="shared" si="2"/>
        <v>0</v>
      </c>
    </row>
    <row r="166" spans="1:44" x14ac:dyDescent="0.5500000000000000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R166" s="3">
        <f t="shared" si="2"/>
        <v>0</v>
      </c>
    </row>
    <row r="167" spans="1:44" x14ac:dyDescent="0.5500000000000000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R167" s="3">
        <f t="shared" si="2"/>
        <v>0</v>
      </c>
    </row>
    <row r="168" spans="1:44" x14ac:dyDescent="0.5500000000000000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R168" s="3">
        <f t="shared" si="2"/>
        <v>0</v>
      </c>
    </row>
    <row r="169" spans="1:44" x14ac:dyDescent="0.5500000000000000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R169" s="3">
        <f t="shared" si="2"/>
        <v>0</v>
      </c>
    </row>
    <row r="170" spans="1:44" x14ac:dyDescent="0.5500000000000000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R170" s="3">
        <f t="shared" si="2"/>
        <v>0</v>
      </c>
    </row>
    <row r="171" spans="1:44" x14ac:dyDescent="0.5500000000000000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R171" s="3">
        <f t="shared" si="2"/>
        <v>0</v>
      </c>
    </row>
    <row r="172" spans="1:44" x14ac:dyDescent="0.5500000000000000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R172" s="3">
        <f t="shared" si="2"/>
        <v>0</v>
      </c>
    </row>
    <row r="173" spans="1:44" x14ac:dyDescent="0.5500000000000000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R173" s="3">
        <f t="shared" si="2"/>
        <v>0</v>
      </c>
    </row>
    <row r="174" spans="1:44" x14ac:dyDescent="0.5500000000000000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R174" s="3">
        <f t="shared" si="2"/>
        <v>0</v>
      </c>
    </row>
    <row r="175" spans="1:44" x14ac:dyDescent="0.5500000000000000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R175" s="3">
        <f t="shared" si="2"/>
        <v>0</v>
      </c>
    </row>
    <row r="176" spans="1:44" x14ac:dyDescent="0.55000000000000004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R176" s="3">
        <f t="shared" si="2"/>
        <v>0</v>
      </c>
    </row>
    <row r="177" spans="1:44" x14ac:dyDescent="0.5500000000000000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R177" s="3">
        <f t="shared" si="2"/>
        <v>0</v>
      </c>
    </row>
    <row r="178" spans="1:44" x14ac:dyDescent="0.5500000000000000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R178" s="3">
        <f t="shared" si="2"/>
        <v>0</v>
      </c>
    </row>
    <row r="179" spans="1:44" x14ac:dyDescent="0.5500000000000000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R179" s="3">
        <f t="shared" si="2"/>
        <v>0</v>
      </c>
    </row>
    <row r="180" spans="1:44" x14ac:dyDescent="0.55000000000000004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R180" s="3">
        <f t="shared" si="2"/>
        <v>0</v>
      </c>
    </row>
    <row r="181" spans="1:44" x14ac:dyDescent="0.5500000000000000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R181" s="3">
        <f t="shared" si="2"/>
        <v>0</v>
      </c>
    </row>
    <row r="182" spans="1:44" x14ac:dyDescent="0.55000000000000004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R182" s="3">
        <f t="shared" si="2"/>
        <v>0</v>
      </c>
    </row>
    <row r="183" spans="1:44" x14ac:dyDescent="0.5500000000000000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R183" s="3">
        <f t="shared" si="2"/>
        <v>0</v>
      </c>
    </row>
    <row r="184" spans="1:44" x14ac:dyDescent="0.5500000000000000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R184" s="3">
        <f t="shared" si="2"/>
        <v>0</v>
      </c>
    </row>
    <row r="185" spans="1:44" x14ac:dyDescent="0.55000000000000004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R185" s="3">
        <f t="shared" si="2"/>
        <v>0</v>
      </c>
    </row>
    <row r="186" spans="1:44" x14ac:dyDescent="0.5500000000000000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R186" s="3">
        <f t="shared" si="2"/>
        <v>0</v>
      </c>
    </row>
    <row r="187" spans="1:44" x14ac:dyDescent="0.5500000000000000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R187" s="3">
        <f t="shared" si="2"/>
        <v>0</v>
      </c>
    </row>
    <row r="188" spans="1:44" x14ac:dyDescent="0.55000000000000004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R188" s="3">
        <f t="shared" si="2"/>
        <v>0</v>
      </c>
    </row>
    <row r="189" spans="1:44" x14ac:dyDescent="0.5500000000000000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R189" s="3">
        <f t="shared" si="2"/>
        <v>0</v>
      </c>
    </row>
    <row r="190" spans="1:44" x14ac:dyDescent="0.55000000000000004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R190" s="3">
        <f t="shared" si="2"/>
        <v>0</v>
      </c>
    </row>
    <row r="191" spans="1:44" x14ac:dyDescent="0.55000000000000004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R191" s="3">
        <f t="shared" si="2"/>
        <v>0</v>
      </c>
    </row>
    <row r="192" spans="1:44" x14ac:dyDescent="0.5500000000000000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R192" s="3">
        <f t="shared" si="2"/>
        <v>0</v>
      </c>
    </row>
    <row r="193" spans="1:44" x14ac:dyDescent="0.55000000000000004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R193" s="3">
        <f t="shared" si="2"/>
        <v>0</v>
      </c>
    </row>
    <row r="194" spans="1:44" x14ac:dyDescent="0.5500000000000000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R194" s="3">
        <f t="shared" si="2"/>
        <v>0</v>
      </c>
    </row>
    <row r="195" spans="1:44" x14ac:dyDescent="0.5500000000000000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R195" s="3">
        <f t="shared" ref="AR195:AR251" si="3">(AN195-AO195)/(365*24*2)</f>
        <v>0</v>
      </c>
    </row>
    <row r="196" spans="1:44" x14ac:dyDescent="0.5500000000000000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R196" s="3">
        <f t="shared" si="3"/>
        <v>0</v>
      </c>
    </row>
    <row r="197" spans="1:44" x14ac:dyDescent="0.5500000000000000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R197" s="3">
        <f t="shared" si="3"/>
        <v>0</v>
      </c>
    </row>
    <row r="198" spans="1:44" x14ac:dyDescent="0.55000000000000004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R198" s="3">
        <f t="shared" si="3"/>
        <v>0</v>
      </c>
    </row>
    <row r="199" spans="1:44" x14ac:dyDescent="0.5500000000000000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R199" s="3">
        <f t="shared" si="3"/>
        <v>0</v>
      </c>
    </row>
    <row r="200" spans="1:44" x14ac:dyDescent="0.5500000000000000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R200" s="3">
        <f t="shared" si="3"/>
        <v>0</v>
      </c>
    </row>
    <row r="201" spans="1:44" x14ac:dyDescent="0.5500000000000000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R201" s="3">
        <f t="shared" si="3"/>
        <v>0</v>
      </c>
    </row>
    <row r="202" spans="1:44" x14ac:dyDescent="0.5500000000000000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R202" s="3">
        <f t="shared" si="3"/>
        <v>0</v>
      </c>
    </row>
    <row r="203" spans="1:44" x14ac:dyDescent="0.5500000000000000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R203" s="3">
        <f t="shared" si="3"/>
        <v>0</v>
      </c>
    </row>
    <row r="204" spans="1:44" x14ac:dyDescent="0.5500000000000000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R204" s="3">
        <f t="shared" si="3"/>
        <v>0</v>
      </c>
    </row>
    <row r="205" spans="1:44" x14ac:dyDescent="0.55000000000000004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R205" s="3">
        <f t="shared" si="3"/>
        <v>0</v>
      </c>
    </row>
    <row r="206" spans="1:44" x14ac:dyDescent="0.55000000000000004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R206" s="3">
        <f t="shared" si="3"/>
        <v>0</v>
      </c>
    </row>
    <row r="207" spans="1:44" x14ac:dyDescent="0.55000000000000004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R207" s="3">
        <f t="shared" si="3"/>
        <v>0</v>
      </c>
    </row>
    <row r="208" spans="1:44" x14ac:dyDescent="0.5500000000000000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R208" s="3">
        <f t="shared" si="3"/>
        <v>0</v>
      </c>
    </row>
    <row r="209" spans="1:44" x14ac:dyDescent="0.55000000000000004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R209" s="3">
        <f t="shared" si="3"/>
        <v>0</v>
      </c>
    </row>
    <row r="210" spans="1:44" x14ac:dyDescent="0.55000000000000004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R210" s="3">
        <f t="shared" si="3"/>
        <v>0</v>
      </c>
    </row>
    <row r="211" spans="1:44" x14ac:dyDescent="0.5500000000000000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R211" s="3">
        <f t="shared" si="3"/>
        <v>0</v>
      </c>
    </row>
    <row r="212" spans="1:44" x14ac:dyDescent="0.55000000000000004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R212" s="3">
        <f t="shared" si="3"/>
        <v>0</v>
      </c>
    </row>
    <row r="213" spans="1:44" x14ac:dyDescent="0.55000000000000004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R213" s="3">
        <f t="shared" si="3"/>
        <v>0</v>
      </c>
    </row>
    <row r="214" spans="1:44" x14ac:dyDescent="0.5500000000000000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R214" s="3">
        <f t="shared" si="3"/>
        <v>0</v>
      </c>
    </row>
    <row r="215" spans="1:44" x14ac:dyDescent="0.55000000000000004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R215" s="3">
        <f t="shared" si="3"/>
        <v>0</v>
      </c>
    </row>
    <row r="216" spans="1:44" x14ac:dyDescent="0.55000000000000004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R216" s="3">
        <f t="shared" si="3"/>
        <v>0</v>
      </c>
    </row>
    <row r="217" spans="1:44" x14ac:dyDescent="0.5500000000000000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R217" s="3">
        <f t="shared" si="3"/>
        <v>0</v>
      </c>
    </row>
    <row r="218" spans="1:44" x14ac:dyDescent="0.55000000000000004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R218" s="3">
        <f t="shared" si="3"/>
        <v>0</v>
      </c>
    </row>
    <row r="219" spans="1:44" x14ac:dyDescent="0.5500000000000000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R219" s="3">
        <f t="shared" si="3"/>
        <v>0</v>
      </c>
    </row>
    <row r="220" spans="1:44" x14ac:dyDescent="0.55000000000000004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R220" s="3">
        <f t="shared" si="3"/>
        <v>0</v>
      </c>
    </row>
    <row r="221" spans="1:44" x14ac:dyDescent="0.55000000000000004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R221" s="3">
        <f t="shared" si="3"/>
        <v>0</v>
      </c>
    </row>
    <row r="222" spans="1:44" x14ac:dyDescent="0.55000000000000004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R222" s="3">
        <f t="shared" si="3"/>
        <v>0</v>
      </c>
    </row>
    <row r="223" spans="1:44" x14ac:dyDescent="0.55000000000000004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R223" s="3">
        <f t="shared" si="3"/>
        <v>0</v>
      </c>
    </row>
    <row r="224" spans="1:44" x14ac:dyDescent="0.5500000000000000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R224" s="3">
        <f t="shared" si="3"/>
        <v>0</v>
      </c>
    </row>
    <row r="225" spans="1:44" x14ac:dyDescent="0.5500000000000000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R225" s="3">
        <f t="shared" si="3"/>
        <v>0</v>
      </c>
    </row>
    <row r="226" spans="1:44" x14ac:dyDescent="0.55000000000000004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R226" s="3">
        <f t="shared" si="3"/>
        <v>0</v>
      </c>
    </row>
    <row r="227" spans="1:44" x14ac:dyDescent="0.5500000000000000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R227" s="3">
        <f t="shared" si="3"/>
        <v>0</v>
      </c>
    </row>
    <row r="228" spans="1:44" x14ac:dyDescent="0.55000000000000004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R228" s="3">
        <f t="shared" si="3"/>
        <v>0</v>
      </c>
    </row>
    <row r="229" spans="1:44" x14ac:dyDescent="0.5500000000000000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R229" s="3">
        <f t="shared" si="3"/>
        <v>0</v>
      </c>
    </row>
    <row r="230" spans="1:44" x14ac:dyDescent="0.5500000000000000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R230" s="3">
        <f t="shared" si="3"/>
        <v>0</v>
      </c>
    </row>
    <row r="231" spans="1:44" x14ac:dyDescent="0.55000000000000004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R231" s="3">
        <f t="shared" si="3"/>
        <v>0</v>
      </c>
    </row>
    <row r="232" spans="1:44" x14ac:dyDescent="0.55000000000000004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R232" s="3">
        <f t="shared" si="3"/>
        <v>0</v>
      </c>
    </row>
    <row r="233" spans="1:44" x14ac:dyDescent="0.5500000000000000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R233" s="3">
        <f t="shared" si="3"/>
        <v>0</v>
      </c>
    </row>
    <row r="234" spans="1:44" x14ac:dyDescent="0.5500000000000000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R234" s="3">
        <f t="shared" si="3"/>
        <v>0</v>
      </c>
    </row>
    <row r="235" spans="1:44" x14ac:dyDescent="0.55000000000000004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R235" s="3">
        <f t="shared" si="3"/>
        <v>0</v>
      </c>
    </row>
    <row r="236" spans="1:44" x14ac:dyDescent="0.5500000000000000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R236" s="3">
        <f t="shared" si="3"/>
        <v>0</v>
      </c>
    </row>
    <row r="237" spans="1:44" x14ac:dyDescent="0.5500000000000000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R237" s="3">
        <f t="shared" si="3"/>
        <v>0</v>
      </c>
    </row>
    <row r="238" spans="1:44" x14ac:dyDescent="0.5500000000000000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R238" s="3">
        <f t="shared" si="3"/>
        <v>0</v>
      </c>
    </row>
    <row r="239" spans="1:44" x14ac:dyDescent="0.5500000000000000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R239" s="3">
        <f t="shared" si="3"/>
        <v>0</v>
      </c>
    </row>
    <row r="240" spans="1:44" x14ac:dyDescent="0.5500000000000000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R240" s="3">
        <f t="shared" si="3"/>
        <v>0</v>
      </c>
    </row>
    <row r="241" spans="1:44" x14ac:dyDescent="0.5500000000000000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R241" s="3">
        <f t="shared" si="3"/>
        <v>0</v>
      </c>
    </row>
    <row r="242" spans="1:44" x14ac:dyDescent="0.5500000000000000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R242" s="3">
        <f t="shared" si="3"/>
        <v>0</v>
      </c>
    </row>
    <row r="243" spans="1:44" x14ac:dyDescent="0.5500000000000000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R243" s="3">
        <f t="shared" si="3"/>
        <v>0</v>
      </c>
    </row>
    <row r="244" spans="1:44" x14ac:dyDescent="0.5500000000000000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R244" s="3">
        <f t="shared" si="3"/>
        <v>0</v>
      </c>
    </row>
    <row r="245" spans="1:44" x14ac:dyDescent="0.5500000000000000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R245" s="3">
        <f t="shared" si="3"/>
        <v>0</v>
      </c>
    </row>
    <row r="246" spans="1:44" x14ac:dyDescent="0.5500000000000000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R246" s="3">
        <f t="shared" si="3"/>
        <v>0</v>
      </c>
    </row>
    <row r="247" spans="1:44" x14ac:dyDescent="0.5500000000000000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R247" s="3">
        <f t="shared" si="3"/>
        <v>0</v>
      </c>
    </row>
    <row r="248" spans="1:44" x14ac:dyDescent="0.5500000000000000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R248" s="3">
        <f t="shared" si="3"/>
        <v>0</v>
      </c>
    </row>
    <row r="249" spans="1:44" x14ac:dyDescent="0.5500000000000000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R249" s="3">
        <f t="shared" si="3"/>
        <v>0</v>
      </c>
    </row>
    <row r="250" spans="1:44" x14ac:dyDescent="0.5500000000000000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R250" s="3">
        <f t="shared" si="3"/>
        <v>0</v>
      </c>
    </row>
    <row r="251" spans="1:44" x14ac:dyDescent="0.5500000000000000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R251" s="3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Wide</vt:lpstr>
      <vt:lpstr>N1</vt:lpstr>
      <vt:lpstr>N2</vt:lpstr>
      <vt:lpstr>N3</vt:lpstr>
      <vt:lpstr>P2</vt:lpstr>
      <vt:lpstr>A2</vt:lpstr>
      <vt:lpstr>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 ariceo</cp:lastModifiedBy>
  <dcterms:created xsi:type="dcterms:W3CDTF">2023-01-24T05:16:39Z</dcterms:created>
  <dcterms:modified xsi:type="dcterms:W3CDTF">2026-05-13T19:29:44Z</dcterms:modified>
</cp:coreProperties>
</file>